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gredz\Documents\"/>
    </mc:Choice>
  </mc:AlternateContent>
  <xr:revisionPtr revIDLastSave="0" documentId="13_ncr:9_{0DA698E5-2314-4E3B-A8E2-24D5E152834D}" xr6:coauthVersionLast="47" xr6:coauthVersionMax="47" xr10:uidLastSave="{00000000-0000-0000-0000-000000000000}"/>
  <bookViews>
    <workbookView xWindow="-108" yWindow="-108" windowWidth="23256" windowHeight="12456" tabRatio="848" firstSheet="9" activeTab="17" xr2:uid="{9332B03E-AB45-4192-B328-18A3AFD00F5A}"/>
  </bookViews>
  <sheets>
    <sheet name="sim_results_v2" sheetId="1" r:id="rId1"/>
    <sheet name="v1" sheetId="2" r:id="rId2"/>
    <sheet name="v4" sheetId="3" r:id="rId3"/>
    <sheet name="v5" sheetId="4" r:id="rId4"/>
    <sheet name="v6" sheetId="6" r:id="rId5"/>
    <sheet name="v6_wide" sheetId="7" r:id="rId6"/>
    <sheet name="Sheet7" sheetId="8" r:id="rId7"/>
    <sheet name="pub_results" sheetId="5" r:id="rId8"/>
    <sheet name="results_nv95" sheetId="11" r:id="rId9"/>
    <sheet name="results_nv90" sheetId="9" r:id="rId10"/>
    <sheet name="Sheet11" sheetId="12" r:id="rId11"/>
    <sheet name="Sheet12" sheetId="13" r:id="rId12"/>
    <sheet name="Sheet13" sheetId="14" r:id="rId13"/>
    <sheet name="CoverageNo12" sheetId="15" r:id="rId14"/>
    <sheet name="NAsNo12" sheetId="16" r:id="rId15"/>
    <sheet name="CoverageQ_01_05_09" sheetId="17" r:id="rId16"/>
    <sheet name="Sheet17" sheetId="18" r:id="rId17"/>
    <sheet name="res13_h_1" sheetId="19" r:id="rId18"/>
    <sheet name="Final" sheetId="24" r:id="rId19"/>
    <sheet name="ZJQ9Example" sheetId="23" r:id="rId20"/>
    <sheet name="FailureRate" sheetId="25" r:id="rId21"/>
    <sheet name="res_14" sheetId="22" r:id="rId22"/>
  </sheets>
  <definedNames>
    <definedName name="_xlnm._FilterDatabase" localSheetId="13" hidden="1">CoverageNo12!$A$1:$R$63</definedName>
    <definedName name="_xlnm._FilterDatabase" localSheetId="15" hidden="1">CoverageQ_01_05_09!$A$3:$T$33</definedName>
    <definedName name="_xlnm._FilterDatabase" localSheetId="18" hidden="1">Final!$A$3:$Y$21</definedName>
    <definedName name="_xlnm._FilterDatabase" localSheetId="7" hidden="1">pub_results!$L$22:$AB$46</definedName>
    <definedName name="_xlnm._FilterDatabase" localSheetId="17" hidden="1">res13_h_1!$A$2:$AF$92</definedName>
    <definedName name="_xlnm._FilterDatabase" localSheetId="9" hidden="1">results_nv90!$A$3:$R$27</definedName>
    <definedName name="_xlnm._FilterDatabase" localSheetId="8" hidden="1">results_nv95!$A$1:$R$25</definedName>
    <definedName name="_xlnm._FilterDatabase" localSheetId="6" hidden="1">Sheet7!$A$3:$Q$27</definedName>
    <definedName name="_xlnm._FilterDatabase" localSheetId="0" hidden="1">sim_results_v2!$A$3:$AE$3</definedName>
    <definedName name="_xlnm._FilterDatabase" localSheetId="2" hidden="1">'v4'!$A$3:$H$183</definedName>
    <definedName name="_xlnm._FilterDatabase" localSheetId="3" hidden="1">'v5'!$A$3:$W$183</definedName>
    <definedName name="_xlnm._FilterDatabase" localSheetId="4" hidden="1">'v6'!$A$3:$H$93</definedName>
    <definedName name="_xlnm._FilterDatabase" localSheetId="5" hidden="1">v6_wide!$A$3:$Q$27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I56" i="23" l="1"/>
  <c r="H56" i="23"/>
  <c r="G56" i="23"/>
  <c r="F56" i="23"/>
  <c r="I55" i="23"/>
  <c r="H55" i="23"/>
  <c r="G55" i="23"/>
  <c r="F55" i="23"/>
  <c r="I54" i="23"/>
  <c r="H54" i="23"/>
  <c r="G54" i="23"/>
  <c r="F54" i="23"/>
  <c r="I53" i="23"/>
  <c r="H53" i="23"/>
  <c r="G53" i="23"/>
  <c r="F53" i="23"/>
  <c r="I52" i="23"/>
  <c r="H52" i="23"/>
  <c r="G52" i="23"/>
  <c r="F52" i="23"/>
  <c r="I51" i="23"/>
  <c r="H51" i="23"/>
  <c r="G51" i="23"/>
  <c r="F51" i="23"/>
  <c r="D56" i="23"/>
  <c r="D55" i="23"/>
  <c r="D54" i="23"/>
  <c r="D53" i="23"/>
  <c r="D52" i="23"/>
  <c r="I50" i="23"/>
  <c r="I49" i="23"/>
  <c r="I48" i="23"/>
  <c r="I47" i="23"/>
  <c r="I46" i="23"/>
  <c r="I45" i="23"/>
  <c r="H50" i="23"/>
  <c r="H49" i="23"/>
  <c r="H48" i="23"/>
  <c r="H47" i="23"/>
  <c r="H46" i="23"/>
  <c r="H45" i="23"/>
  <c r="G50" i="23"/>
  <c r="G49" i="23"/>
  <c r="G48" i="23"/>
  <c r="G47" i="23"/>
  <c r="G46" i="23"/>
  <c r="G45" i="23"/>
  <c r="F50" i="23"/>
  <c r="F49" i="23"/>
  <c r="F48" i="23"/>
  <c r="F47" i="23"/>
  <c r="F46" i="23"/>
  <c r="F45" i="23"/>
  <c r="D50" i="23"/>
  <c r="D49" i="23"/>
  <c r="D48" i="23"/>
  <c r="D47" i="23"/>
  <c r="D46" i="23"/>
  <c r="D51" i="23"/>
  <c r="D45" i="23"/>
  <c r="H21" i="23"/>
  <c r="G21" i="23"/>
  <c r="H20" i="23"/>
  <c r="G20" i="23"/>
  <c r="H19" i="23"/>
  <c r="G19" i="23"/>
  <c r="H18" i="23"/>
  <c r="G18" i="23"/>
  <c r="H17" i="23"/>
  <c r="G17" i="23"/>
  <c r="H16" i="23"/>
  <c r="G16" i="23"/>
  <c r="H15" i="23"/>
  <c r="G15" i="23"/>
  <c r="H14" i="23"/>
  <c r="G14" i="23"/>
  <c r="H13" i="23"/>
  <c r="G13" i="23"/>
  <c r="H12" i="23"/>
  <c r="G12" i="23"/>
  <c r="H11" i="23"/>
  <c r="G11" i="23"/>
  <c r="H10" i="23"/>
  <c r="G10" i="23"/>
  <c r="H9" i="23"/>
  <c r="G9" i="23"/>
  <c r="H8" i="23"/>
  <c r="G8" i="23"/>
  <c r="H7" i="23"/>
  <c r="G7" i="23"/>
  <c r="H6" i="23"/>
  <c r="G6" i="23"/>
  <c r="H5" i="23"/>
  <c r="G5" i="23"/>
  <c r="H4" i="23"/>
  <c r="G4" i="23"/>
  <c r="N20" i="23"/>
  <c r="M20" i="23"/>
  <c r="L20" i="23"/>
  <c r="K20" i="23"/>
  <c r="N19" i="23"/>
  <c r="M19" i="23"/>
  <c r="L19" i="23"/>
  <c r="K19" i="23"/>
  <c r="N18" i="23"/>
  <c r="M18" i="23"/>
  <c r="L18" i="23"/>
  <c r="K18" i="23"/>
  <c r="N17" i="23"/>
  <c r="M17" i="23"/>
  <c r="L17" i="23"/>
  <c r="K17" i="23"/>
  <c r="N16" i="23"/>
  <c r="M16" i="23"/>
  <c r="L16" i="23"/>
  <c r="K16" i="23"/>
  <c r="N14" i="23"/>
  <c r="M14" i="23"/>
  <c r="L14" i="23"/>
  <c r="K14" i="23"/>
  <c r="N13" i="23"/>
  <c r="M13" i="23"/>
  <c r="L13" i="23"/>
  <c r="K13" i="23"/>
  <c r="N12" i="23"/>
  <c r="M12" i="23"/>
  <c r="L12" i="23"/>
  <c r="K12" i="23"/>
  <c r="N11" i="23"/>
  <c r="M11" i="23"/>
  <c r="L11" i="23"/>
  <c r="K11" i="23"/>
  <c r="N10" i="23"/>
  <c r="M10" i="23"/>
  <c r="L10" i="23"/>
  <c r="K10" i="23"/>
  <c r="N8" i="23"/>
  <c r="M8" i="23"/>
  <c r="L8" i="23"/>
  <c r="K8" i="23"/>
  <c r="N7" i="23"/>
  <c r="M7" i="23"/>
  <c r="L7" i="23"/>
  <c r="K7" i="23"/>
  <c r="N6" i="23"/>
  <c r="M6" i="23"/>
  <c r="L6" i="23"/>
  <c r="K6" i="23"/>
  <c r="N5" i="23"/>
  <c r="M5" i="23"/>
  <c r="L5" i="23"/>
  <c r="K5" i="23"/>
  <c r="N4" i="23"/>
  <c r="M4" i="23"/>
  <c r="L4" i="23"/>
  <c r="K4" i="23"/>
  <c r="N3" i="23"/>
  <c r="M3" i="23"/>
  <c r="L3" i="23"/>
  <c r="K3" i="23"/>
  <c r="AX56" i="22"/>
  <c r="AW56" i="22"/>
  <c r="AV56" i="22"/>
  <c r="AU56" i="22"/>
  <c r="AT56" i="22"/>
  <c r="AS56" i="22"/>
  <c r="AR56" i="22"/>
  <c r="AQ56" i="22"/>
  <c r="AP56" i="22"/>
  <c r="AO56" i="22"/>
  <c r="AN56" i="22"/>
  <c r="AM56" i="22"/>
  <c r="AL56" i="22"/>
  <c r="AK56" i="22"/>
  <c r="AJ56" i="22"/>
  <c r="AI56" i="22"/>
  <c r="AH56" i="22"/>
  <c r="AG56" i="22"/>
  <c r="AF56" i="22"/>
  <c r="AE56" i="22"/>
  <c r="AD56" i="22"/>
  <c r="AC56" i="22"/>
  <c r="AB56" i="22"/>
  <c r="AA56" i="22"/>
  <c r="Z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AX55" i="22"/>
  <c r="AW55" i="22"/>
  <c r="AV55" i="22"/>
  <c r="AU55" i="22"/>
  <c r="AT55" i="22"/>
  <c r="AS55" i="22"/>
  <c r="AR55" i="22"/>
  <c r="AQ55" i="22"/>
  <c r="AP55" i="22"/>
  <c r="AO55" i="22"/>
  <c r="AN55" i="22"/>
  <c r="AM55" i="22"/>
  <c r="AL55" i="22"/>
  <c r="AK55" i="22"/>
  <c r="AJ55" i="22"/>
  <c r="AI55" i="22"/>
  <c r="AH55" i="22"/>
  <c r="AG55" i="22"/>
  <c r="AF55" i="22"/>
  <c r="AE55" i="22"/>
  <c r="AD55" i="22"/>
  <c r="AC55" i="22"/>
  <c r="AB55" i="22"/>
  <c r="AA55" i="22"/>
  <c r="Z55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AX54" i="22"/>
  <c r="AW54" i="22"/>
  <c r="AV54" i="22"/>
  <c r="AU54" i="22"/>
  <c r="AT54" i="22"/>
  <c r="AS54" i="22"/>
  <c r="AR54" i="22"/>
  <c r="AQ54" i="22"/>
  <c r="AP54" i="22"/>
  <c r="AO54" i="22"/>
  <c r="AN54" i="22"/>
  <c r="AM54" i="22"/>
  <c r="AL54" i="22"/>
  <c r="AK54" i="22"/>
  <c r="AJ54" i="22"/>
  <c r="AI54" i="22"/>
  <c r="AH54" i="22"/>
  <c r="AG54" i="22"/>
  <c r="AF54" i="22"/>
  <c r="AE54" i="22"/>
  <c r="AD54" i="22"/>
  <c r="AC54" i="22"/>
  <c r="AB54" i="22"/>
  <c r="AA54" i="22"/>
  <c r="Z54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AX53" i="22"/>
  <c r="AW53" i="22"/>
  <c r="AV53" i="22"/>
  <c r="AU53" i="22"/>
  <c r="AT53" i="22"/>
  <c r="AS53" i="22"/>
  <c r="AR53" i="22"/>
  <c r="AQ53" i="22"/>
  <c r="AP53" i="22"/>
  <c r="AO53" i="22"/>
  <c r="AN53" i="22"/>
  <c r="AM53" i="22"/>
  <c r="AL53" i="22"/>
  <c r="AK53" i="22"/>
  <c r="AJ53" i="22"/>
  <c r="AI53" i="22"/>
  <c r="AH53" i="22"/>
  <c r="AG53" i="22"/>
  <c r="AF53" i="22"/>
  <c r="AE53" i="22"/>
  <c r="AD53" i="22"/>
  <c r="AC53" i="22"/>
  <c r="AB53" i="22"/>
  <c r="AA53" i="22"/>
  <c r="Z53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AX52" i="22"/>
  <c r="AW52" i="22"/>
  <c r="AV52" i="22"/>
  <c r="AU52" i="22"/>
  <c r="AT52" i="22"/>
  <c r="AS52" i="22"/>
  <c r="AR52" i="22"/>
  <c r="AQ52" i="22"/>
  <c r="AP52" i="22"/>
  <c r="AO52" i="22"/>
  <c r="AN52" i="22"/>
  <c r="AM52" i="22"/>
  <c r="AL52" i="22"/>
  <c r="AK52" i="22"/>
  <c r="AJ52" i="22"/>
  <c r="AI52" i="22"/>
  <c r="AH52" i="22"/>
  <c r="AG52" i="22"/>
  <c r="AF52" i="22"/>
  <c r="AE52" i="22"/>
  <c r="AD52" i="22"/>
  <c r="AC52" i="22"/>
  <c r="AB52" i="22"/>
  <c r="AA52" i="22"/>
  <c r="Z52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AX51" i="22"/>
  <c r="AW51" i="22"/>
  <c r="AV51" i="22"/>
  <c r="AU51" i="22"/>
  <c r="AT51" i="22"/>
  <c r="AS51" i="22"/>
  <c r="AR51" i="22"/>
  <c r="AQ51" i="22"/>
  <c r="AP51" i="22"/>
  <c r="AO51" i="22"/>
  <c r="AN51" i="22"/>
  <c r="AM51" i="22"/>
  <c r="AL51" i="22"/>
  <c r="AK51" i="22"/>
  <c r="AJ51" i="22"/>
  <c r="AI51" i="22"/>
  <c r="AH51" i="22"/>
  <c r="AG51" i="22"/>
  <c r="AF51" i="22"/>
  <c r="AE51" i="22"/>
  <c r="AD51" i="22"/>
  <c r="AC51" i="22"/>
  <c r="AB51" i="22"/>
  <c r="AA51" i="22"/>
  <c r="Z51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AX50" i="22"/>
  <c r="AW50" i="22"/>
  <c r="AV50" i="22"/>
  <c r="AU50" i="22"/>
  <c r="AT50" i="22"/>
  <c r="AS50" i="22"/>
  <c r="AR50" i="22"/>
  <c r="AQ50" i="22"/>
  <c r="AP50" i="22"/>
  <c r="AO50" i="22"/>
  <c r="AN50" i="22"/>
  <c r="AM50" i="22"/>
  <c r="AL50" i="22"/>
  <c r="AK50" i="22"/>
  <c r="AJ50" i="22"/>
  <c r="AI50" i="22"/>
  <c r="AH50" i="22"/>
  <c r="AG50" i="22"/>
  <c r="AF50" i="22"/>
  <c r="AE50" i="22"/>
  <c r="AD50" i="22"/>
  <c r="AC50" i="22"/>
  <c r="AB50" i="22"/>
  <c r="AA50" i="22"/>
  <c r="Z50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AX49" i="22"/>
  <c r="AW49" i="22"/>
  <c r="AV49" i="22"/>
  <c r="AU49" i="22"/>
  <c r="AT49" i="22"/>
  <c r="AS49" i="22"/>
  <c r="AR49" i="22"/>
  <c r="AQ49" i="22"/>
  <c r="AP49" i="22"/>
  <c r="AO49" i="22"/>
  <c r="AN49" i="22"/>
  <c r="AM49" i="22"/>
  <c r="AL49" i="22"/>
  <c r="AK49" i="22"/>
  <c r="AJ49" i="22"/>
  <c r="AI49" i="22"/>
  <c r="AH49" i="22"/>
  <c r="AG49" i="22"/>
  <c r="AF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AX48" i="22"/>
  <c r="AW48" i="22"/>
  <c r="AV48" i="22"/>
  <c r="AU48" i="22"/>
  <c r="AT48" i="22"/>
  <c r="AS48" i="22"/>
  <c r="AR48" i="22"/>
  <c r="AQ48" i="22"/>
  <c r="AP48" i="22"/>
  <c r="AO48" i="22"/>
  <c r="AN48" i="22"/>
  <c r="AM48" i="22"/>
  <c r="AL48" i="22"/>
  <c r="AK48" i="22"/>
  <c r="AJ48" i="22"/>
  <c r="AI48" i="22"/>
  <c r="AH48" i="22"/>
  <c r="AG48" i="22"/>
  <c r="AF48" i="22"/>
  <c r="AE48" i="22"/>
  <c r="AD48" i="22"/>
  <c r="AC48" i="22"/>
  <c r="AB48" i="22"/>
  <c r="AA48" i="22"/>
  <c r="Z48" i="22"/>
  <c r="Y48" i="22"/>
  <c r="X48" i="22"/>
  <c r="W48" i="22"/>
  <c r="V48" i="22"/>
  <c r="U48" i="22"/>
  <c r="T48" i="22"/>
  <c r="S48" i="22"/>
  <c r="R48" i="22"/>
  <c r="Q48" i="22"/>
  <c r="P48" i="22"/>
  <c r="O48" i="22"/>
  <c r="N48" i="22"/>
  <c r="M48" i="22"/>
  <c r="L48" i="22"/>
  <c r="K48" i="22"/>
  <c r="J48" i="22"/>
  <c r="I48" i="22"/>
  <c r="H48" i="22"/>
  <c r="G48" i="22"/>
  <c r="F48" i="22"/>
  <c r="AX47" i="22"/>
  <c r="AW47" i="22"/>
  <c r="AV47" i="22"/>
  <c r="AU47" i="22"/>
  <c r="AT47" i="22"/>
  <c r="AS47" i="22"/>
  <c r="AR47" i="22"/>
  <c r="AQ47" i="22"/>
  <c r="AP47" i="22"/>
  <c r="AO47" i="22"/>
  <c r="AN47" i="22"/>
  <c r="AM47" i="22"/>
  <c r="AL47" i="22"/>
  <c r="AK47" i="22"/>
  <c r="AJ47" i="22"/>
  <c r="AI47" i="22"/>
  <c r="AH47" i="22"/>
  <c r="AG47" i="22"/>
  <c r="AF47" i="22"/>
  <c r="AE47" i="22"/>
  <c r="AD47" i="22"/>
  <c r="AC47" i="22"/>
  <c r="AB47" i="22"/>
  <c r="AA47" i="22"/>
  <c r="Z47" i="22"/>
  <c r="Y47" i="22"/>
  <c r="X47" i="22"/>
  <c r="W47" i="22"/>
  <c r="V47" i="22"/>
  <c r="U47" i="22"/>
  <c r="T47" i="22"/>
  <c r="S47" i="22"/>
  <c r="R47" i="22"/>
  <c r="Q47" i="22"/>
  <c r="P47" i="22"/>
  <c r="O47" i="22"/>
  <c r="N47" i="22"/>
  <c r="M47" i="22"/>
  <c r="L47" i="22"/>
  <c r="K47" i="22"/>
  <c r="J47" i="22"/>
  <c r="I47" i="22"/>
  <c r="H47" i="22"/>
  <c r="G47" i="22"/>
  <c r="F47" i="22"/>
  <c r="AX46" i="22"/>
  <c r="AW46" i="22"/>
  <c r="AV46" i="22"/>
  <c r="AU46" i="22"/>
  <c r="AT46" i="22"/>
  <c r="AS46" i="22"/>
  <c r="AR46" i="22"/>
  <c r="AQ46" i="22"/>
  <c r="AP46" i="22"/>
  <c r="AO46" i="22"/>
  <c r="AN46" i="22"/>
  <c r="AM46" i="22"/>
  <c r="AL46" i="22"/>
  <c r="AK46" i="22"/>
  <c r="AJ46" i="22"/>
  <c r="AI46" i="22"/>
  <c r="AH46" i="22"/>
  <c r="AG46" i="22"/>
  <c r="AF46" i="22"/>
  <c r="AE46" i="22"/>
  <c r="AD46" i="22"/>
  <c r="AC46" i="22"/>
  <c r="AB46" i="22"/>
  <c r="AA46" i="22"/>
  <c r="Z46" i="22"/>
  <c r="Y46" i="22"/>
  <c r="X46" i="22"/>
  <c r="W46" i="22"/>
  <c r="V46" i="22"/>
  <c r="U46" i="22"/>
  <c r="T46" i="22"/>
  <c r="S46" i="22"/>
  <c r="R46" i="22"/>
  <c r="Q46" i="22"/>
  <c r="P46" i="22"/>
  <c r="O46" i="22"/>
  <c r="N46" i="22"/>
  <c r="M46" i="22"/>
  <c r="L46" i="22"/>
  <c r="K46" i="22"/>
  <c r="J46" i="22"/>
  <c r="I46" i="22"/>
  <c r="H46" i="22"/>
  <c r="G46" i="22"/>
  <c r="F46" i="22"/>
  <c r="AX45" i="22"/>
  <c r="AW45" i="22"/>
  <c r="AV45" i="22"/>
  <c r="AU45" i="22"/>
  <c r="AT45" i="22"/>
  <c r="AS45" i="22"/>
  <c r="AR45" i="22"/>
  <c r="AQ45" i="22"/>
  <c r="AP45" i="22"/>
  <c r="AO45" i="22"/>
  <c r="AN45" i="22"/>
  <c r="AM45" i="22"/>
  <c r="AL45" i="22"/>
  <c r="AK45" i="22"/>
  <c r="AJ45" i="22"/>
  <c r="AI45" i="22"/>
  <c r="AH45" i="22"/>
  <c r="AG45" i="22"/>
  <c r="AF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AX44" i="22"/>
  <c r="AW44" i="22"/>
  <c r="AV44" i="22"/>
  <c r="AU44" i="22"/>
  <c r="AT44" i="22"/>
  <c r="AS44" i="22"/>
  <c r="AR44" i="22"/>
  <c r="AQ44" i="22"/>
  <c r="AP44" i="22"/>
  <c r="AO44" i="22"/>
  <c r="AN44" i="22"/>
  <c r="AM44" i="22"/>
  <c r="AL44" i="22"/>
  <c r="AK44" i="22"/>
  <c r="AJ44" i="22"/>
  <c r="AI44" i="22"/>
  <c r="AH44" i="22"/>
  <c r="AG44" i="22"/>
  <c r="AF44" i="22"/>
  <c r="AE44" i="22"/>
  <c r="AD44" i="22"/>
  <c r="AC44" i="22"/>
  <c r="AB44" i="22"/>
  <c r="AA44" i="22"/>
  <c r="Z44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AX43" i="22"/>
  <c r="AW43" i="22"/>
  <c r="AV43" i="22"/>
  <c r="AU43" i="22"/>
  <c r="AT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F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AX42" i="22"/>
  <c r="AW42" i="22"/>
  <c r="AV42" i="22"/>
  <c r="AU42" i="22"/>
  <c r="AT42" i="22"/>
  <c r="AS42" i="22"/>
  <c r="AR42" i="22"/>
  <c r="AQ42" i="22"/>
  <c r="AP42" i="22"/>
  <c r="AO42" i="22"/>
  <c r="AN42" i="22"/>
  <c r="AM42" i="22"/>
  <c r="AL42" i="22"/>
  <c r="AK42" i="22"/>
  <c r="AJ42" i="22"/>
  <c r="AI42" i="22"/>
  <c r="AH42" i="22"/>
  <c r="AG42" i="22"/>
  <c r="AF42" i="22"/>
  <c r="AE42" i="22"/>
  <c r="AD42" i="22"/>
  <c r="AC42" i="22"/>
  <c r="AB42" i="22"/>
  <c r="AA42" i="22"/>
  <c r="Z42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AX41" i="22"/>
  <c r="AW41" i="22"/>
  <c r="AV41" i="22"/>
  <c r="AU41" i="22"/>
  <c r="AT41" i="22"/>
  <c r="AS41" i="22"/>
  <c r="AR41" i="22"/>
  <c r="AQ41" i="22"/>
  <c r="AP41" i="22"/>
  <c r="AO41" i="22"/>
  <c r="AN41" i="22"/>
  <c r="AM41" i="22"/>
  <c r="AL41" i="22"/>
  <c r="AK41" i="22"/>
  <c r="AJ41" i="22"/>
  <c r="AI41" i="22"/>
  <c r="AH41" i="22"/>
  <c r="AG41" i="22"/>
  <c r="AF41" i="22"/>
  <c r="AE41" i="22"/>
  <c r="AD41" i="22"/>
  <c r="AC41" i="22"/>
  <c r="AB41" i="22"/>
  <c r="AA41" i="22"/>
  <c r="Z41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AX40" i="22"/>
  <c r="AW40" i="22"/>
  <c r="AV40" i="22"/>
  <c r="AU40" i="22"/>
  <c r="AT40" i="22"/>
  <c r="AS40" i="22"/>
  <c r="AR40" i="22"/>
  <c r="AQ40" i="22"/>
  <c r="AP40" i="22"/>
  <c r="AO40" i="22"/>
  <c r="AN40" i="22"/>
  <c r="AM40" i="22"/>
  <c r="AL40" i="22"/>
  <c r="AK40" i="22"/>
  <c r="AJ40" i="22"/>
  <c r="AI40" i="22"/>
  <c r="AH40" i="22"/>
  <c r="AG40" i="22"/>
  <c r="AF40" i="22"/>
  <c r="AE40" i="22"/>
  <c r="AD40" i="22"/>
  <c r="AC40" i="22"/>
  <c r="AB40" i="22"/>
  <c r="AA40" i="22"/>
  <c r="Z40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AX39" i="22"/>
  <c r="AW39" i="22"/>
  <c r="AV39" i="22"/>
  <c r="AU39" i="22"/>
  <c r="AT39" i="22"/>
  <c r="AS39" i="22"/>
  <c r="AR39" i="22"/>
  <c r="AQ39" i="22"/>
  <c r="AP39" i="22"/>
  <c r="AO39" i="22"/>
  <c r="AN39" i="22"/>
  <c r="AM39" i="22"/>
  <c r="AL39" i="22"/>
  <c r="AK39" i="22"/>
  <c r="AJ39" i="22"/>
  <c r="AI39" i="22"/>
  <c r="AH39" i="22"/>
  <c r="AG39" i="22"/>
  <c r="AF39" i="22"/>
  <c r="AE39" i="22"/>
  <c r="AD39" i="22"/>
  <c r="AC39" i="22"/>
  <c r="AB39" i="22"/>
  <c r="AA39" i="22"/>
  <c r="Z39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56" i="22"/>
  <c r="E55" i="22"/>
  <c r="E54" i="22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E40" i="22"/>
  <c r="E39" i="22"/>
  <c r="AF74" i="19"/>
  <c r="AF92" i="19" s="1"/>
  <c r="AE74" i="19"/>
  <c r="AE92" i="19" s="1"/>
  <c r="AD74" i="19"/>
  <c r="AD92" i="19" s="1"/>
  <c r="AC74" i="19"/>
  <c r="AC92" i="19" s="1"/>
  <c r="AB74" i="19"/>
  <c r="AB92" i="19" s="1"/>
  <c r="AA74" i="19"/>
  <c r="AA92" i="19" s="1"/>
  <c r="Z74" i="19"/>
  <c r="Z92" i="19" s="1"/>
  <c r="Y74" i="19"/>
  <c r="Y92" i="19" s="1"/>
  <c r="X74" i="19"/>
  <c r="X92" i="19" s="1"/>
  <c r="W74" i="19"/>
  <c r="W92" i="19" s="1"/>
  <c r="V74" i="19"/>
  <c r="V92" i="19" s="1"/>
  <c r="U74" i="19"/>
  <c r="U92" i="19" s="1"/>
  <c r="T74" i="19"/>
  <c r="T92" i="19" s="1"/>
  <c r="S74" i="19"/>
  <c r="S92" i="19" s="1"/>
  <c r="R74" i="19"/>
  <c r="R92" i="19" s="1"/>
  <c r="Q74" i="19"/>
  <c r="Q92" i="19" s="1"/>
  <c r="P74" i="19"/>
  <c r="P92" i="19" s="1"/>
  <c r="O74" i="19"/>
  <c r="O92" i="19" s="1"/>
  <c r="N74" i="19"/>
  <c r="N92" i="19" s="1"/>
  <c r="M74" i="19"/>
  <c r="M92" i="19" s="1"/>
  <c r="L74" i="19"/>
  <c r="L92" i="19" s="1"/>
  <c r="K74" i="19"/>
  <c r="K92" i="19" s="1"/>
  <c r="J74" i="19"/>
  <c r="J92" i="19" s="1"/>
  <c r="I74" i="19"/>
  <c r="I92" i="19" s="1"/>
  <c r="H74" i="19"/>
  <c r="H92" i="19" s="1"/>
  <c r="G74" i="19"/>
  <c r="G92" i="19" s="1"/>
  <c r="F74" i="19"/>
  <c r="F92" i="19" s="1"/>
  <c r="E74" i="19"/>
  <c r="E92" i="19" s="1"/>
  <c r="AF73" i="19"/>
  <c r="AF91" i="19" s="1"/>
  <c r="AE73" i="19"/>
  <c r="AE91" i="19" s="1"/>
  <c r="AD73" i="19"/>
  <c r="AD91" i="19" s="1"/>
  <c r="AC73" i="19"/>
  <c r="AC91" i="19" s="1"/>
  <c r="AB73" i="19"/>
  <c r="AB91" i="19" s="1"/>
  <c r="AA73" i="19"/>
  <c r="AA91" i="19" s="1"/>
  <c r="Z73" i="19"/>
  <c r="Z91" i="19" s="1"/>
  <c r="Y73" i="19"/>
  <c r="Y91" i="19" s="1"/>
  <c r="X73" i="19"/>
  <c r="X91" i="19" s="1"/>
  <c r="W73" i="19"/>
  <c r="W91" i="19" s="1"/>
  <c r="V73" i="19"/>
  <c r="V91" i="19" s="1"/>
  <c r="U73" i="19"/>
  <c r="U91" i="19" s="1"/>
  <c r="T73" i="19"/>
  <c r="T91" i="19" s="1"/>
  <c r="S73" i="19"/>
  <c r="S91" i="19" s="1"/>
  <c r="R73" i="19"/>
  <c r="R91" i="19" s="1"/>
  <c r="Q73" i="19"/>
  <c r="Q91" i="19" s="1"/>
  <c r="P73" i="19"/>
  <c r="P91" i="19" s="1"/>
  <c r="O73" i="19"/>
  <c r="O91" i="19" s="1"/>
  <c r="N73" i="19"/>
  <c r="N91" i="19" s="1"/>
  <c r="M73" i="19"/>
  <c r="M91" i="19" s="1"/>
  <c r="L73" i="19"/>
  <c r="L91" i="19" s="1"/>
  <c r="K73" i="19"/>
  <c r="K91" i="19" s="1"/>
  <c r="J73" i="19"/>
  <c r="J91" i="19" s="1"/>
  <c r="I73" i="19"/>
  <c r="I91" i="19" s="1"/>
  <c r="H73" i="19"/>
  <c r="H91" i="19" s="1"/>
  <c r="G73" i="19"/>
  <c r="G91" i="19" s="1"/>
  <c r="F73" i="19"/>
  <c r="F91" i="19" s="1"/>
  <c r="E73" i="19"/>
  <c r="E91" i="19" s="1"/>
  <c r="AF72" i="19"/>
  <c r="AF90" i="19" s="1"/>
  <c r="AE72" i="19"/>
  <c r="AE90" i="19" s="1"/>
  <c r="AD72" i="19"/>
  <c r="AD90" i="19" s="1"/>
  <c r="AC72" i="19"/>
  <c r="AC90" i="19" s="1"/>
  <c r="AB72" i="19"/>
  <c r="AB90" i="19" s="1"/>
  <c r="AA72" i="19"/>
  <c r="AA90" i="19" s="1"/>
  <c r="Z72" i="19"/>
  <c r="Z90" i="19" s="1"/>
  <c r="Y72" i="19"/>
  <c r="Y90" i="19" s="1"/>
  <c r="X72" i="19"/>
  <c r="X90" i="19" s="1"/>
  <c r="W72" i="19"/>
  <c r="W90" i="19" s="1"/>
  <c r="V72" i="19"/>
  <c r="V90" i="19" s="1"/>
  <c r="U72" i="19"/>
  <c r="U90" i="19" s="1"/>
  <c r="T72" i="19"/>
  <c r="T90" i="19" s="1"/>
  <c r="S72" i="19"/>
  <c r="S90" i="19" s="1"/>
  <c r="R72" i="19"/>
  <c r="R90" i="19" s="1"/>
  <c r="Q72" i="19"/>
  <c r="Q90" i="19" s="1"/>
  <c r="P72" i="19"/>
  <c r="P90" i="19" s="1"/>
  <c r="O72" i="19"/>
  <c r="O90" i="19" s="1"/>
  <c r="N72" i="19"/>
  <c r="N90" i="19" s="1"/>
  <c r="M72" i="19"/>
  <c r="M90" i="19" s="1"/>
  <c r="L72" i="19"/>
  <c r="L90" i="19" s="1"/>
  <c r="K72" i="19"/>
  <c r="K90" i="19" s="1"/>
  <c r="J72" i="19"/>
  <c r="J90" i="19" s="1"/>
  <c r="I72" i="19"/>
  <c r="I90" i="19" s="1"/>
  <c r="H72" i="19"/>
  <c r="H90" i="19" s="1"/>
  <c r="G72" i="19"/>
  <c r="G90" i="19" s="1"/>
  <c r="F72" i="19"/>
  <c r="F90" i="19" s="1"/>
  <c r="E72" i="19"/>
  <c r="E90" i="19" s="1"/>
  <c r="AF71" i="19"/>
  <c r="AF89" i="19" s="1"/>
  <c r="AE71" i="19"/>
  <c r="AE89" i="19" s="1"/>
  <c r="AD71" i="19"/>
  <c r="AD89" i="19" s="1"/>
  <c r="AC71" i="19"/>
  <c r="AC89" i="19" s="1"/>
  <c r="AB71" i="19"/>
  <c r="AB89" i="19" s="1"/>
  <c r="AA71" i="19"/>
  <c r="AA89" i="19" s="1"/>
  <c r="Z71" i="19"/>
  <c r="Z89" i="19" s="1"/>
  <c r="Y71" i="19"/>
  <c r="Y89" i="19" s="1"/>
  <c r="X71" i="19"/>
  <c r="X89" i="19" s="1"/>
  <c r="W71" i="19"/>
  <c r="W89" i="19" s="1"/>
  <c r="V71" i="19"/>
  <c r="V89" i="19" s="1"/>
  <c r="U71" i="19"/>
  <c r="U89" i="19" s="1"/>
  <c r="T71" i="19"/>
  <c r="T89" i="19" s="1"/>
  <c r="S71" i="19"/>
  <c r="S89" i="19" s="1"/>
  <c r="R71" i="19"/>
  <c r="R89" i="19" s="1"/>
  <c r="Q71" i="19"/>
  <c r="Q89" i="19" s="1"/>
  <c r="P71" i="19"/>
  <c r="P89" i="19" s="1"/>
  <c r="O71" i="19"/>
  <c r="O89" i="19" s="1"/>
  <c r="N71" i="19"/>
  <c r="N89" i="19" s="1"/>
  <c r="M71" i="19"/>
  <c r="M89" i="19" s="1"/>
  <c r="L71" i="19"/>
  <c r="L89" i="19" s="1"/>
  <c r="K71" i="19"/>
  <c r="K89" i="19" s="1"/>
  <c r="J71" i="19"/>
  <c r="J89" i="19" s="1"/>
  <c r="I71" i="19"/>
  <c r="I89" i="19" s="1"/>
  <c r="H71" i="19"/>
  <c r="H89" i="19" s="1"/>
  <c r="G71" i="19"/>
  <c r="G89" i="19" s="1"/>
  <c r="F71" i="19"/>
  <c r="F89" i="19" s="1"/>
  <c r="E71" i="19"/>
  <c r="E89" i="19" s="1"/>
  <c r="AF70" i="19"/>
  <c r="AF88" i="19" s="1"/>
  <c r="AE70" i="19"/>
  <c r="AE88" i="19" s="1"/>
  <c r="AD70" i="19"/>
  <c r="AD88" i="19" s="1"/>
  <c r="AC70" i="19"/>
  <c r="AC88" i="19" s="1"/>
  <c r="AB70" i="19"/>
  <c r="AB88" i="19" s="1"/>
  <c r="AA70" i="19"/>
  <c r="AA88" i="19" s="1"/>
  <c r="Z70" i="19"/>
  <c r="Z88" i="19" s="1"/>
  <c r="Y70" i="19"/>
  <c r="Y88" i="19" s="1"/>
  <c r="X70" i="19"/>
  <c r="X88" i="19" s="1"/>
  <c r="W70" i="19"/>
  <c r="W88" i="19" s="1"/>
  <c r="V70" i="19"/>
  <c r="V88" i="19" s="1"/>
  <c r="U70" i="19"/>
  <c r="U88" i="19" s="1"/>
  <c r="T70" i="19"/>
  <c r="T88" i="19" s="1"/>
  <c r="S70" i="19"/>
  <c r="S88" i="19" s="1"/>
  <c r="R70" i="19"/>
  <c r="R88" i="19" s="1"/>
  <c r="Q70" i="19"/>
  <c r="Q88" i="19" s="1"/>
  <c r="P70" i="19"/>
  <c r="P88" i="19" s="1"/>
  <c r="O70" i="19"/>
  <c r="O88" i="19" s="1"/>
  <c r="N70" i="19"/>
  <c r="N88" i="19" s="1"/>
  <c r="M70" i="19"/>
  <c r="M88" i="19" s="1"/>
  <c r="L70" i="19"/>
  <c r="L88" i="19" s="1"/>
  <c r="K70" i="19"/>
  <c r="K88" i="19" s="1"/>
  <c r="J70" i="19"/>
  <c r="J88" i="19" s="1"/>
  <c r="I70" i="19"/>
  <c r="I88" i="19" s="1"/>
  <c r="H70" i="19"/>
  <c r="H88" i="19" s="1"/>
  <c r="G70" i="19"/>
  <c r="G88" i="19" s="1"/>
  <c r="F70" i="19"/>
  <c r="F88" i="19" s="1"/>
  <c r="E70" i="19"/>
  <c r="E88" i="19" s="1"/>
  <c r="AF69" i="19"/>
  <c r="AF87" i="19" s="1"/>
  <c r="AE69" i="19"/>
  <c r="AE87" i="19" s="1"/>
  <c r="AD69" i="19"/>
  <c r="AD87" i="19" s="1"/>
  <c r="AC69" i="19"/>
  <c r="AC87" i="19" s="1"/>
  <c r="AB69" i="19"/>
  <c r="AB87" i="19" s="1"/>
  <c r="AA69" i="19"/>
  <c r="AA87" i="19" s="1"/>
  <c r="Z69" i="19"/>
  <c r="Z87" i="19" s="1"/>
  <c r="Y69" i="19"/>
  <c r="Y87" i="19" s="1"/>
  <c r="X69" i="19"/>
  <c r="X87" i="19" s="1"/>
  <c r="W69" i="19"/>
  <c r="W87" i="19" s="1"/>
  <c r="V69" i="19"/>
  <c r="V87" i="19" s="1"/>
  <c r="U69" i="19"/>
  <c r="U87" i="19" s="1"/>
  <c r="T69" i="19"/>
  <c r="T87" i="19" s="1"/>
  <c r="S69" i="19"/>
  <c r="S87" i="19" s="1"/>
  <c r="R69" i="19"/>
  <c r="R87" i="19" s="1"/>
  <c r="Q69" i="19"/>
  <c r="Q87" i="19" s="1"/>
  <c r="P69" i="19"/>
  <c r="P87" i="19" s="1"/>
  <c r="O69" i="19"/>
  <c r="O87" i="19" s="1"/>
  <c r="N69" i="19"/>
  <c r="N87" i="19" s="1"/>
  <c r="M69" i="19"/>
  <c r="M87" i="19" s="1"/>
  <c r="L69" i="19"/>
  <c r="L87" i="19" s="1"/>
  <c r="K69" i="19"/>
  <c r="K87" i="19" s="1"/>
  <c r="J69" i="19"/>
  <c r="J87" i="19" s="1"/>
  <c r="I69" i="19"/>
  <c r="I87" i="19" s="1"/>
  <c r="H69" i="19"/>
  <c r="H87" i="19" s="1"/>
  <c r="G69" i="19"/>
  <c r="G87" i="19" s="1"/>
  <c r="F69" i="19"/>
  <c r="F87" i="19" s="1"/>
  <c r="E69" i="19"/>
  <c r="E87" i="19" s="1"/>
  <c r="AF68" i="19"/>
  <c r="AF86" i="19" s="1"/>
  <c r="AE68" i="19"/>
  <c r="AE86" i="19" s="1"/>
  <c r="AD68" i="19"/>
  <c r="AD86" i="19" s="1"/>
  <c r="AC68" i="19"/>
  <c r="AC86" i="19" s="1"/>
  <c r="AB68" i="19"/>
  <c r="AB86" i="19" s="1"/>
  <c r="AA68" i="19"/>
  <c r="AA86" i="19" s="1"/>
  <c r="Z68" i="19"/>
  <c r="Z86" i="19" s="1"/>
  <c r="Y68" i="19"/>
  <c r="Y86" i="19" s="1"/>
  <c r="X68" i="19"/>
  <c r="X86" i="19" s="1"/>
  <c r="W68" i="19"/>
  <c r="W86" i="19" s="1"/>
  <c r="V68" i="19"/>
  <c r="V86" i="19" s="1"/>
  <c r="U68" i="19"/>
  <c r="U86" i="19" s="1"/>
  <c r="T68" i="19"/>
  <c r="T86" i="19" s="1"/>
  <c r="S68" i="19"/>
  <c r="S86" i="19" s="1"/>
  <c r="R68" i="19"/>
  <c r="R86" i="19" s="1"/>
  <c r="Q68" i="19"/>
  <c r="Q86" i="19" s="1"/>
  <c r="P68" i="19"/>
  <c r="P86" i="19" s="1"/>
  <c r="O68" i="19"/>
  <c r="O86" i="19" s="1"/>
  <c r="N68" i="19"/>
  <c r="N86" i="19" s="1"/>
  <c r="M68" i="19"/>
  <c r="M86" i="19" s="1"/>
  <c r="L68" i="19"/>
  <c r="L86" i="19" s="1"/>
  <c r="K68" i="19"/>
  <c r="K86" i="19" s="1"/>
  <c r="J68" i="19"/>
  <c r="J86" i="19" s="1"/>
  <c r="I68" i="19"/>
  <c r="I86" i="19" s="1"/>
  <c r="H68" i="19"/>
  <c r="H86" i="19" s="1"/>
  <c r="G68" i="19"/>
  <c r="G86" i="19" s="1"/>
  <c r="F68" i="19"/>
  <c r="F86" i="19" s="1"/>
  <c r="E68" i="19"/>
  <c r="E86" i="19" s="1"/>
  <c r="AF67" i="19"/>
  <c r="AF85" i="19" s="1"/>
  <c r="AE67" i="19"/>
  <c r="AE85" i="19" s="1"/>
  <c r="AD67" i="19"/>
  <c r="AD85" i="19" s="1"/>
  <c r="AC67" i="19"/>
  <c r="AC85" i="19" s="1"/>
  <c r="AB67" i="19"/>
  <c r="AB85" i="19" s="1"/>
  <c r="AA67" i="19"/>
  <c r="AA85" i="19" s="1"/>
  <c r="Z67" i="19"/>
  <c r="Z85" i="19" s="1"/>
  <c r="Y67" i="19"/>
  <c r="Y85" i="19" s="1"/>
  <c r="X67" i="19"/>
  <c r="X85" i="19" s="1"/>
  <c r="W67" i="19"/>
  <c r="W85" i="19" s="1"/>
  <c r="V67" i="19"/>
  <c r="V85" i="19" s="1"/>
  <c r="U67" i="19"/>
  <c r="U85" i="19" s="1"/>
  <c r="T67" i="19"/>
  <c r="T85" i="19" s="1"/>
  <c r="S67" i="19"/>
  <c r="S85" i="19" s="1"/>
  <c r="R67" i="19"/>
  <c r="R85" i="19" s="1"/>
  <c r="Q67" i="19"/>
  <c r="Q85" i="19" s="1"/>
  <c r="P67" i="19"/>
  <c r="P85" i="19" s="1"/>
  <c r="O67" i="19"/>
  <c r="O85" i="19" s="1"/>
  <c r="N67" i="19"/>
  <c r="N85" i="19" s="1"/>
  <c r="M67" i="19"/>
  <c r="M85" i="19" s="1"/>
  <c r="L67" i="19"/>
  <c r="L85" i="19" s="1"/>
  <c r="K67" i="19"/>
  <c r="K85" i="19" s="1"/>
  <c r="J67" i="19"/>
  <c r="J85" i="19" s="1"/>
  <c r="I67" i="19"/>
  <c r="I85" i="19" s="1"/>
  <c r="H67" i="19"/>
  <c r="H85" i="19" s="1"/>
  <c r="G67" i="19"/>
  <c r="G85" i="19" s="1"/>
  <c r="F67" i="19"/>
  <c r="F85" i="19" s="1"/>
  <c r="E67" i="19"/>
  <c r="E85" i="19" s="1"/>
  <c r="AF66" i="19"/>
  <c r="AF84" i="19" s="1"/>
  <c r="AE66" i="19"/>
  <c r="AE84" i="19" s="1"/>
  <c r="AD66" i="19"/>
  <c r="AD84" i="19" s="1"/>
  <c r="AC66" i="19"/>
  <c r="AC84" i="19" s="1"/>
  <c r="AB66" i="19"/>
  <c r="AB84" i="19" s="1"/>
  <c r="AA66" i="19"/>
  <c r="AA84" i="19" s="1"/>
  <c r="Z66" i="19"/>
  <c r="Z84" i="19" s="1"/>
  <c r="Y66" i="19"/>
  <c r="Y84" i="19" s="1"/>
  <c r="X66" i="19"/>
  <c r="X84" i="19" s="1"/>
  <c r="W66" i="19"/>
  <c r="W84" i="19" s="1"/>
  <c r="V66" i="19"/>
  <c r="V84" i="19" s="1"/>
  <c r="U66" i="19"/>
  <c r="U84" i="19" s="1"/>
  <c r="T66" i="19"/>
  <c r="T84" i="19" s="1"/>
  <c r="S66" i="19"/>
  <c r="S84" i="19" s="1"/>
  <c r="R66" i="19"/>
  <c r="R84" i="19" s="1"/>
  <c r="Q66" i="19"/>
  <c r="Q84" i="19" s="1"/>
  <c r="P66" i="19"/>
  <c r="P84" i="19" s="1"/>
  <c r="O66" i="19"/>
  <c r="O84" i="19" s="1"/>
  <c r="N66" i="19"/>
  <c r="N84" i="19" s="1"/>
  <c r="M66" i="19"/>
  <c r="M84" i="19" s="1"/>
  <c r="L66" i="19"/>
  <c r="L84" i="19" s="1"/>
  <c r="K66" i="19"/>
  <c r="K84" i="19" s="1"/>
  <c r="J66" i="19"/>
  <c r="J84" i="19" s="1"/>
  <c r="I66" i="19"/>
  <c r="I84" i="19" s="1"/>
  <c r="H66" i="19"/>
  <c r="H84" i="19" s="1"/>
  <c r="G66" i="19"/>
  <c r="G84" i="19" s="1"/>
  <c r="F66" i="19"/>
  <c r="F84" i="19" s="1"/>
  <c r="E66" i="19"/>
  <c r="E84" i="19" s="1"/>
  <c r="AF65" i="19"/>
  <c r="AF83" i="19" s="1"/>
  <c r="AE65" i="19"/>
  <c r="AE83" i="19" s="1"/>
  <c r="AD65" i="19"/>
  <c r="AD83" i="19" s="1"/>
  <c r="AC65" i="19"/>
  <c r="AC83" i="19" s="1"/>
  <c r="AB65" i="19"/>
  <c r="AB83" i="19" s="1"/>
  <c r="AA65" i="19"/>
  <c r="AA83" i="19" s="1"/>
  <c r="Z65" i="19"/>
  <c r="Z83" i="19" s="1"/>
  <c r="Y65" i="19"/>
  <c r="Y83" i="19" s="1"/>
  <c r="X65" i="19"/>
  <c r="X83" i="19" s="1"/>
  <c r="W65" i="19"/>
  <c r="W83" i="19" s="1"/>
  <c r="V65" i="19"/>
  <c r="V83" i="19" s="1"/>
  <c r="U65" i="19"/>
  <c r="U83" i="19" s="1"/>
  <c r="T65" i="19"/>
  <c r="T83" i="19" s="1"/>
  <c r="S65" i="19"/>
  <c r="S83" i="19" s="1"/>
  <c r="R65" i="19"/>
  <c r="R83" i="19" s="1"/>
  <c r="Q65" i="19"/>
  <c r="Q83" i="19" s="1"/>
  <c r="P65" i="19"/>
  <c r="P83" i="19" s="1"/>
  <c r="O65" i="19"/>
  <c r="O83" i="19" s="1"/>
  <c r="N65" i="19"/>
  <c r="N83" i="19" s="1"/>
  <c r="M65" i="19"/>
  <c r="M83" i="19" s="1"/>
  <c r="L65" i="19"/>
  <c r="L83" i="19" s="1"/>
  <c r="K65" i="19"/>
  <c r="K83" i="19" s="1"/>
  <c r="J65" i="19"/>
  <c r="J83" i="19" s="1"/>
  <c r="I65" i="19"/>
  <c r="I83" i="19" s="1"/>
  <c r="H65" i="19"/>
  <c r="H83" i="19" s="1"/>
  <c r="G65" i="19"/>
  <c r="G83" i="19" s="1"/>
  <c r="F65" i="19"/>
  <c r="F83" i="19" s="1"/>
  <c r="E65" i="19"/>
  <c r="E83" i="19" s="1"/>
  <c r="AF64" i="19"/>
  <c r="AF82" i="19" s="1"/>
  <c r="AE64" i="19"/>
  <c r="AE82" i="19" s="1"/>
  <c r="AD64" i="19"/>
  <c r="AD82" i="19" s="1"/>
  <c r="AC64" i="19"/>
  <c r="AC82" i="19" s="1"/>
  <c r="AB64" i="19"/>
  <c r="AB82" i="19" s="1"/>
  <c r="AA64" i="19"/>
  <c r="AA82" i="19" s="1"/>
  <c r="Z64" i="19"/>
  <c r="Z82" i="19" s="1"/>
  <c r="Y64" i="19"/>
  <c r="Y82" i="19" s="1"/>
  <c r="X64" i="19"/>
  <c r="X82" i="19" s="1"/>
  <c r="W64" i="19"/>
  <c r="W82" i="19" s="1"/>
  <c r="V64" i="19"/>
  <c r="V82" i="19" s="1"/>
  <c r="U64" i="19"/>
  <c r="U82" i="19" s="1"/>
  <c r="T64" i="19"/>
  <c r="T82" i="19" s="1"/>
  <c r="S64" i="19"/>
  <c r="S82" i="19" s="1"/>
  <c r="R64" i="19"/>
  <c r="R82" i="19" s="1"/>
  <c r="Q64" i="19"/>
  <c r="Q82" i="19" s="1"/>
  <c r="P64" i="19"/>
  <c r="P82" i="19" s="1"/>
  <c r="O64" i="19"/>
  <c r="O82" i="19" s="1"/>
  <c r="N64" i="19"/>
  <c r="N82" i="19" s="1"/>
  <c r="M64" i="19"/>
  <c r="M82" i="19" s="1"/>
  <c r="L64" i="19"/>
  <c r="L82" i="19" s="1"/>
  <c r="K64" i="19"/>
  <c r="K82" i="19" s="1"/>
  <c r="J64" i="19"/>
  <c r="J82" i="19" s="1"/>
  <c r="I64" i="19"/>
  <c r="I82" i="19" s="1"/>
  <c r="H64" i="19"/>
  <c r="H82" i="19" s="1"/>
  <c r="G64" i="19"/>
  <c r="G82" i="19" s="1"/>
  <c r="F64" i="19"/>
  <c r="F82" i="19" s="1"/>
  <c r="E64" i="19"/>
  <c r="E82" i="19" s="1"/>
  <c r="AF63" i="19"/>
  <c r="AF81" i="19" s="1"/>
  <c r="AE63" i="19"/>
  <c r="AE81" i="19" s="1"/>
  <c r="AD63" i="19"/>
  <c r="AD81" i="19" s="1"/>
  <c r="AC63" i="19"/>
  <c r="AC81" i="19" s="1"/>
  <c r="AB63" i="19"/>
  <c r="AB81" i="19" s="1"/>
  <c r="AA63" i="19"/>
  <c r="AA81" i="19" s="1"/>
  <c r="Z63" i="19"/>
  <c r="Z81" i="19" s="1"/>
  <c r="Y63" i="19"/>
  <c r="Y81" i="19" s="1"/>
  <c r="X63" i="19"/>
  <c r="X81" i="19" s="1"/>
  <c r="W63" i="19"/>
  <c r="W81" i="19" s="1"/>
  <c r="V63" i="19"/>
  <c r="V81" i="19" s="1"/>
  <c r="U63" i="19"/>
  <c r="U81" i="19" s="1"/>
  <c r="T63" i="19"/>
  <c r="T81" i="19" s="1"/>
  <c r="S63" i="19"/>
  <c r="S81" i="19" s="1"/>
  <c r="R63" i="19"/>
  <c r="R81" i="19" s="1"/>
  <c r="Q63" i="19"/>
  <c r="Q81" i="19" s="1"/>
  <c r="P63" i="19"/>
  <c r="P81" i="19" s="1"/>
  <c r="O63" i="19"/>
  <c r="O81" i="19" s="1"/>
  <c r="N63" i="19"/>
  <c r="N81" i="19" s="1"/>
  <c r="M63" i="19"/>
  <c r="M81" i="19" s="1"/>
  <c r="L63" i="19"/>
  <c r="L81" i="19" s="1"/>
  <c r="K63" i="19"/>
  <c r="K81" i="19" s="1"/>
  <c r="J63" i="19"/>
  <c r="J81" i="19" s="1"/>
  <c r="I63" i="19"/>
  <c r="I81" i="19" s="1"/>
  <c r="H63" i="19"/>
  <c r="H81" i="19" s="1"/>
  <c r="G63" i="19"/>
  <c r="G81" i="19" s="1"/>
  <c r="F63" i="19"/>
  <c r="F81" i="19" s="1"/>
  <c r="E63" i="19"/>
  <c r="E81" i="19" s="1"/>
  <c r="AF62" i="19"/>
  <c r="AF80" i="19" s="1"/>
  <c r="AE62" i="19"/>
  <c r="AE80" i="19" s="1"/>
  <c r="AD62" i="19"/>
  <c r="AD80" i="19" s="1"/>
  <c r="AC62" i="19"/>
  <c r="AC80" i="19" s="1"/>
  <c r="AB62" i="19"/>
  <c r="AB80" i="19" s="1"/>
  <c r="AA62" i="19"/>
  <c r="AA80" i="19" s="1"/>
  <c r="Z62" i="19"/>
  <c r="Z80" i="19" s="1"/>
  <c r="Y62" i="19"/>
  <c r="Y80" i="19" s="1"/>
  <c r="X62" i="19"/>
  <c r="X80" i="19" s="1"/>
  <c r="W62" i="19"/>
  <c r="W80" i="19" s="1"/>
  <c r="V62" i="19"/>
  <c r="V80" i="19" s="1"/>
  <c r="U62" i="19"/>
  <c r="U80" i="19" s="1"/>
  <c r="T62" i="19"/>
  <c r="T80" i="19" s="1"/>
  <c r="S62" i="19"/>
  <c r="S80" i="19" s="1"/>
  <c r="R62" i="19"/>
  <c r="R80" i="19" s="1"/>
  <c r="Q62" i="19"/>
  <c r="Q80" i="19" s="1"/>
  <c r="P62" i="19"/>
  <c r="P80" i="19" s="1"/>
  <c r="O62" i="19"/>
  <c r="O80" i="19" s="1"/>
  <c r="N62" i="19"/>
  <c r="N80" i="19" s="1"/>
  <c r="M62" i="19"/>
  <c r="M80" i="19" s="1"/>
  <c r="L62" i="19"/>
  <c r="L80" i="19" s="1"/>
  <c r="K62" i="19"/>
  <c r="K80" i="19" s="1"/>
  <c r="J62" i="19"/>
  <c r="J80" i="19" s="1"/>
  <c r="I62" i="19"/>
  <c r="I80" i="19" s="1"/>
  <c r="H62" i="19"/>
  <c r="H80" i="19" s="1"/>
  <c r="G62" i="19"/>
  <c r="G80" i="19" s="1"/>
  <c r="F62" i="19"/>
  <c r="F80" i="19" s="1"/>
  <c r="E62" i="19"/>
  <c r="E80" i="19" s="1"/>
  <c r="AF61" i="19"/>
  <c r="AF79" i="19" s="1"/>
  <c r="AE61" i="19"/>
  <c r="AE79" i="19" s="1"/>
  <c r="AD61" i="19"/>
  <c r="AD79" i="19" s="1"/>
  <c r="AC61" i="19"/>
  <c r="AC79" i="19" s="1"/>
  <c r="AB61" i="19"/>
  <c r="AB79" i="19" s="1"/>
  <c r="AA61" i="19"/>
  <c r="AA79" i="19" s="1"/>
  <c r="Z61" i="19"/>
  <c r="Z79" i="19" s="1"/>
  <c r="Y61" i="19"/>
  <c r="Y79" i="19" s="1"/>
  <c r="X61" i="19"/>
  <c r="X79" i="19" s="1"/>
  <c r="W61" i="19"/>
  <c r="W79" i="19" s="1"/>
  <c r="V61" i="19"/>
  <c r="V79" i="19" s="1"/>
  <c r="U61" i="19"/>
  <c r="U79" i="19" s="1"/>
  <c r="T61" i="19"/>
  <c r="T79" i="19" s="1"/>
  <c r="S61" i="19"/>
  <c r="S79" i="19" s="1"/>
  <c r="R61" i="19"/>
  <c r="R79" i="19" s="1"/>
  <c r="Q61" i="19"/>
  <c r="Q79" i="19" s="1"/>
  <c r="P61" i="19"/>
  <c r="P79" i="19" s="1"/>
  <c r="O61" i="19"/>
  <c r="O79" i="19" s="1"/>
  <c r="N61" i="19"/>
  <c r="N79" i="19" s="1"/>
  <c r="M61" i="19"/>
  <c r="M79" i="19" s="1"/>
  <c r="L61" i="19"/>
  <c r="L79" i="19" s="1"/>
  <c r="K61" i="19"/>
  <c r="K79" i="19" s="1"/>
  <c r="J61" i="19"/>
  <c r="J79" i="19" s="1"/>
  <c r="I61" i="19"/>
  <c r="I79" i="19" s="1"/>
  <c r="H61" i="19"/>
  <c r="H79" i="19" s="1"/>
  <c r="G61" i="19"/>
  <c r="G79" i="19" s="1"/>
  <c r="F61" i="19"/>
  <c r="F79" i="19" s="1"/>
  <c r="E61" i="19"/>
  <c r="E79" i="19" s="1"/>
  <c r="AF60" i="19"/>
  <c r="AF78" i="19" s="1"/>
  <c r="AE60" i="19"/>
  <c r="AE78" i="19" s="1"/>
  <c r="AD60" i="19"/>
  <c r="AD78" i="19" s="1"/>
  <c r="AC60" i="19"/>
  <c r="AC78" i="19" s="1"/>
  <c r="AB60" i="19"/>
  <c r="AB78" i="19" s="1"/>
  <c r="AA60" i="19"/>
  <c r="AA78" i="19" s="1"/>
  <c r="Z60" i="19"/>
  <c r="Z78" i="19" s="1"/>
  <c r="Y60" i="19"/>
  <c r="Y78" i="19" s="1"/>
  <c r="X60" i="19"/>
  <c r="X78" i="19" s="1"/>
  <c r="W60" i="19"/>
  <c r="W78" i="19" s="1"/>
  <c r="V60" i="19"/>
  <c r="V78" i="19" s="1"/>
  <c r="U60" i="19"/>
  <c r="U78" i="19" s="1"/>
  <c r="T60" i="19"/>
  <c r="T78" i="19" s="1"/>
  <c r="S60" i="19"/>
  <c r="S78" i="19" s="1"/>
  <c r="R60" i="19"/>
  <c r="R78" i="19" s="1"/>
  <c r="Q60" i="19"/>
  <c r="Q78" i="19" s="1"/>
  <c r="P60" i="19"/>
  <c r="P78" i="19" s="1"/>
  <c r="O60" i="19"/>
  <c r="O78" i="19" s="1"/>
  <c r="N60" i="19"/>
  <c r="N78" i="19" s="1"/>
  <c r="M60" i="19"/>
  <c r="M78" i="19" s="1"/>
  <c r="L60" i="19"/>
  <c r="L78" i="19" s="1"/>
  <c r="K60" i="19"/>
  <c r="K78" i="19" s="1"/>
  <c r="J60" i="19"/>
  <c r="J78" i="19" s="1"/>
  <c r="I60" i="19"/>
  <c r="I78" i="19" s="1"/>
  <c r="H60" i="19"/>
  <c r="H78" i="19" s="1"/>
  <c r="G60" i="19"/>
  <c r="G78" i="19" s="1"/>
  <c r="F60" i="19"/>
  <c r="F78" i="19" s="1"/>
  <c r="E60" i="19"/>
  <c r="E78" i="19" s="1"/>
  <c r="AF59" i="19"/>
  <c r="AF77" i="19" s="1"/>
  <c r="AE59" i="19"/>
  <c r="AE77" i="19" s="1"/>
  <c r="AD59" i="19"/>
  <c r="AD77" i="19" s="1"/>
  <c r="AC59" i="19"/>
  <c r="AC77" i="19" s="1"/>
  <c r="AB59" i="19"/>
  <c r="AB77" i="19" s="1"/>
  <c r="AA59" i="19"/>
  <c r="AA77" i="19" s="1"/>
  <c r="Z59" i="19"/>
  <c r="Z77" i="19" s="1"/>
  <c r="Y59" i="19"/>
  <c r="Y77" i="19" s="1"/>
  <c r="X59" i="19"/>
  <c r="X77" i="19" s="1"/>
  <c r="W59" i="19"/>
  <c r="W77" i="19" s="1"/>
  <c r="V59" i="19"/>
  <c r="V77" i="19" s="1"/>
  <c r="U59" i="19"/>
  <c r="U77" i="19" s="1"/>
  <c r="T59" i="19"/>
  <c r="T77" i="19" s="1"/>
  <c r="S59" i="19"/>
  <c r="S77" i="19" s="1"/>
  <c r="R59" i="19"/>
  <c r="R77" i="19" s="1"/>
  <c r="Q59" i="19"/>
  <c r="Q77" i="19" s="1"/>
  <c r="P59" i="19"/>
  <c r="P77" i="19" s="1"/>
  <c r="O59" i="19"/>
  <c r="O77" i="19" s="1"/>
  <c r="N59" i="19"/>
  <c r="N77" i="19" s="1"/>
  <c r="M59" i="19"/>
  <c r="M77" i="19" s="1"/>
  <c r="L59" i="19"/>
  <c r="L77" i="19" s="1"/>
  <c r="K59" i="19"/>
  <c r="K77" i="19" s="1"/>
  <c r="J59" i="19"/>
  <c r="J77" i="19" s="1"/>
  <c r="I59" i="19"/>
  <c r="I77" i="19" s="1"/>
  <c r="H59" i="19"/>
  <c r="H77" i="19" s="1"/>
  <c r="G59" i="19"/>
  <c r="G77" i="19" s="1"/>
  <c r="F59" i="19"/>
  <c r="F77" i="19" s="1"/>
  <c r="E59" i="19"/>
  <c r="E77" i="19" s="1"/>
  <c r="AF58" i="19"/>
  <c r="AF76" i="19" s="1"/>
  <c r="AE58" i="19"/>
  <c r="AE76" i="19" s="1"/>
  <c r="AD58" i="19"/>
  <c r="AD76" i="19" s="1"/>
  <c r="AC58" i="19"/>
  <c r="AC76" i="19" s="1"/>
  <c r="AB58" i="19"/>
  <c r="AB76" i="19" s="1"/>
  <c r="AA58" i="19"/>
  <c r="AA76" i="19" s="1"/>
  <c r="Z58" i="19"/>
  <c r="Z76" i="19" s="1"/>
  <c r="Y58" i="19"/>
  <c r="Y76" i="19" s="1"/>
  <c r="X58" i="19"/>
  <c r="X76" i="19" s="1"/>
  <c r="W58" i="19"/>
  <c r="W76" i="19" s="1"/>
  <c r="V58" i="19"/>
  <c r="V76" i="19" s="1"/>
  <c r="U58" i="19"/>
  <c r="U76" i="19" s="1"/>
  <c r="T58" i="19"/>
  <c r="T76" i="19" s="1"/>
  <c r="S58" i="19"/>
  <c r="S76" i="19" s="1"/>
  <c r="R58" i="19"/>
  <c r="R76" i="19" s="1"/>
  <c r="Q58" i="19"/>
  <c r="Q76" i="19" s="1"/>
  <c r="P58" i="19"/>
  <c r="P76" i="19" s="1"/>
  <c r="O58" i="19"/>
  <c r="O76" i="19" s="1"/>
  <c r="N58" i="19"/>
  <c r="N76" i="19" s="1"/>
  <c r="M58" i="19"/>
  <c r="M76" i="19" s="1"/>
  <c r="L58" i="19"/>
  <c r="L76" i="19" s="1"/>
  <c r="K58" i="19"/>
  <c r="K76" i="19" s="1"/>
  <c r="J58" i="19"/>
  <c r="J76" i="19" s="1"/>
  <c r="I58" i="19"/>
  <c r="I76" i="19" s="1"/>
  <c r="H58" i="19"/>
  <c r="H76" i="19" s="1"/>
  <c r="G58" i="19"/>
  <c r="G76" i="19" s="1"/>
  <c r="F58" i="19"/>
  <c r="F76" i="19" s="1"/>
  <c r="E58" i="19"/>
  <c r="E76" i="19" s="1"/>
  <c r="AF57" i="19"/>
  <c r="AF75" i="19" s="1"/>
  <c r="AE57" i="19"/>
  <c r="AE75" i="19" s="1"/>
  <c r="AD57" i="19"/>
  <c r="AD75" i="19" s="1"/>
  <c r="AC57" i="19"/>
  <c r="AC75" i="19" s="1"/>
  <c r="AB57" i="19"/>
  <c r="AB75" i="19" s="1"/>
  <c r="AA57" i="19"/>
  <c r="AA75" i="19" s="1"/>
  <c r="Z57" i="19"/>
  <c r="Z75" i="19" s="1"/>
  <c r="Y57" i="19"/>
  <c r="Y75" i="19" s="1"/>
  <c r="X57" i="19"/>
  <c r="X75" i="19" s="1"/>
  <c r="W57" i="19"/>
  <c r="W75" i="19" s="1"/>
  <c r="V57" i="19"/>
  <c r="V75" i="19" s="1"/>
  <c r="U57" i="19"/>
  <c r="U75" i="19" s="1"/>
  <c r="T57" i="19"/>
  <c r="T75" i="19" s="1"/>
  <c r="S57" i="19"/>
  <c r="S75" i="19" s="1"/>
  <c r="R57" i="19"/>
  <c r="R75" i="19" s="1"/>
  <c r="Q57" i="19"/>
  <c r="Q75" i="19" s="1"/>
  <c r="P57" i="19"/>
  <c r="P75" i="19" s="1"/>
  <c r="O57" i="19"/>
  <c r="O75" i="19" s="1"/>
  <c r="N57" i="19"/>
  <c r="N75" i="19" s="1"/>
  <c r="M57" i="19"/>
  <c r="M75" i="19" s="1"/>
  <c r="L57" i="19"/>
  <c r="L75" i="19" s="1"/>
  <c r="K57" i="19"/>
  <c r="K75" i="19" s="1"/>
  <c r="J57" i="19"/>
  <c r="J75" i="19" s="1"/>
  <c r="I57" i="19"/>
  <c r="I75" i="19" s="1"/>
  <c r="H57" i="19"/>
  <c r="H75" i="19" s="1"/>
  <c r="G57" i="19"/>
  <c r="G75" i="19" s="1"/>
  <c r="F57" i="19"/>
  <c r="F75" i="19" s="1"/>
  <c r="E57" i="19"/>
  <c r="E75" i="19" s="1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AF55" i="19"/>
  <c r="AE55" i="19"/>
  <c r="AD55" i="19"/>
  <c r="AC55" i="19"/>
  <c r="AB55" i="19"/>
  <c r="AA55" i="19"/>
  <c r="Z55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AF54" i="19"/>
  <c r="AE54" i="19"/>
  <c r="AD54" i="19"/>
  <c r="AC54" i="19"/>
  <c r="AB54" i="19"/>
  <c r="AA54" i="19"/>
  <c r="Z54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AF53" i="19"/>
  <c r="AE53" i="19"/>
  <c r="AD53" i="19"/>
  <c r="AC53" i="19"/>
  <c r="AB53" i="19"/>
  <c r="AA53" i="19"/>
  <c r="Z53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AF51" i="19"/>
  <c r="AE51" i="19"/>
  <c r="AD51" i="19"/>
  <c r="AC51" i="19"/>
  <c r="AB51" i="19"/>
  <c r="AA51" i="19"/>
  <c r="Z51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AF50" i="19"/>
  <c r="AE50" i="19"/>
  <c r="AD50" i="19"/>
  <c r="AC50" i="19"/>
  <c r="AB50" i="19"/>
  <c r="AA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AF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AF48" i="19"/>
  <c r="AE48" i="19"/>
  <c r="AD48" i="19"/>
  <c r="AC48" i="19"/>
  <c r="AB48" i="19"/>
  <c r="AA48" i="19"/>
  <c r="Z48" i="19"/>
  <c r="Y48" i="19"/>
  <c r="X48" i="19"/>
  <c r="W48" i="19"/>
  <c r="V48" i="19"/>
  <c r="U48" i="19"/>
  <c r="T48" i="19"/>
  <c r="S48" i="19"/>
  <c r="R48" i="19"/>
  <c r="Q48" i="19"/>
  <c r="P48" i="19"/>
  <c r="O48" i="19"/>
  <c r="N48" i="19"/>
  <c r="M48" i="19"/>
  <c r="L48" i="19"/>
  <c r="K48" i="19"/>
  <c r="J48" i="19"/>
  <c r="I48" i="19"/>
  <c r="H48" i="19"/>
  <c r="G48" i="19"/>
  <c r="F48" i="19"/>
  <c r="AF47" i="19"/>
  <c r="AE47" i="19"/>
  <c r="AD47" i="19"/>
  <c r="AC47" i="19"/>
  <c r="AB47" i="19"/>
  <c r="AA47" i="19"/>
  <c r="Z47" i="19"/>
  <c r="Y47" i="19"/>
  <c r="X47" i="19"/>
  <c r="W47" i="19"/>
  <c r="V47" i="19"/>
  <c r="U47" i="19"/>
  <c r="T47" i="19"/>
  <c r="S47" i="19"/>
  <c r="R47" i="19"/>
  <c r="Q47" i="19"/>
  <c r="P47" i="19"/>
  <c r="O47" i="19"/>
  <c r="N47" i="19"/>
  <c r="M47" i="19"/>
  <c r="L47" i="19"/>
  <c r="K47" i="19"/>
  <c r="J47" i="19"/>
  <c r="I47" i="19"/>
  <c r="H47" i="19"/>
  <c r="G47" i="19"/>
  <c r="F47" i="19"/>
  <c r="AF46" i="19"/>
  <c r="AE46" i="19"/>
  <c r="AD46" i="19"/>
  <c r="AC46" i="19"/>
  <c r="AB46" i="19"/>
  <c r="AA46" i="19"/>
  <c r="Z46" i="19"/>
  <c r="Y46" i="19"/>
  <c r="X46" i="19"/>
  <c r="W46" i="19"/>
  <c r="V46" i="19"/>
  <c r="U46" i="19"/>
  <c r="T46" i="19"/>
  <c r="S46" i="19"/>
  <c r="R46" i="19"/>
  <c r="Q46" i="19"/>
  <c r="P46" i="19"/>
  <c r="O46" i="19"/>
  <c r="N46" i="19"/>
  <c r="M46" i="19"/>
  <c r="L46" i="19"/>
  <c r="K46" i="19"/>
  <c r="J46" i="19"/>
  <c r="I46" i="19"/>
  <c r="H46" i="19"/>
  <c r="G46" i="19"/>
  <c r="F46" i="19"/>
  <c r="AF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AF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AF42" i="19"/>
  <c r="AE42" i="19"/>
  <c r="AD42" i="19"/>
  <c r="AC42" i="19"/>
  <c r="AB42" i="19"/>
  <c r="AA42" i="19"/>
  <c r="Z42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AF41" i="19"/>
  <c r="AE41" i="19"/>
  <c r="AD41" i="19"/>
  <c r="AC41" i="19"/>
  <c r="AB41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AF39" i="19"/>
  <c r="AE39" i="19"/>
  <c r="AD39" i="19"/>
  <c r="AC39" i="19"/>
  <c r="AB39" i="19"/>
  <c r="AA39" i="19"/>
  <c r="Z39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56" i="19"/>
  <c r="E55" i="19"/>
  <c r="E54" i="19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40" i="19"/>
  <c r="E39" i="19"/>
  <c r="T65" i="17"/>
  <c r="S65" i="17"/>
  <c r="R65" i="17"/>
  <c r="Q65" i="17"/>
  <c r="P65" i="17"/>
  <c r="O65" i="17"/>
  <c r="N65" i="17"/>
  <c r="M65" i="17"/>
  <c r="L65" i="17"/>
  <c r="T64" i="17"/>
  <c r="S64" i="17"/>
  <c r="R64" i="17"/>
  <c r="Q64" i="17"/>
  <c r="P64" i="17"/>
  <c r="O64" i="17"/>
  <c r="N64" i="17"/>
  <c r="M64" i="17"/>
  <c r="L64" i="17"/>
  <c r="T63" i="17"/>
  <c r="S63" i="17"/>
  <c r="R63" i="17"/>
  <c r="Q63" i="17"/>
  <c r="P63" i="17"/>
  <c r="O63" i="17"/>
  <c r="N63" i="17"/>
  <c r="M63" i="17"/>
  <c r="L63" i="17"/>
  <c r="Q62" i="17"/>
  <c r="P62" i="17"/>
  <c r="O62" i="17"/>
  <c r="Q61" i="17"/>
  <c r="P61" i="17"/>
  <c r="O61" i="17"/>
  <c r="Q60" i="17"/>
  <c r="P60" i="17"/>
  <c r="O60" i="17"/>
  <c r="T59" i="17"/>
  <c r="S59" i="17"/>
  <c r="R59" i="17"/>
  <c r="Q59" i="17"/>
  <c r="P59" i="17"/>
  <c r="O59" i="17"/>
  <c r="N59" i="17"/>
  <c r="M59" i="17"/>
  <c r="L59" i="17"/>
  <c r="T58" i="17"/>
  <c r="S58" i="17"/>
  <c r="R58" i="17"/>
  <c r="Q58" i="17"/>
  <c r="P58" i="17"/>
  <c r="O58" i="17"/>
  <c r="N58" i="17"/>
  <c r="M58" i="17"/>
  <c r="L58" i="17"/>
  <c r="T57" i="17"/>
  <c r="S57" i="17"/>
  <c r="R57" i="17"/>
  <c r="Q57" i="17"/>
  <c r="P57" i="17"/>
  <c r="O57" i="17"/>
  <c r="N57" i="17"/>
  <c r="M57" i="17"/>
  <c r="L57" i="17"/>
  <c r="T56" i="17"/>
  <c r="S56" i="17"/>
  <c r="R56" i="17"/>
  <c r="Q56" i="17"/>
  <c r="P56" i="17"/>
  <c r="O56" i="17"/>
  <c r="N56" i="17"/>
  <c r="M56" i="17"/>
  <c r="L56" i="17"/>
  <c r="T55" i="17"/>
  <c r="S55" i="17"/>
  <c r="R55" i="17"/>
  <c r="Q55" i="17"/>
  <c r="P55" i="17"/>
  <c r="O55" i="17"/>
  <c r="N55" i="17"/>
  <c r="M55" i="17"/>
  <c r="L55" i="17"/>
  <c r="T54" i="17"/>
  <c r="S54" i="17"/>
  <c r="R54" i="17"/>
  <c r="Q54" i="17"/>
  <c r="P54" i="17"/>
  <c r="O54" i="17"/>
  <c r="N54" i="17"/>
  <c r="M54" i="17"/>
  <c r="L54" i="17"/>
  <c r="T53" i="17"/>
  <c r="S53" i="17"/>
  <c r="R53" i="17"/>
  <c r="Q53" i="17"/>
  <c r="P53" i="17"/>
  <c r="O53" i="17"/>
  <c r="N53" i="17"/>
  <c r="M53" i="17"/>
  <c r="L53" i="17"/>
  <c r="T52" i="17"/>
  <c r="S52" i="17"/>
  <c r="R52" i="17"/>
  <c r="Q52" i="17"/>
  <c r="P52" i="17"/>
  <c r="O52" i="17"/>
  <c r="N52" i="17"/>
  <c r="M52" i="17"/>
  <c r="L52" i="17"/>
  <c r="T51" i="17"/>
  <c r="S51" i="17"/>
  <c r="R51" i="17"/>
  <c r="Q51" i="17"/>
  <c r="P51" i="17"/>
  <c r="O51" i="17"/>
  <c r="N51" i="17"/>
  <c r="M51" i="17"/>
  <c r="L51" i="17"/>
  <c r="T50" i="17"/>
  <c r="S50" i="17"/>
  <c r="R50" i="17"/>
  <c r="Q50" i="17"/>
  <c r="P50" i="17"/>
  <c r="O50" i="17"/>
  <c r="N50" i="17"/>
  <c r="M50" i="17"/>
  <c r="L50" i="17"/>
  <c r="T49" i="17"/>
  <c r="S49" i="17"/>
  <c r="R49" i="17"/>
  <c r="Q49" i="17"/>
  <c r="P49" i="17"/>
  <c r="O49" i="17"/>
  <c r="N49" i="17"/>
  <c r="M49" i="17"/>
  <c r="L49" i="17"/>
  <c r="T48" i="17"/>
  <c r="S48" i="17"/>
  <c r="R48" i="17"/>
  <c r="Q48" i="17"/>
  <c r="P48" i="17"/>
  <c r="O48" i="17"/>
  <c r="N48" i="17"/>
  <c r="M48" i="17"/>
  <c r="L48" i="17"/>
  <c r="T47" i="17"/>
  <c r="S47" i="17"/>
  <c r="R47" i="17"/>
  <c r="Q47" i="17"/>
  <c r="P47" i="17"/>
  <c r="O47" i="17"/>
  <c r="N47" i="17"/>
  <c r="M47" i="17"/>
  <c r="L47" i="17"/>
  <c r="T46" i="17"/>
  <c r="S46" i="17"/>
  <c r="R46" i="17"/>
  <c r="Q46" i="17"/>
  <c r="P46" i="17"/>
  <c r="O46" i="17"/>
  <c r="N46" i="17"/>
  <c r="M46" i="17"/>
  <c r="L46" i="17"/>
  <c r="T45" i="17"/>
  <c r="S45" i="17"/>
  <c r="R45" i="17"/>
  <c r="Q45" i="17"/>
  <c r="P45" i="17"/>
  <c r="O45" i="17"/>
  <c r="N45" i="17"/>
  <c r="M45" i="17"/>
  <c r="L45" i="17"/>
  <c r="T44" i="17"/>
  <c r="S44" i="17"/>
  <c r="R44" i="17"/>
  <c r="Q44" i="17"/>
  <c r="P44" i="17"/>
  <c r="O44" i="17"/>
  <c r="N44" i="17"/>
  <c r="M44" i="17"/>
  <c r="L44" i="17"/>
  <c r="T43" i="17"/>
  <c r="S43" i="17"/>
  <c r="R43" i="17"/>
  <c r="Q43" i="17"/>
  <c r="P43" i="17"/>
  <c r="O43" i="17"/>
  <c r="N43" i="17"/>
  <c r="M43" i="17"/>
  <c r="L43" i="17"/>
  <c r="T42" i="17"/>
  <c r="S42" i="17"/>
  <c r="R42" i="17"/>
  <c r="Q42" i="17"/>
  <c r="P42" i="17"/>
  <c r="O42" i="17"/>
  <c r="N42" i="17"/>
  <c r="M42" i="17"/>
  <c r="L42" i="17"/>
  <c r="T41" i="17"/>
  <c r="S41" i="17"/>
  <c r="R41" i="17"/>
  <c r="Q41" i="17"/>
  <c r="P41" i="17"/>
  <c r="O41" i="17"/>
  <c r="N41" i="17"/>
  <c r="M41" i="17"/>
  <c r="L41" i="17"/>
  <c r="T40" i="17"/>
  <c r="S40" i="17"/>
  <c r="R40" i="17"/>
  <c r="Q40" i="17"/>
  <c r="P40" i="17"/>
  <c r="O40" i="17"/>
  <c r="N40" i="17"/>
  <c r="M40" i="17"/>
  <c r="L40" i="17"/>
  <c r="T39" i="17"/>
  <c r="S39" i="17"/>
  <c r="R39" i="17"/>
  <c r="Q39" i="17"/>
  <c r="P39" i="17"/>
  <c r="O39" i="17"/>
  <c r="N39" i="17"/>
  <c r="M39" i="17"/>
  <c r="L39" i="17"/>
  <c r="T38" i="17"/>
  <c r="S38" i="17"/>
  <c r="R38" i="17"/>
  <c r="Q38" i="17"/>
  <c r="P38" i="17"/>
  <c r="O38" i="17"/>
  <c r="N38" i="17"/>
  <c r="M38" i="17"/>
  <c r="L38" i="17"/>
  <c r="T37" i="17"/>
  <c r="S37" i="17"/>
  <c r="R37" i="17"/>
  <c r="Q37" i="17"/>
  <c r="P37" i="17"/>
  <c r="O37" i="17"/>
  <c r="N37" i="17"/>
  <c r="M37" i="17"/>
  <c r="L37" i="17"/>
  <c r="T36" i="17"/>
  <c r="S36" i="17"/>
  <c r="R36" i="17"/>
  <c r="Q36" i="17"/>
  <c r="P36" i="17"/>
  <c r="O36" i="17"/>
  <c r="N36" i="17"/>
  <c r="M36" i="17"/>
  <c r="L36" i="17"/>
  <c r="C37" i="17"/>
  <c r="D37" i="17"/>
  <c r="E37" i="17"/>
  <c r="F37" i="17"/>
  <c r="G37" i="17"/>
  <c r="H37" i="17"/>
  <c r="I37" i="17"/>
  <c r="J37" i="17"/>
  <c r="K37" i="17"/>
  <c r="C38" i="17"/>
  <c r="D38" i="17"/>
  <c r="E38" i="17"/>
  <c r="F38" i="17"/>
  <c r="G38" i="17"/>
  <c r="H38" i="17"/>
  <c r="I38" i="17"/>
  <c r="J38" i="17"/>
  <c r="K38" i="17"/>
  <c r="C39" i="17"/>
  <c r="D39" i="17"/>
  <c r="E39" i="17"/>
  <c r="F39" i="17"/>
  <c r="G39" i="17"/>
  <c r="H39" i="17"/>
  <c r="I39" i="17"/>
  <c r="J39" i="17"/>
  <c r="K39" i="17"/>
  <c r="C40" i="17"/>
  <c r="D40" i="17"/>
  <c r="E40" i="17"/>
  <c r="F40" i="17"/>
  <c r="G40" i="17"/>
  <c r="H40" i="17"/>
  <c r="I40" i="17"/>
  <c r="J40" i="17"/>
  <c r="K40" i="17"/>
  <c r="C41" i="17"/>
  <c r="D41" i="17"/>
  <c r="E41" i="17"/>
  <c r="F41" i="17"/>
  <c r="G41" i="17"/>
  <c r="H41" i="17"/>
  <c r="I41" i="17"/>
  <c r="J41" i="17"/>
  <c r="K41" i="17"/>
  <c r="C42" i="17"/>
  <c r="D42" i="17"/>
  <c r="E42" i="17"/>
  <c r="F42" i="17"/>
  <c r="G42" i="17"/>
  <c r="H42" i="17"/>
  <c r="I42" i="17"/>
  <c r="J42" i="17"/>
  <c r="K42" i="17"/>
  <c r="C43" i="17"/>
  <c r="D43" i="17"/>
  <c r="E43" i="17"/>
  <c r="F43" i="17"/>
  <c r="G43" i="17"/>
  <c r="H43" i="17"/>
  <c r="I43" i="17"/>
  <c r="J43" i="17"/>
  <c r="K43" i="17"/>
  <c r="C44" i="17"/>
  <c r="D44" i="17"/>
  <c r="E44" i="17"/>
  <c r="F44" i="17"/>
  <c r="G44" i="17"/>
  <c r="H44" i="17"/>
  <c r="I44" i="17"/>
  <c r="J44" i="17"/>
  <c r="K44" i="17"/>
  <c r="C45" i="17"/>
  <c r="D45" i="17"/>
  <c r="E45" i="17"/>
  <c r="F45" i="17"/>
  <c r="G45" i="17"/>
  <c r="H45" i="17"/>
  <c r="I45" i="17"/>
  <c r="J45" i="17"/>
  <c r="K45" i="17"/>
  <c r="C46" i="17"/>
  <c r="D46" i="17"/>
  <c r="E46" i="17"/>
  <c r="F46" i="17"/>
  <c r="G46" i="17"/>
  <c r="H46" i="17"/>
  <c r="I46" i="17"/>
  <c r="J46" i="17"/>
  <c r="K46" i="17"/>
  <c r="C47" i="17"/>
  <c r="D47" i="17"/>
  <c r="E47" i="17"/>
  <c r="F47" i="17"/>
  <c r="G47" i="17"/>
  <c r="H47" i="17"/>
  <c r="I47" i="17"/>
  <c r="J47" i="17"/>
  <c r="K47" i="17"/>
  <c r="C48" i="17"/>
  <c r="D48" i="17"/>
  <c r="E48" i="17"/>
  <c r="F48" i="17"/>
  <c r="G48" i="17"/>
  <c r="H48" i="17"/>
  <c r="I48" i="17"/>
  <c r="J48" i="17"/>
  <c r="K48" i="17"/>
  <c r="C49" i="17"/>
  <c r="D49" i="17"/>
  <c r="E49" i="17"/>
  <c r="F49" i="17"/>
  <c r="G49" i="17"/>
  <c r="H49" i="17"/>
  <c r="I49" i="17"/>
  <c r="J49" i="17"/>
  <c r="K49" i="17"/>
  <c r="C50" i="17"/>
  <c r="D50" i="17"/>
  <c r="E50" i="17"/>
  <c r="F50" i="17"/>
  <c r="G50" i="17"/>
  <c r="H50" i="17"/>
  <c r="I50" i="17"/>
  <c r="J50" i="17"/>
  <c r="K50" i="17"/>
  <c r="C51" i="17"/>
  <c r="D51" i="17"/>
  <c r="E51" i="17"/>
  <c r="F51" i="17"/>
  <c r="G51" i="17"/>
  <c r="H51" i="17"/>
  <c r="I51" i="17"/>
  <c r="J51" i="17"/>
  <c r="K51" i="17"/>
  <c r="C52" i="17"/>
  <c r="D52" i="17"/>
  <c r="E52" i="17"/>
  <c r="F52" i="17"/>
  <c r="G52" i="17"/>
  <c r="H52" i="17"/>
  <c r="I52" i="17"/>
  <c r="J52" i="17"/>
  <c r="K52" i="17"/>
  <c r="C53" i="17"/>
  <c r="D53" i="17"/>
  <c r="E53" i="17"/>
  <c r="F53" i="17"/>
  <c r="G53" i="17"/>
  <c r="H53" i="17"/>
  <c r="I53" i="17"/>
  <c r="J53" i="17"/>
  <c r="K53" i="17"/>
  <c r="C54" i="17"/>
  <c r="D54" i="17"/>
  <c r="E54" i="17"/>
  <c r="F54" i="17"/>
  <c r="G54" i="17"/>
  <c r="H54" i="17"/>
  <c r="I54" i="17"/>
  <c r="J54" i="17"/>
  <c r="K54" i="17"/>
  <c r="C55" i="17"/>
  <c r="D55" i="17"/>
  <c r="E55" i="17"/>
  <c r="F55" i="17"/>
  <c r="G55" i="17"/>
  <c r="H55" i="17"/>
  <c r="I55" i="17"/>
  <c r="J55" i="17"/>
  <c r="K55" i="17"/>
  <c r="C56" i="17"/>
  <c r="D56" i="17"/>
  <c r="E56" i="17"/>
  <c r="F56" i="17"/>
  <c r="G56" i="17"/>
  <c r="H56" i="17"/>
  <c r="I56" i="17"/>
  <c r="J56" i="17"/>
  <c r="K56" i="17"/>
  <c r="C57" i="17"/>
  <c r="D57" i="17"/>
  <c r="E57" i="17"/>
  <c r="F57" i="17"/>
  <c r="G57" i="17"/>
  <c r="H57" i="17"/>
  <c r="I57" i="17"/>
  <c r="J57" i="17"/>
  <c r="K57" i="17"/>
  <c r="C58" i="17"/>
  <c r="D58" i="17"/>
  <c r="E58" i="17"/>
  <c r="F58" i="17"/>
  <c r="G58" i="17"/>
  <c r="H58" i="17"/>
  <c r="I58" i="17"/>
  <c r="J58" i="17"/>
  <c r="K58" i="17"/>
  <c r="C59" i="17"/>
  <c r="D59" i="17"/>
  <c r="E59" i="17"/>
  <c r="F59" i="17"/>
  <c r="G59" i="17"/>
  <c r="H59" i="17"/>
  <c r="I59" i="17"/>
  <c r="J59" i="17"/>
  <c r="K59" i="17"/>
  <c r="F60" i="17"/>
  <c r="G60" i="17"/>
  <c r="H60" i="17"/>
  <c r="F61" i="17"/>
  <c r="G61" i="17"/>
  <c r="H61" i="17"/>
  <c r="F62" i="17"/>
  <c r="G62" i="17"/>
  <c r="H62" i="17"/>
  <c r="C63" i="17"/>
  <c r="D63" i="17"/>
  <c r="E63" i="17"/>
  <c r="F63" i="17"/>
  <c r="G63" i="17"/>
  <c r="H63" i="17"/>
  <c r="I63" i="17"/>
  <c r="J63" i="17"/>
  <c r="K63" i="17"/>
  <c r="C64" i="17"/>
  <c r="D64" i="17"/>
  <c r="E64" i="17"/>
  <c r="F64" i="17"/>
  <c r="G64" i="17"/>
  <c r="H64" i="17"/>
  <c r="I64" i="17"/>
  <c r="J64" i="17"/>
  <c r="K64" i="17"/>
  <c r="C65" i="17"/>
  <c r="D65" i="17"/>
  <c r="E65" i="17"/>
  <c r="F65" i="17"/>
  <c r="G65" i="17"/>
  <c r="H65" i="17"/>
  <c r="I65" i="17"/>
  <c r="J65" i="17"/>
  <c r="K65" i="17"/>
  <c r="K36" i="17"/>
  <c r="J36" i="17"/>
  <c r="I36" i="17"/>
  <c r="H36" i="17"/>
  <c r="G36" i="17"/>
  <c r="F36" i="17"/>
  <c r="E36" i="17"/>
  <c r="D36" i="17"/>
  <c r="C36" i="17"/>
  <c r="D1" i="15"/>
  <c r="G1" i="15"/>
  <c r="H1" i="15"/>
  <c r="I1" i="15"/>
  <c r="J1" i="15"/>
  <c r="K1" i="15"/>
  <c r="L1" i="15"/>
  <c r="M1" i="15"/>
  <c r="N1" i="15"/>
  <c r="O1" i="15"/>
  <c r="P1" i="15"/>
  <c r="Q1" i="15"/>
  <c r="R1" i="15"/>
  <c r="D2" i="15"/>
  <c r="E2" i="15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R2" i="16"/>
  <c r="Q2" i="16"/>
  <c r="P2" i="16"/>
  <c r="O2" i="16"/>
  <c r="N2" i="16"/>
  <c r="M2" i="16"/>
  <c r="L2" i="16"/>
  <c r="K2" i="16"/>
  <c r="J2" i="16"/>
  <c r="I2" i="16"/>
  <c r="H2" i="16"/>
  <c r="G2" i="16"/>
  <c r="F2" i="16"/>
  <c r="E2" i="16"/>
  <c r="D2" i="16"/>
  <c r="R1" i="16"/>
  <c r="Q1" i="16"/>
  <c r="P1" i="16"/>
  <c r="O1" i="16"/>
  <c r="N1" i="16"/>
  <c r="M1" i="16"/>
  <c r="L1" i="16"/>
  <c r="K1" i="16"/>
  <c r="J1" i="16"/>
  <c r="I1" i="16"/>
  <c r="H1" i="16"/>
  <c r="G1" i="16"/>
  <c r="D1" i="16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R1" i="9"/>
  <c r="Q1" i="9"/>
  <c r="P1" i="9"/>
  <c r="O1" i="9"/>
  <c r="N1" i="9"/>
  <c r="M1" i="9"/>
  <c r="L1" i="9"/>
  <c r="K1" i="9"/>
  <c r="J1" i="9"/>
  <c r="I1" i="9"/>
  <c r="H1" i="9"/>
  <c r="G1" i="9"/>
  <c r="D1" i="9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Q1" i="7"/>
  <c r="P1" i="7"/>
  <c r="O1" i="7"/>
  <c r="N1" i="7"/>
  <c r="M1" i="7"/>
  <c r="L1" i="7"/>
  <c r="K1" i="7"/>
  <c r="J1" i="7"/>
  <c r="I1" i="7"/>
  <c r="H1" i="7"/>
  <c r="G1" i="7"/>
  <c r="F1" i="7"/>
  <c r="C2" i="7"/>
  <c r="C1" i="7"/>
  <c r="I5" i="6"/>
  <c r="J5" i="6"/>
  <c r="K5" i="6"/>
  <c r="L5" i="6"/>
  <c r="M5" i="6"/>
  <c r="I6" i="6"/>
  <c r="J6" i="6"/>
  <c r="K6" i="6"/>
  <c r="L6" i="6"/>
  <c r="M6" i="6"/>
  <c r="I7" i="6"/>
  <c r="J7" i="6"/>
  <c r="K7" i="6"/>
  <c r="L7" i="6"/>
  <c r="M7" i="6"/>
  <c r="I8" i="6"/>
  <c r="J8" i="6"/>
  <c r="K8" i="6"/>
  <c r="L8" i="6"/>
  <c r="M8" i="6"/>
  <c r="I9" i="6"/>
  <c r="J9" i="6"/>
  <c r="K9" i="6"/>
  <c r="L9" i="6"/>
  <c r="M9" i="6"/>
  <c r="I10" i="6"/>
  <c r="J10" i="6"/>
  <c r="K10" i="6"/>
  <c r="L10" i="6"/>
  <c r="M10" i="6"/>
  <c r="I11" i="6"/>
  <c r="J11" i="6"/>
  <c r="K11" i="6"/>
  <c r="L11" i="6"/>
  <c r="M11" i="6"/>
  <c r="I12" i="6"/>
  <c r="J12" i="6"/>
  <c r="K12" i="6"/>
  <c r="L12" i="6"/>
  <c r="M12" i="6"/>
  <c r="I13" i="6"/>
  <c r="J13" i="6"/>
  <c r="K13" i="6"/>
  <c r="L13" i="6"/>
  <c r="M13" i="6"/>
  <c r="I14" i="6"/>
  <c r="J14" i="6"/>
  <c r="K14" i="6"/>
  <c r="L14" i="6"/>
  <c r="M14" i="6"/>
  <c r="I15" i="6"/>
  <c r="J15" i="6"/>
  <c r="K15" i="6"/>
  <c r="L15" i="6"/>
  <c r="M15" i="6"/>
  <c r="I16" i="6"/>
  <c r="J16" i="6"/>
  <c r="K16" i="6"/>
  <c r="L16" i="6"/>
  <c r="M16" i="6"/>
  <c r="I17" i="6"/>
  <c r="J17" i="6"/>
  <c r="K17" i="6"/>
  <c r="L17" i="6"/>
  <c r="M17" i="6"/>
  <c r="I18" i="6"/>
  <c r="J18" i="6"/>
  <c r="K18" i="6"/>
  <c r="L18" i="6"/>
  <c r="M18" i="6"/>
  <c r="I19" i="6"/>
  <c r="J19" i="6"/>
  <c r="K19" i="6"/>
  <c r="L19" i="6"/>
  <c r="M19" i="6"/>
  <c r="I20" i="6"/>
  <c r="J20" i="6"/>
  <c r="K20" i="6"/>
  <c r="L20" i="6"/>
  <c r="M20" i="6"/>
  <c r="I21" i="6"/>
  <c r="J21" i="6"/>
  <c r="K21" i="6"/>
  <c r="L21" i="6"/>
  <c r="M21" i="6"/>
  <c r="I22" i="6"/>
  <c r="J22" i="6"/>
  <c r="K22" i="6"/>
  <c r="L22" i="6"/>
  <c r="M22" i="6"/>
  <c r="I23" i="6"/>
  <c r="J23" i="6"/>
  <c r="K23" i="6"/>
  <c r="L23" i="6"/>
  <c r="M23" i="6"/>
  <c r="I24" i="6"/>
  <c r="J24" i="6"/>
  <c r="K24" i="6"/>
  <c r="L24" i="6"/>
  <c r="M24" i="6"/>
  <c r="I25" i="6"/>
  <c r="J25" i="6"/>
  <c r="K25" i="6"/>
  <c r="L25" i="6"/>
  <c r="M25" i="6"/>
  <c r="I26" i="6"/>
  <c r="J26" i="6"/>
  <c r="K26" i="6"/>
  <c r="L26" i="6"/>
  <c r="M26" i="6"/>
  <c r="I27" i="6"/>
  <c r="J27" i="6"/>
  <c r="K27" i="6"/>
  <c r="L27" i="6"/>
  <c r="M27" i="6"/>
  <c r="I28" i="6"/>
  <c r="J28" i="6"/>
  <c r="K28" i="6"/>
  <c r="L28" i="6"/>
  <c r="M28" i="6"/>
  <c r="I29" i="6"/>
  <c r="J29" i="6"/>
  <c r="K29" i="6"/>
  <c r="L29" i="6"/>
  <c r="M29" i="6"/>
  <c r="I30" i="6"/>
  <c r="J30" i="6"/>
  <c r="K30" i="6"/>
  <c r="L30" i="6"/>
  <c r="M30" i="6"/>
  <c r="I31" i="6"/>
  <c r="J31" i="6"/>
  <c r="K31" i="6"/>
  <c r="L31" i="6"/>
  <c r="M31" i="6"/>
  <c r="I32" i="6"/>
  <c r="J32" i="6"/>
  <c r="K32" i="6"/>
  <c r="L32" i="6"/>
  <c r="M32" i="6"/>
  <c r="I33" i="6"/>
  <c r="J33" i="6"/>
  <c r="K33" i="6"/>
  <c r="L33" i="6"/>
  <c r="M33" i="6"/>
  <c r="I34" i="6"/>
  <c r="J34" i="6"/>
  <c r="K34" i="6"/>
  <c r="L34" i="6"/>
  <c r="M34" i="6"/>
  <c r="I35" i="6"/>
  <c r="J35" i="6"/>
  <c r="K35" i="6"/>
  <c r="L35" i="6"/>
  <c r="M35" i="6"/>
  <c r="I36" i="6"/>
  <c r="J36" i="6"/>
  <c r="K36" i="6"/>
  <c r="L36" i="6"/>
  <c r="M36" i="6"/>
  <c r="I37" i="6"/>
  <c r="J37" i="6"/>
  <c r="K37" i="6"/>
  <c r="L37" i="6"/>
  <c r="M37" i="6"/>
  <c r="I38" i="6"/>
  <c r="J38" i="6"/>
  <c r="K38" i="6"/>
  <c r="L38" i="6"/>
  <c r="M38" i="6"/>
  <c r="I39" i="6"/>
  <c r="J39" i="6"/>
  <c r="K39" i="6"/>
  <c r="L39" i="6"/>
  <c r="M39" i="6"/>
  <c r="I40" i="6"/>
  <c r="J40" i="6"/>
  <c r="K40" i="6"/>
  <c r="L40" i="6"/>
  <c r="M40" i="6"/>
  <c r="I41" i="6"/>
  <c r="J41" i="6"/>
  <c r="K41" i="6"/>
  <c r="L41" i="6"/>
  <c r="M41" i="6"/>
  <c r="I42" i="6"/>
  <c r="J42" i="6"/>
  <c r="K42" i="6"/>
  <c r="L42" i="6"/>
  <c r="M42" i="6"/>
  <c r="I43" i="6"/>
  <c r="J43" i="6"/>
  <c r="K43" i="6"/>
  <c r="L43" i="6"/>
  <c r="M43" i="6"/>
  <c r="I44" i="6"/>
  <c r="J44" i="6"/>
  <c r="K44" i="6"/>
  <c r="L44" i="6"/>
  <c r="M44" i="6"/>
  <c r="I45" i="6"/>
  <c r="J45" i="6"/>
  <c r="K45" i="6"/>
  <c r="L45" i="6"/>
  <c r="M45" i="6"/>
  <c r="I46" i="6"/>
  <c r="J46" i="6"/>
  <c r="K46" i="6"/>
  <c r="L46" i="6"/>
  <c r="M46" i="6"/>
  <c r="I47" i="6"/>
  <c r="J47" i="6"/>
  <c r="K47" i="6"/>
  <c r="L47" i="6"/>
  <c r="M47" i="6"/>
  <c r="I48" i="6"/>
  <c r="J48" i="6"/>
  <c r="K48" i="6"/>
  <c r="L48" i="6"/>
  <c r="M48" i="6"/>
  <c r="I49" i="6"/>
  <c r="J49" i="6"/>
  <c r="K49" i="6"/>
  <c r="L49" i="6"/>
  <c r="M49" i="6"/>
  <c r="I50" i="6"/>
  <c r="J50" i="6"/>
  <c r="K50" i="6"/>
  <c r="L50" i="6"/>
  <c r="M50" i="6"/>
  <c r="I51" i="6"/>
  <c r="J51" i="6"/>
  <c r="K51" i="6"/>
  <c r="L51" i="6"/>
  <c r="M51" i="6"/>
  <c r="I52" i="6"/>
  <c r="J52" i="6"/>
  <c r="K52" i="6"/>
  <c r="L52" i="6"/>
  <c r="M52" i="6"/>
  <c r="I53" i="6"/>
  <c r="J53" i="6"/>
  <c r="K53" i="6"/>
  <c r="L53" i="6"/>
  <c r="M53" i="6"/>
  <c r="I54" i="6"/>
  <c r="J54" i="6"/>
  <c r="K54" i="6"/>
  <c r="L54" i="6"/>
  <c r="M54" i="6"/>
  <c r="I55" i="6"/>
  <c r="J55" i="6"/>
  <c r="K55" i="6"/>
  <c r="L55" i="6"/>
  <c r="M55" i="6"/>
  <c r="I56" i="6"/>
  <c r="J56" i="6"/>
  <c r="K56" i="6"/>
  <c r="L56" i="6"/>
  <c r="M56" i="6"/>
  <c r="I57" i="6"/>
  <c r="J57" i="6"/>
  <c r="K57" i="6"/>
  <c r="L57" i="6"/>
  <c r="M57" i="6"/>
  <c r="I58" i="6"/>
  <c r="J58" i="6"/>
  <c r="K58" i="6"/>
  <c r="L58" i="6"/>
  <c r="M58" i="6"/>
  <c r="I59" i="6"/>
  <c r="J59" i="6"/>
  <c r="K59" i="6"/>
  <c r="L59" i="6"/>
  <c r="M59" i="6"/>
  <c r="I60" i="6"/>
  <c r="J60" i="6"/>
  <c r="K60" i="6"/>
  <c r="L60" i="6"/>
  <c r="M60" i="6"/>
  <c r="I61" i="6"/>
  <c r="J61" i="6"/>
  <c r="K61" i="6"/>
  <c r="L61" i="6"/>
  <c r="M61" i="6"/>
  <c r="I62" i="6"/>
  <c r="J62" i="6"/>
  <c r="K62" i="6"/>
  <c r="L62" i="6"/>
  <c r="M62" i="6"/>
  <c r="I63" i="6"/>
  <c r="J63" i="6"/>
  <c r="K63" i="6"/>
  <c r="L63" i="6"/>
  <c r="M63" i="6"/>
  <c r="I64" i="6"/>
  <c r="J64" i="6"/>
  <c r="K64" i="6"/>
  <c r="L64" i="6"/>
  <c r="M64" i="6"/>
  <c r="I65" i="6"/>
  <c r="J65" i="6"/>
  <c r="K65" i="6"/>
  <c r="L65" i="6"/>
  <c r="M65" i="6"/>
  <c r="I66" i="6"/>
  <c r="J66" i="6"/>
  <c r="K66" i="6"/>
  <c r="L66" i="6"/>
  <c r="M66" i="6"/>
  <c r="I67" i="6"/>
  <c r="J67" i="6"/>
  <c r="K67" i="6"/>
  <c r="L67" i="6"/>
  <c r="M67" i="6"/>
  <c r="I68" i="6"/>
  <c r="J68" i="6"/>
  <c r="K68" i="6"/>
  <c r="L68" i="6"/>
  <c r="M68" i="6"/>
  <c r="I69" i="6"/>
  <c r="J69" i="6"/>
  <c r="K69" i="6"/>
  <c r="L69" i="6"/>
  <c r="M69" i="6"/>
  <c r="I70" i="6"/>
  <c r="J70" i="6"/>
  <c r="K70" i="6"/>
  <c r="L70" i="6"/>
  <c r="M70" i="6"/>
  <c r="I71" i="6"/>
  <c r="J71" i="6"/>
  <c r="K71" i="6"/>
  <c r="L71" i="6"/>
  <c r="M71" i="6"/>
  <c r="I72" i="6"/>
  <c r="J72" i="6"/>
  <c r="K72" i="6"/>
  <c r="L72" i="6"/>
  <c r="M72" i="6"/>
  <c r="I73" i="6"/>
  <c r="J73" i="6"/>
  <c r="K73" i="6"/>
  <c r="L73" i="6"/>
  <c r="M73" i="6"/>
  <c r="I74" i="6"/>
  <c r="J74" i="6"/>
  <c r="K74" i="6"/>
  <c r="L74" i="6"/>
  <c r="M74" i="6"/>
  <c r="I75" i="6"/>
  <c r="J75" i="6"/>
  <c r="K75" i="6"/>
  <c r="L75" i="6"/>
  <c r="M75" i="6"/>
  <c r="I76" i="6"/>
  <c r="N76" i="6" s="1"/>
  <c r="J76" i="6"/>
  <c r="K76" i="6"/>
  <c r="L76" i="6"/>
  <c r="M76" i="6"/>
  <c r="I77" i="6"/>
  <c r="N77" i="6" s="1"/>
  <c r="J77" i="6"/>
  <c r="K77" i="6"/>
  <c r="L77" i="6"/>
  <c r="M77" i="6"/>
  <c r="I78" i="6"/>
  <c r="N78" i="6" s="1"/>
  <c r="J78" i="6"/>
  <c r="K78" i="6"/>
  <c r="L78" i="6"/>
  <c r="M78" i="6"/>
  <c r="I79" i="6"/>
  <c r="N79" i="6" s="1"/>
  <c r="J79" i="6"/>
  <c r="K79" i="6"/>
  <c r="L79" i="6"/>
  <c r="M79" i="6"/>
  <c r="I80" i="6"/>
  <c r="N80" i="6" s="1"/>
  <c r="J80" i="6"/>
  <c r="K80" i="6"/>
  <c r="L80" i="6"/>
  <c r="M80" i="6"/>
  <c r="I81" i="6"/>
  <c r="N81" i="6" s="1"/>
  <c r="J81" i="6"/>
  <c r="K81" i="6"/>
  <c r="L81" i="6"/>
  <c r="M81" i="6"/>
  <c r="I82" i="6"/>
  <c r="N82" i="6" s="1"/>
  <c r="J82" i="6"/>
  <c r="K82" i="6"/>
  <c r="L82" i="6"/>
  <c r="M82" i="6"/>
  <c r="I83" i="6"/>
  <c r="N83" i="6" s="1"/>
  <c r="J83" i="6"/>
  <c r="K83" i="6"/>
  <c r="L83" i="6"/>
  <c r="M83" i="6"/>
  <c r="I84" i="6"/>
  <c r="N84" i="6" s="1"/>
  <c r="J84" i="6"/>
  <c r="K84" i="6"/>
  <c r="L84" i="6"/>
  <c r="M84" i="6"/>
  <c r="I85" i="6"/>
  <c r="J85" i="6"/>
  <c r="K85" i="6"/>
  <c r="L85" i="6"/>
  <c r="M85" i="6"/>
  <c r="I86" i="6"/>
  <c r="J86" i="6"/>
  <c r="K86" i="6"/>
  <c r="L86" i="6"/>
  <c r="M86" i="6"/>
  <c r="I87" i="6"/>
  <c r="J87" i="6"/>
  <c r="K87" i="6"/>
  <c r="L87" i="6"/>
  <c r="M87" i="6"/>
  <c r="I88" i="6"/>
  <c r="J88" i="6"/>
  <c r="K88" i="6"/>
  <c r="L88" i="6"/>
  <c r="M88" i="6"/>
  <c r="I89" i="6"/>
  <c r="J89" i="6"/>
  <c r="K89" i="6"/>
  <c r="L89" i="6"/>
  <c r="M89" i="6"/>
  <c r="I90" i="6"/>
  <c r="J90" i="6"/>
  <c r="K90" i="6"/>
  <c r="L90" i="6"/>
  <c r="M90" i="6"/>
  <c r="I91" i="6"/>
  <c r="J91" i="6"/>
  <c r="K91" i="6"/>
  <c r="L91" i="6"/>
  <c r="M91" i="6"/>
  <c r="I92" i="6"/>
  <c r="J92" i="6"/>
  <c r="K92" i="6"/>
  <c r="L92" i="6"/>
  <c r="M92" i="6"/>
  <c r="I93" i="6"/>
  <c r="J93" i="6"/>
  <c r="K93" i="6"/>
  <c r="L93" i="6"/>
  <c r="M93" i="6"/>
  <c r="M4" i="6"/>
  <c r="L4" i="6"/>
  <c r="K4" i="6"/>
  <c r="J4" i="6"/>
  <c r="I4" i="6"/>
  <c r="H2" i="6"/>
  <c r="G2" i="6"/>
  <c r="F2" i="6"/>
  <c r="E2" i="6"/>
  <c r="H1" i="6"/>
  <c r="G1" i="6"/>
  <c r="F1" i="6"/>
  <c r="E1" i="6"/>
  <c r="D2" i="6"/>
  <c r="D1" i="6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W1" i="4"/>
  <c r="V1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2" i="4"/>
  <c r="D2" i="4"/>
  <c r="E1" i="4"/>
  <c r="D1" i="4"/>
  <c r="H2" i="3"/>
  <c r="G2" i="3"/>
  <c r="F2" i="3"/>
  <c r="E2" i="3"/>
  <c r="H1" i="3"/>
  <c r="G1" i="3"/>
  <c r="F1" i="3"/>
  <c r="E1" i="3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AE1" i="2"/>
  <c r="AD1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N92" i="6" l="1"/>
  <c r="N68" i="6"/>
  <c r="N53" i="6"/>
  <c r="N35" i="6"/>
  <c r="N55" i="6"/>
  <c r="N37" i="6"/>
  <c r="N20" i="6"/>
  <c r="N8" i="6"/>
  <c r="N86" i="6"/>
  <c r="N74" i="6"/>
  <c r="N62" i="6"/>
  <c r="N44" i="6"/>
  <c r="N26" i="6"/>
  <c r="N14" i="6"/>
  <c r="N40" i="6"/>
  <c r="N22" i="6"/>
  <c r="N56" i="6"/>
  <c r="N49" i="6"/>
  <c r="N46" i="6"/>
  <c r="N41" i="6"/>
  <c r="N38" i="6"/>
  <c r="N31" i="6"/>
  <c r="N28" i="6"/>
  <c r="N23" i="6"/>
  <c r="N9" i="6"/>
  <c r="N16" i="6"/>
  <c r="N59" i="6"/>
  <c r="N11" i="6"/>
  <c r="N71" i="6"/>
  <c r="N4" i="6"/>
  <c r="N90" i="6"/>
  <c r="N66" i="6"/>
  <c r="N51" i="6"/>
  <c r="N48" i="6"/>
  <c r="N33" i="6"/>
  <c r="N30" i="6"/>
  <c r="N18" i="6"/>
  <c r="N6" i="6"/>
  <c r="N87" i="6"/>
  <c r="N85" i="6"/>
  <c r="N75" i="6"/>
  <c r="N73" i="6"/>
  <c r="N63" i="6"/>
  <c r="N61" i="6"/>
  <c r="N45" i="6"/>
  <c r="N43" i="6"/>
  <c r="N27" i="6"/>
  <c r="N25" i="6"/>
  <c r="N13" i="6"/>
  <c r="N88" i="6"/>
  <c r="N64" i="6"/>
  <c r="N15" i="6"/>
  <c r="N70" i="6"/>
  <c r="N58" i="6"/>
  <c r="N10" i="6"/>
  <c r="N89" i="6"/>
  <c r="N72" i="6"/>
  <c r="N65" i="6"/>
  <c r="N60" i="6"/>
  <c r="N57" i="6"/>
  <c r="N50" i="6"/>
  <c r="N47" i="6"/>
  <c r="N42" i="6"/>
  <c r="N39" i="6"/>
  <c r="N32" i="6"/>
  <c r="N29" i="6"/>
  <c r="N24" i="6"/>
  <c r="N17" i="6"/>
  <c r="N5" i="6"/>
  <c r="N12" i="6"/>
  <c r="N93" i="6"/>
  <c r="N91" i="6"/>
  <c r="N69" i="6"/>
  <c r="N67" i="6"/>
  <c r="N54" i="6"/>
  <c r="N52" i="6"/>
  <c r="N36" i="6"/>
  <c r="N34" i="6"/>
  <c r="N21" i="6"/>
  <c r="N19" i="6"/>
  <c r="N7" i="6"/>
</calcChain>
</file>

<file path=xl/sharedStrings.xml><?xml version="1.0" encoding="utf-8"?>
<sst xmlns="http://purl.oclc.org/ooxml/spreadsheetml/main" count="6129" uniqueCount="206">
  <si>
    <t>dist</t>
  </si>
  <si>
    <t>n</t>
  </si>
  <si>
    <t>key</t>
  </si>
  <si>
    <t>0.05_0.8</t>
  </si>
  <si>
    <t>0.05_0.9</t>
  </si>
  <si>
    <t>0.05_0.95</t>
  </si>
  <si>
    <t>0.05_0.99</t>
  </si>
  <si>
    <t>0.1_0.8</t>
  </si>
  <si>
    <t>0.1_0.9</t>
  </si>
  <si>
    <t>0.1_0.95</t>
  </si>
  <si>
    <t>0.1_0.99</t>
  </si>
  <si>
    <t>0.25_0.8</t>
  </si>
  <si>
    <t>0.25_0.9</t>
  </si>
  <si>
    <t>0.25_0.95</t>
  </si>
  <si>
    <t>0.25_0.99</t>
  </si>
  <si>
    <t>0.5_0.8</t>
  </si>
  <si>
    <t>0.5_0.9</t>
  </si>
  <si>
    <t>0.5_0.95</t>
  </si>
  <si>
    <t>0.5_0.99</t>
  </si>
  <si>
    <t>0.75_0.8</t>
  </si>
  <si>
    <t>0.75_0.9</t>
  </si>
  <si>
    <t>0.75_0.95</t>
  </si>
  <si>
    <t>0.75_0.99</t>
  </si>
  <si>
    <t>0.9_0.8</t>
  </si>
  <si>
    <t>0.9_0.9</t>
  </si>
  <si>
    <t>0.9_0.95</t>
  </si>
  <si>
    <t>0.9_0.99</t>
  </si>
  <si>
    <t>0.95_0.8</t>
  </si>
  <si>
    <t>0.95_0.9</t>
  </si>
  <si>
    <t>0.95_0.95</t>
  </si>
  <si>
    <t>0.95_0.99</t>
  </si>
  <si>
    <t>normal</t>
  </si>
  <si>
    <t>standard</t>
  </si>
  <si>
    <t>adjusted</t>
  </si>
  <si>
    <t>adimari</t>
  </si>
  <si>
    <t>chen_hall.0.5*n^{-0.2}</t>
  </si>
  <si>
    <t>bartlett.0.5*n^{-0.2}</t>
  </si>
  <si>
    <t>zhou_jing.0.5*n^{-0.2}</t>
  </si>
  <si>
    <t>chen_hall_adj.0.5*n^{-0.2}</t>
  </si>
  <si>
    <t>bartlett_adj.0.5*n^{-0.2}</t>
  </si>
  <si>
    <t>chen_hall.*n^{-0.2}</t>
  </si>
  <si>
    <t>bartlett.*n^{-0.2}</t>
  </si>
  <si>
    <t>zhou_jing.*n^{-0.2}</t>
  </si>
  <si>
    <t>chen_hall_adj.*n^{-0.2}</t>
  </si>
  <si>
    <t>bartlett_adj.*n^{-0.2}</t>
  </si>
  <si>
    <t>chen_hall.1.5*n^{-0.2}</t>
  </si>
  <si>
    <t>bartlett.1.5*n^{-0.2}</t>
  </si>
  <si>
    <t>zhou_jing.1.5*n^{-0.2}</t>
  </si>
  <si>
    <t>chen_hall_adj.1.5*n^{-0.2}</t>
  </si>
  <si>
    <t>bartlett_adj.1.5*n^{-0.2}</t>
  </si>
  <si>
    <t>chen_hall.2*n^{-0.2}</t>
  </si>
  <si>
    <t>bartlett.2*n^{-0.2}</t>
  </si>
  <si>
    <t>zhou_jing.2*n^{-0.2}</t>
  </si>
  <si>
    <t>chen_hall_adj.2*n^{-0.2}</t>
  </si>
  <si>
    <t>bartlett_adj.2*n^{-0.2}</t>
  </si>
  <si>
    <t>sign_test</t>
  </si>
  <si>
    <t>chisq3</t>
  </si>
  <si>
    <t>exp1</t>
  </si>
  <si>
    <t>wilcoxon</t>
  </si>
  <si>
    <t>NA</t>
  </si>
  <si>
    <t>t</t>
  </si>
  <si>
    <t>gamma</t>
  </si>
  <si>
    <t>Method</t>
  </si>
  <si>
    <t>chen_hall.*n^{-0.75}</t>
  </si>
  <si>
    <t>chen_hall.n^{-0.75}</t>
  </si>
  <si>
    <t>bartlett.*n^{-0.75}</t>
  </si>
  <si>
    <t>bartlett.n^{-0.75}</t>
  </si>
  <si>
    <t>zhou_jing.*n^{-0.75}</t>
  </si>
  <si>
    <t>zhou_jing.n^{-0.75}</t>
  </si>
  <si>
    <t>chen_hall_adj.*n^{-0.75}</t>
  </si>
  <si>
    <t>chen_hall_adj.n^{-0.75}</t>
  </si>
  <si>
    <t>bartlett_adj.*n^{-0.75}</t>
  </si>
  <si>
    <t>bartlett_adj.n^{-0.75}</t>
  </si>
  <si>
    <t>chen_hall.1.5*n^{-0.75}</t>
  </si>
  <si>
    <t>bartlett.1.5*n^{-0.75}</t>
  </si>
  <si>
    <t>zhou_jing.1.5*n^{-0.75}</t>
  </si>
  <si>
    <t>chen_hall_adj.1.5*n^{-0.75}</t>
  </si>
  <si>
    <t>bartlett_adj.1.5*n^{-0.75}</t>
  </si>
  <si>
    <t>chen_hall.2*n^{-0.75}</t>
  </si>
  <si>
    <t>bartlett.2*n^{-0.75}</t>
  </si>
  <si>
    <t>zhou_jing.2*n^{-0.75}</t>
  </si>
  <si>
    <t>chen_hall_adj.2*n^{-0.75}</t>
  </si>
  <si>
    <t>bartlett_adj.2*n^{-0.75}</t>
  </si>
  <si>
    <t>bartlett.n^{-0.5}</t>
  </si>
  <si>
    <t>bartlett.n^{-1}</t>
  </si>
  <si>
    <t>bartlett_adj.n^{-0.5}</t>
  </si>
  <si>
    <t>bartlett_adj.n^{-1}</t>
  </si>
  <si>
    <t>chen_hall.n^{-0.5}</t>
  </si>
  <si>
    <t>chen_hall.n^{-1}</t>
  </si>
  <si>
    <t>chen_hall_adj.n^{-0.5}</t>
  </si>
  <si>
    <t>chen_hall_adj.n^{-1}</t>
  </si>
  <si>
    <t>zhou_jing.n^{-0.5}</t>
  </si>
  <si>
    <t>zhou_jing.n^{-1}</t>
  </si>
  <si>
    <t>selected</t>
  </si>
  <si>
    <t>*</t>
  </si>
  <si>
    <t>0.1</t>
  </si>
  <si>
    <t>0.25</t>
  </si>
  <si>
    <t>0.5</t>
  </si>
  <si>
    <t>0.75</t>
  </si>
  <si>
    <t>0.9</t>
  </si>
  <si>
    <t>0.95</t>
  </si>
  <si>
    <t>0.05_20</t>
  </si>
  <si>
    <t>0.05_50</t>
  </si>
  <si>
    <t>0.05_100</t>
  </si>
  <si>
    <t>0.1_20</t>
  </si>
  <si>
    <t>0.1_50</t>
  </si>
  <si>
    <t>0.1_100</t>
  </si>
  <si>
    <t>0.5_20</t>
  </si>
  <si>
    <t>0.5_50</t>
  </si>
  <si>
    <t>0.5_100</t>
  </si>
  <si>
    <t>0.9_20</t>
  </si>
  <si>
    <t>0.9_50</t>
  </si>
  <si>
    <t>0.9_100</t>
  </si>
  <si>
    <t>0.95_20</t>
  </si>
  <si>
    <t>0.95_50</t>
  </si>
  <si>
    <t>0.95_100</t>
  </si>
  <si>
    <t>q</t>
  </si>
  <si>
    <t>method</t>
  </si>
  <si>
    <t>0.05</t>
  </si>
  <si>
    <t>20</t>
  </si>
  <si>
    <t>50</t>
  </si>
  <si>
    <t>100</t>
  </si>
  <si>
    <t>AD</t>
  </si>
  <si>
    <t>AEL</t>
  </si>
  <si>
    <t>BT</t>
  </si>
  <si>
    <t>CH</t>
  </si>
  <si>
    <t>Sign</t>
  </si>
  <si>
    <t>S</t>
  </si>
  <si>
    <t>NS</t>
  </si>
  <si>
    <t>W</t>
  </si>
  <si>
    <t>ZJ</t>
  </si>
  <si>
    <t>chisq4</t>
  </si>
  <si>
    <t>chisq5</t>
  </si>
  <si>
    <t>chisq6</t>
  </si>
  <si>
    <t>chisq7</t>
  </si>
  <si>
    <t>chisq8</t>
  </si>
  <si>
    <t>chisq9</t>
  </si>
  <si>
    <t>chisq10</t>
  </si>
  <si>
    <t>NV</t>
  </si>
  <si>
    <t>label</t>
  </si>
  <si>
    <t>coverage_20</t>
  </si>
  <si>
    <t>coverage_50</t>
  </si>
  <si>
    <t>coverage_100</t>
  </si>
  <si>
    <t>na_rate_20</t>
  </si>
  <si>
    <t>na_rate_50</t>
  </si>
  <si>
    <t>na_rate_100</t>
  </si>
  <si>
    <t>Mean</t>
  </si>
  <si>
    <t>chisq</t>
  </si>
  <si>
    <t>exp</t>
  </si>
  <si>
    <t>EL</t>
  </si>
  <si>
    <t>Median (t=0.5)</t>
  </si>
  <si>
    <t>Q3 (t=0.75)</t>
  </si>
  <si>
    <t>coverage</t>
  </si>
  <si>
    <t>na_count</t>
  </si>
  <si>
    <t>t=0.05</t>
  </si>
  <si>
    <t>Wilcox</t>
  </si>
  <si>
    <t>0.1_standard</t>
  </si>
  <si>
    <t>0.1_adjusted</t>
  </si>
  <si>
    <t>0.1_adimari</t>
  </si>
  <si>
    <t>0.1_chen_hall.n^{-1}</t>
  </si>
  <si>
    <t>0.1_bartlett.n^{-1}</t>
  </si>
  <si>
    <t>0.1_zhou_jing.n^{-1}</t>
  </si>
  <si>
    <t>0.1_sign_test</t>
  </si>
  <si>
    <t>0.5_standard</t>
  </si>
  <si>
    <t>0.5_adjusted</t>
  </si>
  <si>
    <t>0.5_adimari</t>
  </si>
  <si>
    <t>0.5_chen_hall.n^{-1}</t>
  </si>
  <si>
    <t>0.5_bartlett.n^{-1}</t>
  </si>
  <si>
    <t>0.5_zhou_jing.n^{-1}</t>
  </si>
  <si>
    <t>0.5_sign_test</t>
  </si>
  <si>
    <t>0.5_wilcoxon</t>
  </si>
  <si>
    <t>0.9_standard</t>
  </si>
  <si>
    <t>0.9_adjusted</t>
  </si>
  <si>
    <t>0.9_adimari</t>
  </si>
  <si>
    <t>0.9_chen_hall.n^{-1}</t>
  </si>
  <si>
    <t>0.9_bartlett.n^{-1}</t>
  </si>
  <si>
    <t>0.9_zhou_jing.n^{-1}</t>
  </si>
  <si>
    <t>0.9_sign_test</t>
  </si>
  <si>
    <t>ABT</t>
  </si>
  <si>
    <t>ACH</t>
  </si>
  <si>
    <t>Distribution</t>
  </si>
  <si>
    <t>NA count</t>
  </si>
  <si>
    <t>Coverage probability</t>
  </si>
  <si>
    <t>section</t>
  </si>
  <si>
    <t>NV:</t>
  </si>
  <si>
    <t>Coverage probability deviation</t>
  </si>
  <si>
    <t>TRUE Coverage probability</t>
  </si>
  <si>
    <t>Coverage Probability</t>
  </si>
  <si>
    <t>Coverage Delta</t>
  </si>
  <si>
    <t>Wilcoxon</t>
  </si>
  <si>
    <t>TRUE Coverage deviation</t>
  </si>
  <si>
    <t>Ignore NA</t>
  </si>
  <si>
    <t>Subtract NA</t>
  </si>
  <si>
    <t>Zhou Jing</t>
  </si>
  <si>
    <t>Delta</t>
  </si>
  <si>
    <t>Delta1vsZJ</t>
  </si>
  <si>
    <t>Delta2vsZJ</t>
  </si>
  <si>
    <t>True Coverage</t>
  </si>
  <si>
    <t>D1</t>
  </si>
  <si>
    <t>D2</t>
  </si>
  <si>
    <t>t=0.5</t>
  </si>
  <si>
    <t>t=0.75</t>
  </si>
  <si>
    <t>Coverage</t>
  </si>
  <si>
    <t>NA rate</t>
  </si>
  <si>
    <t>Theoretical NA rate</t>
  </si>
  <si>
    <t>Theoretical Theta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</si>
</sst>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E+00"/>
    <numFmt numFmtId="165" formatCode="0.000"/>
    <numFmt numFmtId="166" formatCode="#,##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4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 style="thick">
        <color auto="1"/>
      </top>
      <bottom/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/>
      <diagonal/>
    </border>
    <border>
      <start style="medium">
        <color indexed="64"/>
      </start>
      <end style="medium">
        <color indexed="64"/>
      </end>
      <top/>
      <bottom/>
      <diagonal/>
    </border>
    <border>
      <start style="medium">
        <color indexed="64"/>
      </start>
      <end style="medium">
        <color indexed="64"/>
      </end>
      <top style="thick">
        <color auto="1"/>
      </top>
      <bottom/>
      <diagonal/>
    </border>
    <border>
      <start style="medium">
        <color indexed="64"/>
      </start>
      <end style="medium">
        <color indexed="64"/>
      </end>
      <top/>
      <bottom style="medium">
        <color indexed="64"/>
      </bottom>
      <diagonal/>
    </border>
    <border>
      <start/>
      <end/>
      <top style="medium">
        <color auto="1"/>
      </top>
      <bottom/>
      <diagonal/>
    </border>
    <border>
      <start style="medium">
        <color indexed="64"/>
      </start>
      <end/>
      <top style="medium">
        <color indexed="64"/>
      </top>
      <bottom/>
      <diagonal/>
    </border>
    <border>
      <start/>
      <end style="medium">
        <color indexed="64"/>
      </end>
      <top style="medium">
        <color indexed="64"/>
      </top>
      <bottom/>
      <diagonal/>
    </border>
    <border>
      <start style="medium">
        <color indexed="64"/>
      </start>
      <end/>
      <top/>
      <bottom/>
      <diagonal/>
    </border>
    <border>
      <start/>
      <end style="medium">
        <color indexed="64"/>
      </end>
      <top/>
      <bottom/>
      <diagonal/>
    </border>
    <border>
      <start style="medium">
        <color indexed="64"/>
      </start>
      <end/>
      <top/>
      <bottom style="medium">
        <color indexed="64"/>
      </bottom>
      <diagonal/>
    </border>
    <border>
      <start/>
      <end/>
      <top/>
      <bottom style="medium">
        <color indexed="64"/>
      </bottom>
      <diagonal/>
    </border>
    <border>
      <start/>
      <end style="medium">
        <color indexed="64"/>
      </end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8">
    <xf numFmtId="0" fontId="0" fillId="0" borderId="0" xfId="0"/>
    <xf numFmtId="0" fontId="0" fillId="0" borderId="10" xfId="0" applyBorder="1"/>
    <xf numFmtId="11" fontId="0" fillId="0" borderId="0" xfId="0" applyNumberFormat="1"/>
    <xf numFmtId="164" fontId="0" fillId="0" borderId="0" xfId="0" applyNumberForma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6" fillId="33" borderId="10" xfId="0" applyFont="1" applyFill="1" applyBorder="1"/>
    <xf numFmtId="0" fontId="16" fillId="33" borderId="0" xfId="0" applyFont="1" applyFill="1"/>
    <xf numFmtId="0" fontId="0" fillId="33" borderId="10" xfId="0" applyFill="1" applyBorder="1"/>
    <xf numFmtId="0" fontId="0" fillId="33" borderId="0" xfId="0" applyFill="1"/>
    <xf numFmtId="165" fontId="0" fillId="0" borderId="10" xfId="0" applyNumberFormat="1" applyBorder="1"/>
    <xf numFmtId="165" fontId="0" fillId="0" borderId="0" xfId="0" applyNumberFormat="1"/>
    <xf numFmtId="0" fontId="0" fillId="33" borderId="11" xfId="0" applyFill="1" applyBorder="1"/>
    <xf numFmtId="166" fontId="0" fillId="0" borderId="0" xfId="0" applyNumberFormat="1"/>
    <xf numFmtId="0" fontId="0" fillId="0" borderId="16" xfId="0" applyBorder="1"/>
    <xf numFmtId="166" fontId="0" fillId="0" borderId="16" xfId="0" applyNumberFormat="1" applyBorder="1"/>
    <xf numFmtId="0" fontId="0" fillId="0" borderId="19" xfId="0" applyBorder="1"/>
    <xf numFmtId="0" fontId="0" fillId="0" borderId="20" xfId="0" applyBorder="1"/>
    <xf numFmtId="166" fontId="0" fillId="0" borderId="17" xfId="0" applyNumberFormat="1" applyBorder="1"/>
    <xf numFmtId="166" fontId="0" fillId="0" borderId="18" xfId="0" applyNumberFormat="1" applyBorder="1"/>
    <xf numFmtId="166" fontId="0" fillId="0" borderId="19" xfId="0" applyNumberFormat="1" applyBorder="1"/>
    <xf numFmtId="166" fontId="0" fillId="0" borderId="20" xfId="0" applyNumberFormat="1" applyBorder="1"/>
    <xf numFmtId="166" fontId="0" fillId="0" borderId="21" xfId="0" applyNumberFormat="1" applyBorder="1"/>
    <xf numFmtId="166" fontId="0" fillId="0" borderId="22" xfId="0" applyNumberFormat="1" applyBorder="1"/>
    <xf numFmtId="166" fontId="0" fillId="0" borderId="2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3" fontId="0" fillId="0" borderId="19" xfId="0" applyNumberFormat="1" applyBorder="1"/>
    <xf numFmtId="3" fontId="0" fillId="0" borderId="0" xfId="0" applyNumberFormat="1"/>
    <xf numFmtId="3" fontId="0" fillId="0" borderId="20" xfId="0" applyNumberFormat="1" applyBorder="1"/>
    <xf numFmtId="3" fontId="0" fillId="0" borderId="21" xfId="0" applyNumberFormat="1" applyBorder="1"/>
    <xf numFmtId="3" fontId="0" fillId="0" borderId="22" xfId="0" applyNumberFormat="1" applyBorder="1"/>
    <xf numFmtId="3" fontId="0" fillId="0" borderId="23" xfId="0" applyNumberFormat="1" applyBorder="1"/>
    <xf numFmtId="3" fontId="0" fillId="0" borderId="17" xfId="0" applyNumberFormat="1" applyBorder="1"/>
    <xf numFmtId="3" fontId="0" fillId="0" borderId="16" xfId="0" applyNumberFormat="1" applyBorder="1"/>
    <xf numFmtId="3" fontId="0" fillId="0" borderId="18" xfId="0" applyNumberFormat="1" applyBorder="1"/>
    <xf numFmtId="0" fontId="0" fillId="0" borderId="22" xfId="0" applyBorder="1"/>
    <xf numFmtId="0" fontId="0" fillId="0" borderId="17" xfId="0" applyBorder="1"/>
    <xf numFmtId="0" fontId="0" fillId="0" borderId="21" xfId="0" applyBorder="1"/>
    <xf numFmtId="0" fontId="0" fillId="0" borderId="23" xfId="0" applyBorder="1"/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worksheet" Target="worksheets/sheet13.xml"/><Relationship Id="rId18" Type="http://purl.oclc.org/ooxml/officeDocument/relationships/worksheet" Target="worksheets/sheet18.xml"/><Relationship Id="rId26" Type="http://purl.oclc.org/ooxml/officeDocument/relationships/calcChain" Target="calcChain.xml"/><Relationship Id="rId3" Type="http://purl.oclc.org/ooxml/officeDocument/relationships/worksheet" Target="worksheets/sheet3.xml"/><Relationship Id="rId21" Type="http://purl.oclc.org/ooxml/officeDocument/relationships/worksheet" Target="worksheets/sheet21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17" Type="http://purl.oclc.org/ooxml/officeDocument/relationships/worksheet" Target="worksheets/sheet17.xml"/><Relationship Id="rId25" Type="http://purl.oclc.org/ooxml/officeDocument/relationships/sharedStrings" Target="sharedStrings.xml"/><Relationship Id="rId2" Type="http://purl.oclc.org/ooxml/officeDocument/relationships/worksheet" Target="worksheets/sheet2.xml"/><Relationship Id="rId16" Type="http://purl.oclc.org/ooxml/officeDocument/relationships/worksheet" Target="worksheets/sheet16.xml"/><Relationship Id="rId20" Type="http://purl.oclc.org/ooxml/officeDocument/relationships/worksheet" Target="worksheets/sheet20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24" Type="http://purl.oclc.org/ooxml/officeDocument/relationships/styles" Target="styles.xml"/><Relationship Id="rId5" Type="http://purl.oclc.org/ooxml/officeDocument/relationships/worksheet" Target="worksheets/sheet5.xml"/><Relationship Id="rId15" Type="http://purl.oclc.org/ooxml/officeDocument/relationships/worksheet" Target="worksheets/sheet15.xml"/><Relationship Id="rId23" Type="http://purl.oclc.org/ooxml/officeDocument/relationships/theme" Target="theme/theme1.xml"/><Relationship Id="rId10" Type="http://purl.oclc.org/ooxml/officeDocument/relationships/worksheet" Target="worksheets/sheet10.xml"/><Relationship Id="rId19" Type="http://purl.oclc.org/ooxml/officeDocument/relationships/worksheet" Target="worksheets/sheet19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worksheet" Target="worksheets/sheet14.xml"/><Relationship Id="rId22" Type="http://purl.oclc.org/ooxml/officeDocument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2" Type="http://purl.oclc.org/ooxml/officeDocument/relationships/image" Target="../media/image2.png"/><Relationship Id="rId1" Type="http://purl.oclc.org/ooxml/officeDocument/relationships/image" Target="../media/image1.png"/></Relationships>
</file>

<file path=xl/drawings/drawing1.xml><?xml version="1.0" encoding="utf-8"?>
<xdr:wsDr xmlns:xdr="http://purl.oclc.org/ooxml/drawingml/spreadsheetDrawing" xmlns:a="http://purl.oclc.org/ooxml/drawingml/main">
  <xdr:twoCellAnchor editAs="oneCell">
    <xdr:from>
      <xdr:col>15</xdr:col>
      <xdr:colOff>0</xdr:colOff>
      <xdr:row>1</xdr:row>
      <xdr:rowOff>0</xdr:rowOff>
    </xdr:from>
    <xdr:to>
      <xdr:col>24</xdr:col>
      <xdr:colOff>161195</xdr:colOff>
      <xdr:row>35</xdr:row>
      <xdr:rowOff>162820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F21D34-1780-44AB-B91C-4F61766F03AD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/>
        <a:stretch>
          <a:fillRect/>
        </a:stretch>
      </xdr:blipFill>
      <xdr:spPr>
        <a:xfrm>
          <a:off x="8806543" y="4822371"/>
          <a:ext cx="4515480" cy="6487420"/>
        </a:xfrm>
        <a:prstGeom prst="rect">
          <a:avLst/>
        </a:prstGeom>
      </xdr:spPr>
    </xdr:pic>
    <xdr:clientData/>
  </xdr:twoCellAnchor>
  <xdr:twoCellAnchor editAs="oneCell">
    <xdr:from>
      <xdr:col>14</xdr:col>
      <xdr:colOff>653143</xdr:colOff>
      <xdr:row>24</xdr:row>
      <xdr:rowOff>43544</xdr:rowOff>
    </xdr:from>
    <xdr:to>
      <xdr:col>24</xdr:col>
      <xdr:colOff>521857</xdr:colOff>
      <xdr:row>59</xdr:row>
      <xdr:rowOff>108414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04B7C7-5647-AC28-1F39-B195D2C098E9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"/>
        <a:stretch>
          <a:fillRect/>
        </a:stretch>
      </xdr:blipFill>
      <xdr:spPr>
        <a:xfrm>
          <a:off x="9252857" y="6923315"/>
          <a:ext cx="5039428" cy="65636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0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248D-8679-4F58-8BF9-9ACD38CE88B7}">
  <dimension ref="A1:AE363"/>
  <sheetViews>
    <sheetView zoomScale="49" zoomScaleNormal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1" sqref="D1"/>
    </sheetView>
  </sheetViews>
  <sheetFormatPr defaultRowHeight="14.4" x14ac:dyDescent="0.3"/>
  <cols>
    <col min="3" max="3" width="27.5546875" bestFit="1" customWidth="1"/>
    <col min="18" max="18" width="8.88671875" style="5"/>
  </cols>
  <sheetData>
    <row r="1" spans="1:31" x14ac:dyDescent="0.3">
      <c r="C1" t="s">
        <v>60</v>
      </c>
      <c r="D1" t="str">
        <f>LEFT(D3,FIND("_",D3)-1)</f>
        <v>0.05</v>
      </c>
      <c r="E1" t="str">
        <f t="shared" ref="E1:AE1" si="0">LEFT(E3,FIND("_",E3)-1)</f>
        <v>0.05</v>
      </c>
      <c r="F1" t="str">
        <f t="shared" si="0"/>
        <v>0.05</v>
      </c>
      <c r="G1" t="str">
        <f t="shared" si="0"/>
        <v>0.05</v>
      </c>
      <c r="H1" t="str">
        <f t="shared" si="0"/>
        <v>0.1</v>
      </c>
      <c r="I1" t="str">
        <f t="shared" si="0"/>
        <v>0.1</v>
      </c>
      <c r="J1" t="str">
        <f t="shared" si="0"/>
        <v>0.1</v>
      </c>
      <c r="K1" t="str">
        <f t="shared" si="0"/>
        <v>0.1</v>
      </c>
      <c r="L1" t="str">
        <f t="shared" si="0"/>
        <v>0.25</v>
      </c>
      <c r="M1" t="str">
        <f t="shared" si="0"/>
        <v>0.25</v>
      </c>
      <c r="N1" t="str">
        <f t="shared" si="0"/>
        <v>0.25</v>
      </c>
      <c r="O1" t="str">
        <f t="shared" si="0"/>
        <v>0.25</v>
      </c>
      <c r="P1" t="str">
        <f t="shared" si="0"/>
        <v>0.5</v>
      </c>
      <c r="Q1" t="str">
        <f t="shared" si="0"/>
        <v>0.5</v>
      </c>
      <c r="R1" s="4" t="str">
        <f t="shared" si="0"/>
        <v>0.5</v>
      </c>
      <c r="S1" t="str">
        <f t="shared" si="0"/>
        <v>0.5</v>
      </c>
      <c r="T1" t="str">
        <f t="shared" si="0"/>
        <v>0.75</v>
      </c>
      <c r="U1" t="str">
        <f t="shared" si="0"/>
        <v>0.75</v>
      </c>
      <c r="V1" t="str">
        <f t="shared" si="0"/>
        <v>0.75</v>
      </c>
      <c r="W1" t="str">
        <f t="shared" si="0"/>
        <v>0.75</v>
      </c>
      <c r="X1" t="str">
        <f t="shared" si="0"/>
        <v>0.9</v>
      </c>
      <c r="Y1" t="str">
        <f t="shared" si="0"/>
        <v>0.9</v>
      </c>
      <c r="Z1" t="str">
        <f t="shared" si="0"/>
        <v>0.9</v>
      </c>
      <c r="AA1" t="str">
        <f t="shared" si="0"/>
        <v>0.9</v>
      </c>
      <c r="AB1" t="str">
        <f t="shared" si="0"/>
        <v>0.95</v>
      </c>
      <c r="AC1" t="str">
        <f t="shared" si="0"/>
        <v>0.95</v>
      </c>
      <c r="AD1" t="str">
        <f t="shared" si="0"/>
        <v>0.95</v>
      </c>
      <c r="AE1" t="str">
        <f t="shared" si="0"/>
        <v>0.95</v>
      </c>
    </row>
    <row r="2" spans="1:31" x14ac:dyDescent="0.3">
      <c r="C2" t="s">
        <v>61</v>
      </c>
      <c r="D2" t="str">
        <f>RIGHT(D3,LEN(D3)-FIND("_",D3))</f>
        <v>0.8</v>
      </c>
      <c r="E2" t="str">
        <f t="shared" ref="E2:AE2" si="1">RIGHT(E3,LEN(E3)-FIND("_",E3))</f>
        <v>0.9</v>
      </c>
      <c r="F2" t="str">
        <f t="shared" si="1"/>
        <v>0.95</v>
      </c>
      <c r="G2" t="str">
        <f t="shared" si="1"/>
        <v>0.99</v>
      </c>
      <c r="H2" t="str">
        <f t="shared" si="1"/>
        <v>0.8</v>
      </c>
      <c r="I2" t="str">
        <f t="shared" si="1"/>
        <v>0.9</v>
      </c>
      <c r="J2" t="str">
        <f t="shared" si="1"/>
        <v>0.95</v>
      </c>
      <c r="K2" t="str">
        <f t="shared" si="1"/>
        <v>0.99</v>
      </c>
      <c r="L2" t="str">
        <f t="shared" si="1"/>
        <v>0.8</v>
      </c>
      <c r="M2" t="str">
        <f t="shared" si="1"/>
        <v>0.9</v>
      </c>
      <c r="N2" t="str">
        <f t="shared" si="1"/>
        <v>0.95</v>
      </c>
      <c r="O2" t="str">
        <f t="shared" si="1"/>
        <v>0.99</v>
      </c>
      <c r="P2" t="str">
        <f t="shared" si="1"/>
        <v>0.8</v>
      </c>
      <c r="Q2" t="str">
        <f t="shared" si="1"/>
        <v>0.9</v>
      </c>
      <c r="R2" s="5" t="str">
        <f t="shared" si="1"/>
        <v>0.95</v>
      </c>
      <c r="S2" t="str">
        <f t="shared" si="1"/>
        <v>0.99</v>
      </c>
      <c r="T2" t="str">
        <f t="shared" si="1"/>
        <v>0.8</v>
      </c>
      <c r="U2" t="str">
        <f t="shared" si="1"/>
        <v>0.9</v>
      </c>
      <c r="V2" t="str">
        <f t="shared" si="1"/>
        <v>0.95</v>
      </c>
      <c r="W2" t="str">
        <f t="shared" si="1"/>
        <v>0.99</v>
      </c>
      <c r="X2" t="str">
        <f t="shared" si="1"/>
        <v>0.8</v>
      </c>
      <c r="Y2" t="str">
        <f t="shared" si="1"/>
        <v>0.9</v>
      </c>
      <c r="Z2" t="str">
        <f t="shared" si="1"/>
        <v>0.95</v>
      </c>
      <c r="AA2" t="str">
        <f t="shared" si="1"/>
        <v>0.99</v>
      </c>
      <c r="AB2" t="str">
        <f t="shared" si="1"/>
        <v>0.8</v>
      </c>
      <c r="AC2" t="str">
        <f t="shared" si="1"/>
        <v>0.9</v>
      </c>
      <c r="AD2" t="str">
        <f t="shared" si="1"/>
        <v>0.95</v>
      </c>
      <c r="AE2" t="str">
        <f t="shared" si="1"/>
        <v>0.99</v>
      </c>
    </row>
    <row r="3" spans="1:31" ht="15" thickBot="1" x14ac:dyDescent="0.35">
      <c r="A3" t="s">
        <v>0</v>
      </c>
      <c r="B3" t="s">
        <v>1</v>
      </c>
      <c r="C3" t="s">
        <v>62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s="5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</row>
    <row r="4" spans="1:31" ht="15" thickTop="1" x14ac:dyDescent="0.3">
      <c r="A4" s="1" t="s">
        <v>56</v>
      </c>
      <c r="B4" s="1">
        <v>20</v>
      </c>
      <c r="C4" s="1" t="s">
        <v>34</v>
      </c>
      <c r="D4" s="1">
        <v>0.88460332392599605</v>
      </c>
      <c r="E4" s="1">
        <v>0.95845092505487595</v>
      </c>
      <c r="F4" s="1">
        <v>0.97554092191909703</v>
      </c>
      <c r="G4" s="1">
        <v>0.99608027594857296</v>
      </c>
      <c r="H4" s="1">
        <v>0.91113906678865497</v>
      </c>
      <c r="I4" s="1">
        <v>0.95345379688929599</v>
      </c>
      <c r="J4" s="1">
        <v>0.97930009149130803</v>
      </c>
      <c r="K4" s="1">
        <v>0.996111619396157</v>
      </c>
      <c r="L4" s="1">
        <v>0.80613779961889498</v>
      </c>
      <c r="M4" s="1">
        <v>0.91274696620198603</v>
      </c>
      <c r="N4" s="1">
        <v>0.95587202888376299</v>
      </c>
      <c r="O4" s="1">
        <v>0.99388225854979395</v>
      </c>
      <c r="P4" s="1">
        <v>0.80979999999999996</v>
      </c>
      <c r="Q4" s="1">
        <v>0.90159999999999996</v>
      </c>
      <c r="R4" s="6">
        <v>0.9506</v>
      </c>
      <c r="S4" s="1">
        <v>0.99050000000000005</v>
      </c>
      <c r="T4" s="1">
        <v>0.80536036940373401</v>
      </c>
      <c r="U4" s="1">
        <v>0.91035936558923902</v>
      </c>
      <c r="V4" s="1">
        <v>0.95442682192330897</v>
      </c>
      <c r="W4" s="1">
        <v>0.99427825737803699</v>
      </c>
      <c r="X4" s="1">
        <v>0.90441009320300103</v>
      </c>
      <c r="Y4" s="1">
        <v>0.95396681063878197</v>
      </c>
      <c r="Z4" s="1">
        <v>0.98045010229597596</v>
      </c>
      <c r="AA4" s="1">
        <v>0.99533984996590097</v>
      </c>
      <c r="AB4" s="1">
        <v>0.87488314116547194</v>
      </c>
      <c r="AC4" s="1">
        <v>0.94079152383920195</v>
      </c>
      <c r="AD4" s="1">
        <v>0.97023995014023101</v>
      </c>
      <c r="AE4" s="1">
        <v>0.99470239950140205</v>
      </c>
    </row>
    <row r="5" spans="1:31" x14ac:dyDescent="0.3">
      <c r="A5" t="s">
        <v>56</v>
      </c>
      <c r="B5">
        <v>30</v>
      </c>
      <c r="C5" t="s">
        <v>34</v>
      </c>
      <c r="D5">
        <v>0.90670739467990302</v>
      </c>
      <c r="E5">
        <v>0.95799923634975204</v>
      </c>
      <c r="F5">
        <v>0.97798141784396098</v>
      </c>
      <c r="G5">
        <v>0.99529082346951803</v>
      </c>
      <c r="H5">
        <v>0.84756416972236803</v>
      </c>
      <c r="I5">
        <v>0.94824515453116798</v>
      </c>
      <c r="J5">
        <v>0.97988475641697204</v>
      </c>
      <c r="K5">
        <v>0.99654269250916705</v>
      </c>
      <c r="L5">
        <v>0.80744223266980097</v>
      </c>
      <c r="M5">
        <v>0.905771731519456</v>
      </c>
      <c r="N5">
        <v>0.95578673602080599</v>
      </c>
      <c r="O5">
        <v>0.99319795938781597</v>
      </c>
      <c r="P5">
        <v>0.7984</v>
      </c>
      <c r="Q5">
        <v>0.89700000000000002</v>
      </c>
      <c r="R5" s="5">
        <v>0.94989999999999997</v>
      </c>
      <c r="S5">
        <v>0.99229999999999996</v>
      </c>
      <c r="T5">
        <v>0.79861944777911198</v>
      </c>
      <c r="U5">
        <v>0.90386154461784696</v>
      </c>
      <c r="V5">
        <v>0.95388155262104801</v>
      </c>
      <c r="W5">
        <v>0.99239695878351297</v>
      </c>
      <c r="X5">
        <v>0.87392939210361398</v>
      </c>
      <c r="Y5">
        <v>0.95226655525381199</v>
      </c>
      <c r="Z5">
        <v>0.97931898892834801</v>
      </c>
      <c r="AA5">
        <v>0.99582201796532299</v>
      </c>
      <c r="AB5">
        <v>0.903114628542252</v>
      </c>
      <c r="AC5">
        <v>0.95557824865968899</v>
      </c>
      <c r="AD5">
        <v>0.97932090885882095</v>
      </c>
      <c r="AE5">
        <v>0.99706407965279598</v>
      </c>
    </row>
    <row r="6" spans="1:31" x14ac:dyDescent="0.3">
      <c r="A6" t="s">
        <v>56</v>
      </c>
      <c r="B6">
        <v>50</v>
      </c>
      <c r="C6" t="s">
        <v>34</v>
      </c>
      <c r="D6">
        <v>0.88083631242552296</v>
      </c>
      <c r="E6">
        <v>0.955042790596902</v>
      </c>
      <c r="F6">
        <v>0.97985050373740701</v>
      </c>
      <c r="G6">
        <v>0.99620842812263</v>
      </c>
      <c r="H6">
        <v>0.80815998392121402</v>
      </c>
      <c r="I6">
        <v>0.91588785046729004</v>
      </c>
      <c r="J6">
        <v>0.95678826248618198</v>
      </c>
      <c r="K6">
        <v>0.99577931866144098</v>
      </c>
      <c r="L6">
        <v>0.80149999999999999</v>
      </c>
      <c r="M6">
        <v>0.90380000000000005</v>
      </c>
      <c r="N6">
        <v>0.95550000000000002</v>
      </c>
      <c r="O6">
        <v>0.99109999999999998</v>
      </c>
      <c r="P6">
        <v>0.81040000000000001</v>
      </c>
      <c r="Q6">
        <v>0.90900000000000003</v>
      </c>
      <c r="R6" s="5">
        <v>0.95520000000000005</v>
      </c>
      <c r="S6">
        <v>0.99060000000000004</v>
      </c>
      <c r="T6">
        <v>0.79710000000000003</v>
      </c>
      <c r="U6">
        <v>0.89749999999999996</v>
      </c>
      <c r="V6">
        <v>0.94799999999999995</v>
      </c>
      <c r="W6">
        <v>0.9879</v>
      </c>
      <c r="X6">
        <v>0.801104972375691</v>
      </c>
      <c r="Y6">
        <v>0.91210447011551998</v>
      </c>
      <c r="Z6">
        <v>0.95740833751883503</v>
      </c>
      <c r="AA6">
        <v>0.99537920642892996</v>
      </c>
      <c r="AB6">
        <v>0.88611983963593</v>
      </c>
      <c r="AC6">
        <v>0.95752519232852995</v>
      </c>
      <c r="AD6">
        <v>0.98082132408711697</v>
      </c>
      <c r="AE6">
        <v>0.99664102286271505</v>
      </c>
    </row>
    <row r="7" spans="1:31" x14ac:dyDescent="0.3">
      <c r="A7" t="s">
        <v>57</v>
      </c>
      <c r="B7">
        <v>20</v>
      </c>
      <c r="C7" s="11" t="s">
        <v>34</v>
      </c>
      <c r="D7">
        <v>0.87852359445569195</v>
      </c>
      <c r="E7">
        <v>0.95966360380003102</v>
      </c>
      <c r="F7">
        <v>0.97523750194673697</v>
      </c>
      <c r="G7">
        <v>0.99501635259305399</v>
      </c>
      <c r="H7">
        <v>0.909142661960606</v>
      </c>
      <c r="I7">
        <v>0.95286348628031403</v>
      </c>
      <c r="J7">
        <v>0.98053057042013003</v>
      </c>
      <c r="K7">
        <v>0.99647045428669001</v>
      </c>
      <c r="L7">
        <v>0.80377207062600298</v>
      </c>
      <c r="M7">
        <v>0.90449438202247201</v>
      </c>
      <c r="N7">
        <v>0.95455457463884397</v>
      </c>
      <c r="O7">
        <v>0.99438202247190999</v>
      </c>
      <c r="P7">
        <v>0.79920000000000002</v>
      </c>
      <c r="Q7">
        <v>0.89490000000000003</v>
      </c>
      <c r="R7" s="5">
        <v>0.94710000000000005</v>
      </c>
      <c r="S7">
        <v>0.98809999999999998</v>
      </c>
      <c r="T7">
        <v>0.80056151609345205</v>
      </c>
      <c r="U7">
        <v>0.91266419332196902</v>
      </c>
      <c r="V7">
        <v>0.95377519302115699</v>
      </c>
      <c r="W7">
        <v>0.99488619272034495</v>
      </c>
      <c r="X7">
        <v>0.902611472231725</v>
      </c>
      <c r="Y7">
        <v>0.955183031132398</v>
      </c>
      <c r="Z7">
        <v>0.978560839320333</v>
      </c>
      <c r="AA7">
        <v>0.99600866689474299</v>
      </c>
      <c r="AB7">
        <v>0.87949390526153404</v>
      </c>
      <c r="AC7">
        <v>0.94429871933343601</v>
      </c>
      <c r="AD7">
        <v>0.97099213084400604</v>
      </c>
      <c r="AE7">
        <v>0.99413670729825598</v>
      </c>
    </row>
    <row r="8" spans="1:31" x14ac:dyDescent="0.3">
      <c r="A8" t="s">
        <v>57</v>
      </c>
      <c r="B8">
        <v>30</v>
      </c>
      <c r="C8" s="11" t="s">
        <v>34</v>
      </c>
      <c r="D8">
        <v>0.90843621399176999</v>
      </c>
      <c r="E8">
        <v>0.95884773662551404</v>
      </c>
      <c r="F8">
        <v>0.97839506172839497</v>
      </c>
      <c r="G8">
        <v>0.99562757201646102</v>
      </c>
      <c r="H8">
        <v>0.84178203393358997</v>
      </c>
      <c r="I8">
        <v>0.94535234724679895</v>
      </c>
      <c r="J8">
        <v>0.980951389611741</v>
      </c>
      <c r="K8">
        <v>0.99573227854689295</v>
      </c>
      <c r="L8">
        <v>0.80046009201840396</v>
      </c>
      <c r="M8">
        <v>0.89697939587917597</v>
      </c>
      <c r="N8">
        <v>0.94998999799960004</v>
      </c>
      <c r="O8">
        <v>0.99179835967193397</v>
      </c>
      <c r="P8">
        <v>0.79169999999999996</v>
      </c>
      <c r="Q8">
        <v>0.90080000000000005</v>
      </c>
      <c r="R8" s="5">
        <v>0.95199999999999996</v>
      </c>
      <c r="S8">
        <v>0.99170000000000003</v>
      </c>
      <c r="T8">
        <v>0.803780378037804</v>
      </c>
      <c r="U8">
        <v>0.90689068906890702</v>
      </c>
      <c r="V8">
        <v>0.95469546954695494</v>
      </c>
      <c r="W8">
        <v>0.99139913991399098</v>
      </c>
      <c r="X8">
        <v>0.86421558387298902</v>
      </c>
      <c r="Y8">
        <v>0.94662627950699796</v>
      </c>
      <c r="Z8">
        <v>0.97660330060580702</v>
      </c>
      <c r="AA8">
        <v>0.99571756841445602</v>
      </c>
      <c r="AB8">
        <v>0.89736707566462204</v>
      </c>
      <c r="AC8">
        <v>0.95283742331288301</v>
      </c>
      <c r="AD8">
        <v>0.97699386503067498</v>
      </c>
      <c r="AE8">
        <v>0.99565439672801603</v>
      </c>
    </row>
    <row r="9" spans="1:31" x14ac:dyDescent="0.3">
      <c r="A9" t="s">
        <v>57</v>
      </c>
      <c r="B9">
        <v>50</v>
      </c>
      <c r="C9" s="11" t="s">
        <v>34</v>
      </c>
      <c r="D9">
        <v>0.87701809513490103</v>
      </c>
      <c r="E9">
        <v>0.954166215191245</v>
      </c>
      <c r="F9">
        <v>0.98060461588471104</v>
      </c>
      <c r="G9">
        <v>0.99555748185068804</v>
      </c>
      <c r="H9">
        <v>0.80503965465314697</v>
      </c>
      <c r="I9">
        <v>0.91245858849513095</v>
      </c>
      <c r="J9">
        <v>0.95542616203192499</v>
      </c>
      <c r="K9">
        <v>0.99548238128701905</v>
      </c>
      <c r="L9">
        <v>0.80079999999999996</v>
      </c>
      <c r="M9">
        <v>0.9022</v>
      </c>
      <c r="N9">
        <v>0.95199999999999996</v>
      </c>
      <c r="O9">
        <v>0.99080000000000001</v>
      </c>
      <c r="P9">
        <v>0.79930000000000001</v>
      </c>
      <c r="Q9">
        <v>0.90259999999999996</v>
      </c>
      <c r="R9" s="5">
        <v>0.95250000000000001</v>
      </c>
      <c r="S9">
        <v>0.9899</v>
      </c>
      <c r="T9">
        <v>0.79979999999999996</v>
      </c>
      <c r="U9">
        <v>0.90129999999999999</v>
      </c>
      <c r="V9">
        <v>0.9516</v>
      </c>
      <c r="W9">
        <v>0.99070000000000003</v>
      </c>
      <c r="X9">
        <v>0.79778560644187202</v>
      </c>
      <c r="Y9">
        <v>0.91474584801207803</v>
      </c>
      <c r="Z9">
        <v>0.95681932561650695</v>
      </c>
      <c r="AA9">
        <v>0.99547055863110201</v>
      </c>
      <c r="AB9">
        <v>0.88740148979812195</v>
      </c>
      <c r="AC9">
        <v>0.96005613732052297</v>
      </c>
      <c r="AD9">
        <v>0.98229515275828605</v>
      </c>
      <c r="AE9">
        <v>0.99719313397387499</v>
      </c>
    </row>
    <row r="10" spans="1:31" x14ac:dyDescent="0.3">
      <c r="A10" t="s">
        <v>31</v>
      </c>
      <c r="B10">
        <v>20</v>
      </c>
      <c r="C10" t="s">
        <v>34</v>
      </c>
      <c r="D10">
        <v>0.87343918606443705</v>
      </c>
      <c r="E10">
        <v>0.94465854786496095</v>
      </c>
      <c r="F10">
        <v>0.97132726992446405</v>
      </c>
      <c r="G10">
        <v>0.99445043934021904</v>
      </c>
      <c r="H10">
        <v>0.90348982607707196</v>
      </c>
      <c r="I10">
        <v>0.95430260316016802</v>
      </c>
      <c r="J10">
        <v>0.98192565647379804</v>
      </c>
      <c r="K10">
        <v>0.99624872115493901</v>
      </c>
      <c r="L10">
        <v>0.79825441412520104</v>
      </c>
      <c r="M10">
        <v>0.90920947030497601</v>
      </c>
      <c r="N10">
        <v>0.95365168539325795</v>
      </c>
      <c r="O10">
        <v>0.99508426966292096</v>
      </c>
      <c r="P10">
        <v>0.81469999999999998</v>
      </c>
      <c r="Q10">
        <v>0.90749999999999997</v>
      </c>
      <c r="R10" s="5">
        <v>0.95579999999999998</v>
      </c>
      <c r="S10">
        <v>0.99170000000000003</v>
      </c>
      <c r="T10">
        <v>0.81581059390048205</v>
      </c>
      <c r="U10">
        <v>0.92064606741572996</v>
      </c>
      <c r="V10">
        <v>0.95987158908507197</v>
      </c>
      <c r="W10">
        <v>0.99367977528089901</v>
      </c>
      <c r="X10">
        <v>0.90427350427350395</v>
      </c>
      <c r="Y10">
        <v>0.95327635327635296</v>
      </c>
      <c r="Z10">
        <v>0.97925925925925905</v>
      </c>
      <c r="AA10">
        <v>0.99555555555555597</v>
      </c>
      <c r="AB10">
        <v>0.87968627450980397</v>
      </c>
      <c r="AC10">
        <v>0.94776470588235295</v>
      </c>
      <c r="AD10">
        <v>0.97349019607843101</v>
      </c>
      <c r="AE10">
        <v>0.995294117647059</v>
      </c>
    </row>
    <row r="11" spans="1:31" x14ac:dyDescent="0.3">
      <c r="A11" t="s">
        <v>31</v>
      </c>
      <c r="B11">
        <v>30</v>
      </c>
      <c r="C11" t="s">
        <v>34</v>
      </c>
      <c r="D11">
        <v>0.89609404626469502</v>
      </c>
      <c r="E11">
        <v>0.95272405511313396</v>
      </c>
      <c r="F11">
        <v>0.97686765263557096</v>
      </c>
      <c r="G11">
        <v>0.99582859309821803</v>
      </c>
      <c r="H11">
        <v>0.86326573280368002</v>
      </c>
      <c r="I11">
        <v>0.95024043487350995</v>
      </c>
      <c r="J11">
        <v>0.98013798871001501</v>
      </c>
      <c r="K11">
        <v>0.996027597742003</v>
      </c>
      <c r="L11">
        <v>0.802480248024802</v>
      </c>
      <c r="M11">
        <v>0.90709070907090705</v>
      </c>
      <c r="N11">
        <v>0.95289528952895297</v>
      </c>
      <c r="O11">
        <v>0.99249924992499206</v>
      </c>
      <c r="P11">
        <v>0.79610000000000003</v>
      </c>
      <c r="Q11">
        <v>0.89829999999999999</v>
      </c>
      <c r="R11" s="5">
        <v>0.94940000000000002</v>
      </c>
      <c r="S11">
        <v>0.99160000000000004</v>
      </c>
      <c r="T11">
        <v>0.80188018801880201</v>
      </c>
      <c r="U11">
        <v>0.90229022902290201</v>
      </c>
      <c r="V11">
        <v>0.95049504950495001</v>
      </c>
      <c r="W11">
        <v>0.99239923992399204</v>
      </c>
      <c r="X11">
        <v>0.86210493376447295</v>
      </c>
      <c r="Y11">
        <v>0.94607280692604601</v>
      </c>
      <c r="Z11">
        <v>0.97840826118702395</v>
      </c>
      <c r="AA11">
        <v>0.99666214665693098</v>
      </c>
      <c r="AB11">
        <v>0.89915966386554602</v>
      </c>
      <c r="AC11">
        <v>0.949452508276038</v>
      </c>
      <c r="AD11">
        <v>0.975044563279857</v>
      </c>
      <c r="AE11">
        <v>0.99376114081996403</v>
      </c>
    </row>
    <row r="12" spans="1:31" ht="15" thickBot="1" x14ac:dyDescent="0.35">
      <c r="A12" t="s">
        <v>31</v>
      </c>
      <c r="B12">
        <v>50</v>
      </c>
      <c r="C12" t="s">
        <v>34</v>
      </c>
      <c r="D12">
        <v>0.88291891891891905</v>
      </c>
      <c r="E12">
        <v>0.95416216216216199</v>
      </c>
      <c r="F12">
        <v>0.98162162162162203</v>
      </c>
      <c r="G12">
        <v>0.99675675675675701</v>
      </c>
      <c r="H12">
        <v>0.79776749798873703</v>
      </c>
      <c r="I12">
        <v>0.91281174577634805</v>
      </c>
      <c r="J12">
        <v>0.959875301689461</v>
      </c>
      <c r="K12">
        <v>0.99607803700724096</v>
      </c>
      <c r="L12">
        <v>0.80310000000000004</v>
      </c>
      <c r="M12">
        <v>0.9022</v>
      </c>
      <c r="N12">
        <v>0.95409999999999995</v>
      </c>
      <c r="O12">
        <v>0.99180000000000001</v>
      </c>
      <c r="P12">
        <v>0.79910000000000003</v>
      </c>
      <c r="Q12">
        <v>0.90239999999999998</v>
      </c>
      <c r="R12" s="7">
        <v>0.95469999999999999</v>
      </c>
      <c r="S12">
        <v>0.9919</v>
      </c>
      <c r="T12">
        <v>0.80200000000000005</v>
      </c>
      <c r="U12">
        <v>0.9002</v>
      </c>
      <c r="V12">
        <v>0.95089999999999997</v>
      </c>
      <c r="W12">
        <v>0.99219999999999997</v>
      </c>
      <c r="X12">
        <v>0.79376571141276997</v>
      </c>
      <c r="Y12">
        <v>0.90879839115133199</v>
      </c>
      <c r="Z12">
        <v>0.955656108597285</v>
      </c>
      <c r="AA12">
        <v>0.99587732528909001</v>
      </c>
      <c r="AB12">
        <v>0.88594307975327302</v>
      </c>
      <c r="AC12">
        <v>0.95833784222486695</v>
      </c>
      <c r="AD12">
        <v>0.98030516177902804</v>
      </c>
      <c r="AE12">
        <v>0.99653717130180697</v>
      </c>
    </row>
    <row r="13" spans="1:31" ht="15" thickTop="1" x14ac:dyDescent="0.3">
      <c r="A13" s="1" t="s">
        <v>56</v>
      </c>
      <c r="B13" s="1">
        <v>20</v>
      </c>
      <c r="C13" s="1" t="s">
        <v>33</v>
      </c>
      <c r="D13" s="1">
        <v>0.30546211757168001</v>
      </c>
      <c r="E13" s="1">
        <v>0.39644401729937501</v>
      </c>
      <c r="F13" s="1">
        <v>0.39644401729937501</v>
      </c>
      <c r="G13" s="1">
        <v>0.41983020983501501</v>
      </c>
      <c r="H13" s="1">
        <v>0.76415490004193998</v>
      </c>
      <c r="I13" s="1">
        <v>0.76415490004193998</v>
      </c>
      <c r="J13" s="1">
        <v>0.80861177128477602</v>
      </c>
      <c r="K13" s="1">
        <v>0.82371033132951199</v>
      </c>
      <c r="L13" s="1">
        <v>0.80649999999999999</v>
      </c>
      <c r="M13" s="1">
        <v>0.93759999999999999</v>
      </c>
      <c r="N13" s="1">
        <v>0.96150000000000002</v>
      </c>
      <c r="O13" s="1">
        <v>0.99639999999999995</v>
      </c>
      <c r="P13" s="1">
        <v>0.88260000000000005</v>
      </c>
      <c r="Q13" s="1">
        <v>0.88260000000000005</v>
      </c>
      <c r="R13" s="5">
        <v>0.9577</v>
      </c>
      <c r="S13" s="1">
        <v>0.99870000000000003</v>
      </c>
      <c r="T13" s="1">
        <v>0.80310000000000004</v>
      </c>
      <c r="U13" s="1">
        <v>0.93069999999999997</v>
      </c>
      <c r="V13" s="1">
        <v>0.96089999999999998</v>
      </c>
      <c r="W13" s="1">
        <v>0.99539999999999995</v>
      </c>
      <c r="X13" s="1">
        <v>0.83799999999999997</v>
      </c>
      <c r="Y13" s="1">
        <v>0.83799999999999997</v>
      </c>
      <c r="Z13" s="1">
        <v>0.86880000000000002</v>
      </c>
      <c r="AA13" s="1">
        <v>0.87880000000000003</v>
      </c>
      <c r="AB13" s="1">
        <v>0.30293835835196398</v>
      </c>
      <c r="AC13" s="1">
        <v>0.40099009900990101</v>
      </c>
      <c r="AD13" s="1">
        <v>0.40099009900990101</v>
      </c>
      <c r="AE13" s="1">
        <v>0.427339508144363</v>
      </c>
    </row>
    <row r="14" spans="1:31" x14ac:dyDescent="0.3">
      <c r="A14" t="s">
        <v>56</v>
      </c>
      <c r="B14">
        <v>30</v>
      </c>
      <c r="C14" t="s">
        <v>33</v>
      </c>
      <c r="D14">
        <v>0.72689999999999999</v>
      </c>
      <c r="E14">
        <v>0.77100000000000002</v>
      </c>
      <c r="F14">
        <v>0.77100000000000002</v>
      </c>
      <c r="G14">
        <v>0.78490000000000004</v>
      </c>
      <c r="H14">
        <v>0.65828556539864502</v>
      </c>
      <c r="I14">
        <v>0.90724335591453897</v>
      </c>
      <c r="J14">
        <v>0.93121417404898399</v>
      </c>
      <c r="K14">
        <v>0.93824908806670104</v>
      </c>
      <c r="L14">
        <v>0.79669999999999996</v>
      </c>
      <c r="M14">
        <v>0.91439999999999999</v>
      </c>
      <c r="N14">
        <v>0.94159999999999999</v>
      </c>
      <c r="O14">
        <v>0.99529999999999996</v>
      </c>
      <c r="P14">
        <v>0.79900000000000004</v>
      </c>
      <c r="Q14">
        <v>0.89900000000000002</v>
      </c>
      <c r="R14" s="5">
        <v>0.95489999999999997</v>
      </c>
      <c r="S14">
        <v>0.99570000000000003</v>
      </c>
      <c r="T14">
        <v>0.79520000000000002</v>
      </c>
      <c r="U14">
        <v>0.90980000000000005</v>
      </c>
      <c r="V14">
        <v>0.94010000000000005</v>
      </c>
      <c r="W14">
        <v>0.995</v>
      </c>
      <c r="X14">
        <v>0.75109999999999999</v>
      </c>
      <c r="Y14">
        <v>0.93340000000000001</v>
      </c>
      <c r="Z14">
        <v>0.94989999999999997</v>
      </c>
      <c r="AA14">
        <v>0.95489999999999997</v>
      </c>
      <c r="AB14">
        <v>0.72760000000000002</v>
      </c>
      <c r="AC14">
        <v>0.77</v>
      </c>
      <c r="AD14">
        <v>0.77</v>
      </c>
      <c r="AE14">
        <v>0.78259999999999996</v>
      </c>
    </row>
    <row r="15" spans="1:31" x14ac:dyDescent="0.3">
      <c r="A15" t="s">
        <v>56</v>
      </c>
      <c r="B15">
        <v>50</v>
      </c>
      <c r="C15" t="s">
        <v>33</v>
      </c>
      <c r="D15">
        <v>0.81659999999999999</v>
      </c>
      <c r="E15">
        <v>0.88400000000000001</v>
      </c>
      <c r="F15">
        <v>0.91139999999999999</v>
      </c>
      <c r="G15">
        <v>0.91979999999999995</v>
      </c>
      <c r="H15">
        <v>0.79688658265381795</v>
      </c>
      <c r="I15">
        <v>0.93093649617000296</v>
      </c>
      <c r="J15">
        <v>0.93093649617000296</v>
      </c>
      <c r="K15">
        <v>0.99048678033110904</v>
      </c>
      <c r="L15">
        <v>0.80959999999999999</v>
      </c>
      <c r="M15">
        <v>0.9012</v>
      </c>
      <c r="N15">
        <v>0.96830000000000005</v>
      </c>
      <c r="O15">
        <v>0.99039999999999995</v>
      </c>
      <c r="P15">
        <v>0.80779999999999996</v>
      </c>
      <c r="Q15">
        <v>0.9385</v>
      </c>
      <c r="R15" s="5">
        <v>0.9698</v>
      </c>
      <c r="S15">
        <v>0.99339999999999995</v>
      </c>
      <c r="T15">
        <v>0.80559999999999998</v>
      </c>
      <c r="U15">
        <v>0.89839999999999998</v>
      </c>
      <c r="V15">
        <v>0.96409999999999996</v>
      </c>
      <c r="W15">
        <v>0.98870000000000002</v>
      </c>
      <c r="X15">
        <v>0.83030000000000004</v>
      </c>
      <c r="Y15">
        <v>0.94040000000000001</v>
      </c>
      <c r="Z15">
        <v>0.94040000000000001</v>
      </c>
      <c r="AA15">
        <v>0.9919</v>
      </c>
      <c r="AB15">
        <v>0.81850000000000001</v>
      </c>
      <c r="AC15">
        <v>0.88680000000000003</v>
      </c>
      <c r="AD15">
        <v>0.91159999999999997</v>
      </c>
      <c r="AE15">
        <v>0.92030000000000001</v>
      </c>
    </row>
    <row r="16" spans="1:31" x14ac:dyDescent="0.3">
      <c r="A16" t="s">
        <v>57</v>
      </c>
      <c r="B16">
        <v>20</v>
      </c>
      <c r="C16" s="11" t="s">
        <v>33</v>
      </c>
      <c r="D16">
        <v>0.30390110772194601</v>
      </c>
      <c r="E16">
        <v>0.401830149301654</v>
      </c>
      <c r="F16">
        <v>0.401830149301654</v>
      </c>
      <c r="G16">
        <v>0.42510836410338698</v>
      </c>
      <c r="H16">
        <v>0.76742873271239098</v>
      </c>
      <c r="I16">
        <v>0.76742873271239098</v>
      </c>
      <c r="J16">
        <v>0.81188258537962199</v>
      </c>
      <c r="K16">
        <v>0.82754727631950298</v>
      </c>
      <c r="L16">
        <v>0.80489999999999995</v>
      </c>
      <c r="M16">
        <v>0.93</v>
      </c>
      <c r="N16">
        <v>0.96079999999999999</v>
      </c>
      <c r="O16">
        <v>0.99609999999999999</v>
      </c>
      <c r="P16">
        <v>0.87780000000000002</v>
      </c>
      <c r="Q16">
        <v>0.87780000000000002</v>
      </c>
      <c r="R16" s="5">
        <v>0.9546</v>
      </c>
      <c r="S16">
        <v>0.99660000000000004</v>
      </c>
      <c r="T16">
        <v>0.80300000000000005</v>
      </c>
      <c r="U16">
        <v>0.93540000000000001</v>
      </c>
      <c r="V16">
        <v>0.9597</v>
      </c>
      <c r="W16">
        <v>0.99660000000000004</v>
      </c>
      <c r="X16">
        <v>0.83609999999999995</v>
      </c>
      <c r="Y16">
        <v>0.83609999999999995</v>
      </c>
      <c r="Z16">
        <v>0.86629999999999996</v>
      </c>
      <c r="AA16">
        <v>0.87639999999999996</v>
      </c>
      <c r="AB16">
        <v>0.31210805595754898</v>
      </c>
      <c r="AC16">
        <v>0.40665701881331401</v>
      </c>
      <c r="AD16">
        <v>0.40665701881331401</v>
      </c>
      <c r="AE16">
        <v>0.433671008200675</v>
      </c>
    </row>
    <row r="17" spans="1:31" x14ac:dyDescent="0.3">
      <c r="A17" t="s">
        <v>57</v>
      </c>
      <c r="B17">
        <v>30</v>
      </c>
      <c r="C17" s="11" t="s">
        <v>33</v>
      </c>
      <c r="D17">
        <v>0.71799999999999997</v>
      </c>
      <c r="E17">
        <v>0.7621</v>
      </c>
      <c r="F17">
        <v>0.7621</v>
      </c>
      <c r="G17">
        <v>0.77690000000000003</v>
      </c>
      <c r="H17">
        <v>0.66474140194276699</v>
      </c>
      <c r="I17">
        <v>0.91428196377001802</v>
      </c>
      <c r="J17">
        <v>0.93777894460488298</v>
      </c>
      <c r="K17">
        <v>0.94526122341822005</v>
      </c>
      <c r="L17">
        <v>0.79479999999999995</v>
      </c>
      <c r="M17">
        <v>0.90669999999999995</v>
      </c>
      <c r="N17">
        <v>0.93769999999999998</v>
      </c>
      <c r="O17">
        <v>0.99470000000000003</v>
      </c>
      <c r="P17">
        <v>0.79259999999999997</v>
      </c>
      <c r="Q17">
        <v>0.90310000000000001</v>
      </c>
      <c r="R17" s="5">
        <v>0.95809999999999995</v>
      </c>
      <c r="S17">
        <v>0.99350000000000005</v>
      </c>
      <c r="T17">
        <v>0.79820000000000002</v>
      </c>
      <c r="U17">
        <v>0.91479999999999995</v>
      </c>
      <c r="V17">
        <v>0.94289999999999996</v>
      </c>
      <c r="W17">
        <v>0.99509999999999998</v>
      </c>
      <c r="X17">
        <v>0.73799999999999999</v>
      </c>
      <c r="Y17">
        <v>0.92869999999999997</v>
      </c>
      <c r="Z17">
        <v>0.94850000000000001</v>
      </c>
      <c r="AA17">
        <v>0.95499999999999996</v>
      </c>
      <c r="AB17">
        <v>0.72060000000000002</v>
      </c>
      <c r="AC17">
        <v>0.76719999999999999</v>
      </c>
      <c r="AD17">
        <v>0.76719999999999999</v>
      </c>
      <c r="AE17">
        <v>0.78169999999999995</v>
      </c>
    </row>
    <row r="18" spans="1:31" x14ac:dyDescent="0.3">
      <c r="A18" t="s">
        <v>57</v>
      </c>
      <c r="B18">
        <v>50</v>
      </c>
      <c r="C18" s="11" t="s">
        <v>33</v>
      </c>
      <c r="D18">
        <v>0.8175</v>
      </c>
      <c r="E18">
        <v>0.88439999999999996</v>
      </c>
      <c r="F18">
        <v>0.91049999999999998</v>
      </c>
      <c r="G18">
        <v>0.91949999999999998</v>
      </c>
      <c r="H18">
        <v>0.79469956033219302</v>
      </c>
      <c r="I18">
        <v>0.93124084025402998</v>
      </c>
      <c r="J18">
        <v>0.93124084025402998</v>
      </c>
      <c r="K18">
        <v>0.99071812408402504</v>
      </c>
      <c r="L18">
        <v>0.80989999999999995</v>
      </c>
      <c r="M18">
        <v>0.9</v>
      </c>
      <c r="N18">
        <v>0.96719999999999995</v>
      </c>
      <c r="O18">
        <v>0.99070000000000003</v>
      </c>
      <c r="P18">
        <v>0.7984</v>
      </c>
      <c r="Q18">
        <v>0.93710000000000004</v>
      </c>
      <c r="R18" s="5">
        <v>0.96489999999999998</v>
      </c>
      <c r="S18">
        <v>0.99309999999999998</v>
      </c>
      <c r="T18">
        <v>0.80740000000000001</v>
      </c>
      <c r="U18">
        <v>0.89770000000000005</v>
      </c>
      <c r="V18">
        <v>0.96619999999999995</v>
      </c>
      <c r="W18">
        <v>0.98970000000000002</v>
      </c>
      <c r="X18">
        <v>0.8246</v>
      </c>
      <c r="Y18">
        <v>0.93879999999999997</v>
      </c>
      <c r="Z18">
        <v>0.93879999999999997</v>
      </c>
      <c r="AA18">
        <v>0.9909</v>
      </c>
      <c r="AB18">
        <v>0.82850000000000001</v>
      </c>
      <c r="AC18">
        <v>0.89259999999999995</v>
      </c>
      <c r="AD18">
        <v>0.91590000000000005</v>
      </c>
      <c r="AE18">
        <v>0.92400000000000004</v>
      </c>
    </row>
    <row r="19" spans="1:31" x14ac:dyDescent="0.3">
      <c r="A19" t="s">
        <v>31</v>
      </c>
      <c r="B19">
        <v>20</v>
      </c>
      <c r="C19" t="s">
        <v>33</v>
      </c>
      <c r="D19">
        <v>0.31203067582680899</v>
      </c>
      <c r="E19">
        <v>0.41204665281993902</v>
      </c>
      <c r="F19">
        <v>0.41204665281993902</v>
      </c>
      <c r="G19">
        <v>0.43840869148426298</v>
      </c>
      <c r="H19">
        <v>0.77107414716662004</v>
      </c>
      <c r="I19">
        <v>0.77107414716662004</v>
      </c>
      <c r="J19">
        <v>0.81646461798703096</v>
      </c>
      <c r="K19">
        <v>0.82929235974062598</v>
      </c>
      <c r="L19">
        <v>0.80010000000000003</v>
      </c>
      <c r="M19">
        <v>0.93179999999999996</v>
      </c>
      <c r="N19">
        <v>0.95979999999999999</v>
      </c>
      <c r="O19">
        <v>0.996</v>
      </c>
      <c r="P19">
        <v>0.88949999999999996</v>
      </c>
      <c r="Q19">
        <v>0.88949999999999996</v>
      </c>
      <c r="R19" s="5">
        <v>0.96199999999999997</v>
      </c>
      <c r="S19">
        <v>0.99829999999999997</v>
      </c>
      <c r="T19">
        <v>0.81710000000000005</v>
      </c>
      <c r="U19">
        <v>0.94230000000000003</v>
      </c>
      <c r="V19">
        <v>0.96609999999999996</v>
      </c>
      <c r="W19">
        <v>0.996</v>
      </c>
      <c r="X19">
        <v>0.83540000000000003</v>
      </c>
      <c r="Y19">
        <v>0.83540000000000003</v>
      </c>
      <c r="Z19">
        <v>0.86639999999999995</v>
      </c>
      <c r="AA19">
        <v>0.87680000000000002</v>
      </c>
      <c r="AB19">
        <v>0.30563514804202502</v>
      </c>
      <c r="AC19">
        <v>0.398758357211079</v>
      </c>
      <c r="AD19">
        <v>0.398758357211079</v>
      </c>
      <c r="AE19">
        <v>0.42263610315186301</v>
      </c>
    </row>
    <row r="20" spans="1:31" x14ac:dyDescent="0.3">
      <c r="A20" t="s">
        <v>31</v>
      </c>
      <c r="B20">
        <v>30</v>
      </c>
      <c r="C20" t="s">
        <v>33</v>
      </c>
      <c r="D20">
        <v>0.72809999999999997</v>
      </c>
      <c r="E20">
        <v>0.77539999999999998</v>
      </c>
      <c r="F20">
        <v>0.77539999999999998</v>
      </c>
      <c r="G20">
        <v>0.79039999999999999</v>
      </c>
      <c r="H20">
        <v>0.66309523809523796</v>
      </c>
      <c r="I20">
        <v>0.91058201058201105</v>
      </c>
      <c r="J20">
        <v>0.93082010582010599</v>
      </c>
      <c r="K20">
        <v>0.93955026455026502</v>
      </c>
      <c r="L20">
        <v>0.79730000000000001</v>
      </c>
      <c r="M20">
        <v>0.91459999999999997</v>
      </c>
      <c r="N20">
        <v>0.93840000000000001</v>
      </c>
      <c r="O20">
        <v>0.996</v>
      </c>
      <c r="P20">
        <v>0.79690000000000005</v>
      </c>
      <c r="Q20">
        <v>0.89980000000000004</v>
      </c>
      <c r="R20" s="5">
        <v>0.95520000000000005</v>
      </c>
      <c r="S20">
        <v>0.99539999999999995</v>
      </c>
      <c r="T20">
        <v>0.79649999999999999</v>
      </c>
      <c r="U20">
        <v>0.90880000000000005</v>
      </c>
      <c r="V20">
        <v>0.93799999999999994</v>
      </c>
      <c r="W20">
        <v>0.99609999999999999</v>
      </c>
      <c r="X20">
        <v>0.745</v>
      </c>
      <c r="Y20">
        <v>0.93169999999999997</v>
      </c>
      <c r="Z20">
        <v>0.95109999999999995</v>
      </c>
      <c r="AA20">
        <v>0.95699999999999996</v>
      </c>
      <c r="AB20">
        <v>0.72289999999999999</v>
      </c>
      <c r="AC20">
        <v>0.76870000000000005</v>
      </c>
      <c r="AD20">
        <v>0.76870000000000005</v>
      </c>
      <c r="AE20">
        <v>0.78469999999999995</v>
      </c>
    </row>
    <row r="21" spans="1:31" ht="15" thickBot="1" x14ac:dyDescent="0.35">
      <c r="A21" t="s">
        <v>31</v>
      </c>
      <c r="B21">
        <v>50</v>
      </c>
      <c r="C21" t="s">
        <v>33</v>
      </c>
      <c r="D21">
        <v>0.82079999999999997</v>
      </c>
      <c r="E21">
        <v>0.88629999999999998</v>
      </c>
      <c r="F21">
        <v>0.91449999999999998</v>
      </c>
      <c r="G21">
        <v>0.9224</v>
      </c>
      <c r="H21">
        <v>0.78507535841195897</v>
      </c>
      <c r="I21">
        <v>0.92991055017767399</v>
      </c>
      <c r="J21">
        <v>0.92991055017767399</v>
      </c>
      <c r="K21">
        <v>0.98897193971327002</v>
      </c>
      <c r="L21">
        <v>0.80940000000000001</v>
      </c>
      <c r="M21">
        <v>0.89849999999999997</v>
      </c>
      <c r="N21">
        <v>0.9698</v>
      </c>
      <c r="O21">
        <v>0.99139999999999995</v>
      </c>
      <c r="P21">
        <v>0.79690000000000005</v>
      </c>
      <c r="Q21">
        <v>0.93700000000000006</v>
      </c>
      <c r="R21" s="5">
        <v>0.96870000000000001</v>
      </c>
      <c r="S21">
        <v>0.99419999999999997</v>
      </c>
      <c r="T21">
        <v>0.80940000000000001</v>
      </c>
      <c r="U21">
        <v>0.8982</v>
      </c>
      <c r="V21">
        <v>0.96519999999999995</v>
      </c>
      <c r="W21">
        <v>0.99139999999999995</v>
      </c>
      <c r="X21">
        <v>0.82099999999999995</v>
      </c>
      <c r="Y21">
        <v>0.9375</v>
      </c>
      <c r="Z21">
        <v>0.9375</v>
      </c>
      <c r="AA21">
        <v>0.99150000000000005</v>
      </c>
      <c r="AB21">
        <v>0.81979999999999997</v>
      </c>
      <c r="AC21">
        <v>0.8881</v>
      </c>
      <c r="AD21">
        <v>0.91220000000000001</v>
      </c>
      <c r="AE21">
        <v>0.9214</v>
      </c>
    </row>
    <row r="22" spans="1:31" ht="15" thickTop="1" x14ac:dyDescent="0.3">
      <c r="A22" s="1" t="s">
        <v>56</v>
      </c>
      <c r="B22" s="1">
        <v>20</v>
      </c>
      <c r="C22" s="1" t="s">
        <v>41</v>
      </c>
      <c r="D22" s="1">
        <v>0.60381334671349696</v>
      </c>
      <c r="E22" s="1">
        <v>0.73186151530356203</v>
      </c>
      <c r="F22" s="1">
        <v>0.81866532865027597</v>
      </c>
      <c r="G22" s="1">
        <v>0.92995484194681399</v>
      </c>
      <c r="H22" s="1">
        <v>0.75569150536555996</v>
      </c>
      <c r="I22" s="1">
        <v>0.85427740447297196</v>
      </c>
      <c r="J22" s="1">
        <v>0.90983853174205198</v>
      </c>
      <c r="K22" s="1">
        <v>0.96580082238491605</v>
      </c>
      <c r="L22" s="1">
        <v>0.79735947189437895</v>
      </c>
      <c r="M22" s="1">
        <v>0.89577915583116596</v>
      </c>
      <c r="N22" s="1">
        <v>0.94678935787157403</v>
      </c>
      <c r="O22" s="1">
        <v>0.98469693938787795</v>
      </c>
      <c r="P22" s="1">
        <v>0.79830000000000001</v>
      </c>
      <c r="Q22" s="1">
        <v>0.89400000000000002</v>
      </c>
      <c r="R22" s="6">
        <v>0.94620000000000004</v>
      </c>
      <c r="S22" s="1">
        <v>0.9889</v>
      </c>
      <c r="T22" s="1">
        <v>0.79445334401281498</v>
      </c>
      <c r="U22" s="1">
        <v>0.89867841409691596</v>
      </c>
      <c r="V22" s="1">
        <v>0.94723668402082495</v>
      </c>
      <c r="W22" s="1">
        <v>0.98698438125750898</v>
      </c>
      <c r="X22" s="1">
        <v>0.80919249420198203</v>
      </c>
      <c r="Y22" s="1">
        <v>0.88003373392367701</v>
      </c>
      <c r="Z22" s="1">
        <v>0.91693021294539301</v>
      </c>
      <c r="AA22" s="1">
        <v>0.95308876238667495</v>
      </c>
      <c r="AB22" s="1">
        <v>0.756804884253371</v>
      </c>
      <c r="AC22" s="1">
        <v>0.83757313660646104</v>
      </c>
      <c r="AD22" s="1">
        <v>0.87140676672602402</v>
      </c>
      <c r="AE22" s="1">
        <v>0.91490714830831898</v>
      </c>
    </row>
    <row r="23" spans="1:31" x14ac:dyDescent="0.3">
      <c r="A23" t="s">
        <v>56</v>
      </c>
      <c r="B23">
        <v>30</v>
      </c>
      <c r="C23" t="s">
        <v>41</v>
      </c>
      <c r="D23">
        <v>0.59791958391678302</v>
      </c>
      <c r="E23">
        <v>0.73044608921784304</v>
      </c>
      <c r="F23">
        <v>0.81896379275855202</v>
      </c>
      <c r="G23">
        <v>0.93158631726345298</v>
      </c>
      <c r="H23">
        <v>0.75635127025405102</v>
      </c>
      <c r="I23">
        <v>0.86147229445889195</v>
      </c>
      <c r="J23">
        <v>0.91848369673934804</v>
      </c>
      <c r="K23">
        <v>0.97149429885977201</v>
      </c>
      <c r="L23">
        <v>0.8044</v>
      </c>
      <c r="M23">
        <v>0.90259999999999996</v>
      </c>
      <c r="N23">
        <v>0.95120000000000005</v>
      </c>
      <c r="O23">
        <v>0.99050000000000005</v>
      </c>
      <c r="P23">
        <v>0.7944</v>
      </c>
      <c r="Q23">
        <v>0.89359999999999995</v>
      </c>
      <c r="R23" s="5">
        <v>0.94579999999999997</v>
      </c>
      <c r="S23">
        <v>0.99119999999999997</v>
      </c>
      <c r="T23">
        <v>0.79685937187437506</v>
      </c>
      <c r="U23">
        <v>0.90008001600320098</v>
      </c>
      <c r="V23">
        <v>0.94838967793558704</v>
      </c>
      <c r="W23">
        <v>0.98979795959191796</v>
      </c>
      <c r="X23">
        <v>0.82690355329949194</v>
      </c>
      <c r="Y23">
        <v>0.91208121827411204</v>
      </c>
      <c r="Z23">
        <v>0.93928934010152298</v>
      </c>
      <c r="AA23">
        <v>0.97015228426395905</v>
      </c>
      <c r="AB23">
        <v>0.79284998329435397</v>
      </c>
      <c r="AC23">
        <v>0.85488361732932405</v>
      </c>
      <c r="AD23">
        <v>0.89319523332219597</v>
      </c>
      <c r="AE23">
        <v>0.92927942978059896</v>
      </c>
    </row>
    <row r="24" spans="1:31" x14ac:dyDescent="0.3">
      <c r="A24" t="s">
        <v>56</v>
      </c>
      <c r="B24">
        <v>50</v>
      </c>
      <c r="C24" t="s">
        <v>41</v>
      </c>
      <c r="D24">
        <v>0.57079999999999997</v>
      </c>
      <c r="E24">
        <v>0.70809999999999995</v>
      </c>
      <c r="F24">
        <v>0.80430000000000001</v>
      </c>
      <c r="G24">
        <v>0.92559999999999998</v>
      </c>
      <c r="H24">
        <v>0.76339999999999997</v>
      </c>
      <c r="I24">
        <v>0.87429999999999997</v>
      </c>
      <c r="J24">
        <v>0.92989999999999995</v>
      </c>
      <c r="K24">
        <v>0.98129999999999995</v>
      </c>
      <c r="L24">
        <v>0.79779999999999995</v>
      </c>
      <c r="M24">
        <v>0.90169999999999995</v>
      </c>
      <c r="N24">
        <v>0.95009999999999994</v>
      </c>
      <c r="O24">
        <v>0.98960000000000004</v>
      </c>
      <c r="P24">
        <v>0.80600000000000005</v>
      </c>
      <c r="Q24">
        <v>0.90269999999999995</v>
      </c>
      <c r="R24" s="5">
        <v>0.95220000000000005</v>
      </c>
      <c r="S24">
        <v>0.9909</v>
      </c>
      <c r="T24">
        <v>0.79500000000000004</v>
      </c>
      <c r="U24">
        <v>0.89359999999999995</v>
      </c>
      <c r="V24">
        <v>0.94689999999999996</v>
      </c>
      <c r="W24">
        <v>0.98680000000000001</v>
      </c>
      <c r="X24">
        <v>0.797558290803563</v>
      </c>
      <c r="Y24">
        <v>0.90183128189732797</v>
      </c>
      <c r="Z24">
        <v>0.950265185629941</v>
      </c>
      <c r="AA24">
        <v>0.98939257480236198</v>
      </c>
      <c r="AB24">
        <v>0.82709081580297605</v>
      </c>
      <c r="AC24">
        <v>0.89276552077988702</v>
      </c>
      <c r="AD24">
        <v>0.92703950743971297</v>
      </c>
      <c r="AE24">
        <v>0.95638789122626999</v>
      </c>
    </row>
    <row r="25" spans="1:31" x14ac:dyDescent="0.3">
      <c r="A25" t="s">
        <v>57</v>
      </c>
      <c r="B25">
        <v>20</v>
      </c>
      <c r="C25" t="s">
        <v>41</v>
      </c>
      <c r="D25">
        <v>4.6004600460045602E-3</v>
      </c>
      <c r="E25">
        <v>9.8009800980097799E-3</v>
      </c>
      <c r="F25">
        <v>1.8501850185018501E-2</v>
      </c>
      <c r="G25">
        <v>5.8805880588058801E-2</v>
      </c>
      <c r="H25">
        <v>0.1047</v>
      </c>
      <c r="I25">
        <v>0.1842</v>
      </c>
      <c r="J25">
        <v>0.26750000000000002</v>
      </c>
      <c r="K25">
        <v>0.48070000000000002</v>
      </c>
      <c r="L25">
        <v>0.754</v>
      </c>
      <c r="M25">
        <v>0.85899999999999999</v>
      </c>
      <c r="N25">
        <v>0.92059999999999997</v>
      </c>
      <c r="O25">
        <v>0.97860000000000003</v>
      </c>
      <c r="P25">
        <v>0.70950000000000002</v>
      </c>
      <c r="Q25">
        <v>0.8246</v>
      </c>
      <c r="R25" s="5">
        <v>0.89510000000000001</v>
      </c>
      <c r="S25">
        <v>0.96689999999999998</v>
      </c>
      <c r="T25">
        <v>0.73277327732773301</v>
      </c>
      <c r="U25">
        <v>0.84738473847384699</v>
      </c>
      <c r="V25">
        <v>0.91439143914391396</v>
      </c>
      <c r="W25">
        <v>0.97579757975797599</v>
      </c>
      <c r="X25">
        <v>0.74364685633289496</v>
      </c>
      <c r="Y25">
        <v>0.83527386858357799</v>
      </c>
      <c r="Z25">
        <v>0.88609901792042101</v>
      </c>
      <c r="AA25">
        <v>0.94380884884074101</v>
      </c>
      <c r="AB25">
        <v>0.68803188624367095</v>
      </c>
      <c r="AC25">
        <v>0.77733491328234405</v>
      </c>
      <c r="AD25">
        <v>0.83022729720995403</v>
      </c>
      <c r="AE25">
        <v>0.88764408057739996</v>
      </c>
    </row>
    <row r="26" spans="1:31" x14ac:dyDescent="0.3">
      <c r="A26" t="s">
        <v>57</v>
      </c>
      <c r="B26">
        <v>30</v>
      </c>
      <c r="C26" t="s">
        <v>41</v>
      </c>
      <c r="D26">
        <v>3.99999999999956E-4</v>
      </c>
      <c r="E26">
        <v>2.70000000000004E-3</v>
      </c>
      <c r="F26">
        <v>5.2999999999999697E-3</v>
      </c>
      <c r="G26">
        <v>1.9400000000000001E-2</v>
      </c>
      <c r="H26">
        <v>5.7200000000000001E-2</v>
      </c>
      <c r="I26">
        <v>0.10680000000000001</v>
      </c>
      <c r="J26">
        <v>0.18129999999999999</v>
      </c>
      <c r="K26">
        <v>0.36759999999999998</v>
      </c>
      <c r="L26">
        <v>0.76349999999999996</v>
      </c>
      <c r="M26">
        <v>0.87260000000000004</v>
      </c>
      <c r="N26">
        <v>0.92720000000000002</v>
      </c>
      <c r="O26">
        <v>0.98150000000000004</v>
      </c>
      <c r="P26">
        <v>0.6835</v>
      </c>
      <c r="Q26">
        <v>0.81</v>
      </c>
      <c r="R26" s="5">
        <v>0.88839999999999997</v>
      </c>
      <c r="S26">
        <v>0.96660000000000001</v>
      </c>
      <c r="T26">
        <v>0.74260000000000004</v>
      </c>
      <c r="U26">
        <v>0.85429999999999995</v>
      </c>
      <c r="V26">
        <v>0.91649999999999998</v>
      </c>
      <c r="W26">
        <v>0.97860000000000003</v>
      </c>
      <c r="X26">
        <v>0.77346019028542801</v>
      </c>
      <c r="Y26">
        <v>0.86659989984977503</v>
      </c>
      <c r="Z26">
        <v>0.91667501251877803</v>
      </c>
      <c r="AA26">
        <v>0.96464697045568304</v>
      </c>
      <c r="AB26">
        <v>0.72041025641025602</v>
      </c>
      <c r="AC26">
        <v>0.80400000000000005</v>
      </c>
      <c r="AD26">
        <v>0.85343589743589698</v>
      </c>
      <c r="AE26">
        <v>0.90861538461538505</v>
      </c>
    </row>
    <row r="27" spans="1:31" x14ac:dyDescent="0.3">
      <c r="A27" t="s">
        <v>57</v>
      </c>
      <c r="B27">
        <v>50</v>
      </c>
      <c r="C27" t="s">
        <v>41</v>
      </c>
      <c r="D27" s="3">
        <v>9.9999999999989E-5</v>
      </c>
      <c r="E27" s="3">
        <v>9.9999999999989E-5</v>
      </c>
      <c r="F27">
        <v>3.99999999999956E-4</v>
      </c>
      <c r="G27">
        <v>2.3999999999999599E-3</v>
      </c>
      <c r="H27">
        <v>2.46E-2</v>
      </c>
      <c r="I27">
        <v>5.0200000000000002E-2</v>
      </c>
      <c r="J27">
        <v>9.1199999999999906E-2</v>
      </c>
      <c r="K27">
        <v>0.22489999999999999</v>
      </c>
      <c r="L27">
        <v>0.7722</v>
      </c>
      <c r="M27">
        <v>0.88429999999999997</v>
      </c>
      <c r="N27">
        <v>0.93940000000000001</v>
      </c>
      <c r="O27">
        <v>0.98499999999999999</v>
      </c>
      <c r="P27">
        <v>0.66390000000000005</v>
      </c>
      <c r="Q27">
        <v>0.79039999999999999</v>
      </c>
      <c r="R27" s="5">
        <v>0.86960000000000004</v>
      </c>
      <c r="S27">
        <v>0.96</v>
      </c>
      <c r="T27">
        <v>0.72960000000000003</v>
      </c>
      <c r="U27">
        <v>0.84319999999999995</v>
      </c>
      <c r="V27">
        <v>0.91279999999999994</v>
      </c>
      <c r="W27">
        <v>0.97489999999999999</v>
      </c>
      <c r="X27">
        <v>0.77510000000000001</v>
      </c>
      <c r="Y27">
        <v>0.87890000000000001</v>
      </c>
      <c r="Z27">
        <v>0.93600000000000005</v>
      </c>
      <c r="AA27">
        <v>0.98019999999999996</v>
      </c>
      <c r="AB27">
        <v>0.78412284223203499</v>
      </c>
      <c r="AC27">
        <v>0.86411079887595299</v>
      </c>
      <c r="AD27">
        <v>0.91138097149739095</v>
      </c>
      <c r="AE27">
        <v>0.95333199518265799</v>
      </c>
    </row>
    <row r="28" spans="1:31" x14ac:dyDescent="0.3">
      <c r="A28" t="s">
        <v>31</v>
      </c>
      <c r="B28">
        <v>20</v>
      </c>
      <c r="C28" t="s">
        <v>41</v>
      </c>
      <c r="D28">
        <v>0.632911392405063</v>
      </c>
      <c r="E28">
        <v>0.75396825396825395</v>
      </c>
      <c r="F28">
        <v>0.83202732569821203</v>
      </c>
      <c r="G28">
        <v>0.92987743620654995</v>
      </c>
      <c r="H28">
        <v>0.68792551061273499</v>
      </c>
      <c r="I28">
        <v>0.80816980376451697</v>
      </c>
      <c r="J28">
        <v>0.882759311173408</v>
      </c>
      <c r="K28">
        <v>0.95564677613135796</v>
      </c>
      <c r="L28">
        <v>0.76047604760476095</v>
      </c>
      <c r="M28">
        <v>0.86928692869286905</v>
      </c>
      <c r="N28">
        <v>0.92649264926492603</v>
      </c>
      <c r="O28">
        <v>0.97809780978097804</v>
      </c>
      <c r="P28">
        <v>0.80259999999999998</v>
      </c>
      <c r="Q28">
        <v>0.90259999999999996</v>
      </c>
      <c r="R28" s="5">
        <v>0.95150000000000001</v>
      </c>
      <c r="S28">
        <v>0.98919999999999997</v>
      </c>
      <c r="T28">
        <v>0.775077507750775</v>
      </c>
      <c r="U28">
        <v>0.88118811881188097</v>
      </c>
      <c r="V28">
        <v>0.93579357935793595</v>
      </c>
      <c r="W28">
        <v>0.98089808980898097</v>
      </c>
      <c r="X28">
        <v>0.692992992992993</v>
      </c>
      <c r="Y28">
        <v>0.81001001001001005</v>
      </c>
      <c r="Z28">
        <v>0.87717717717717703</v>
      </c>
      <c r="AA28">
        <v>0.95465465465465504</v>
      </c>
      <c r="AB28">
        <v>0.64257714343150096</v>
      </c>
      <c r="AC28">
        <v>0.76630817167554499</v>
      </c>
      <c r="AD28">
        <v>0.84139109458237005</v>
      </c>
      <c r="AE28">
        <v>0.92672630415117097</v>
      </c>
    </row>
    <row r="29" spans="1:31" x14ac:dyDescent="0.3">
      <c r="A29" t="s">
        <v>31</v>
      </c>
      <c r="B29">
        <v>30</v>
      </c>
      <c r="C29" t="s">
        <v>41</v>
      </c>
      <c r="D29">
        <v>0.65579021119007097</v>
      </c>
      <c r="E29">
        <v>0.77369632669402499</v>
      </c>
      <c r="F29">
        <v>0.85086577920128104</v>
      </c>
      <c r="G29">
        <v>0.94054649184265804</v>
      </c>
      <c r="H29">
        <v>0.70699999999999996</v>
      </c>
      <c r="I29">
        <v>0.82140000000000002</v>
      </c>
      <c r="J29">
        <v>0.8921</v>
      </c>
      <c r="K29">
        <v>0.96319999999999995</v>
      </c>
      <c r="L29">
        <v>0.77359999999999995</v>
      </c>
      <c r="M29">
        <v>0.87649999999999995</v>
      </c>
      <c r="N29">
        <v>0.93369999999999997</v>
      </c>
      <c r="O29">
        <v>0.98270000000000002</v>
      </c>
      <c r="P29">
        <v>0.79849999999999999</v>
      </c>
      <c r="Q29">
        <v>0.89759999999999995</v>
      </c>
      <c r="R29" s="5">
        <v>0.94940000000000002</v>
      </c>
      <c r="S29">
        <v>0.98960000000000004</v>
      </c>
      <c r="T29">
        <v>0.76070000000000004</v>
      </c>
      <c r="U29">
        <v>0.86980000000000002</v>
      </c>
      <c r="V29">
        <v>0.92989999999999995</v>
      </c>
      <c r="W29">
        <v>0.98250000000000004</v>
      </c>
      <c r="X29">
        <v>0.70214042808561705</v>
      </c>
      <c r="Y29">
        <v>0.81916383276655302</v>
      </c>
      <c r="Z29">
        <v>0.88697739547909604</v>
      </c>
      <c r="AA29">
        <v>0.96189237847569498</v>
      </c>
      <c r="AB29">
        <v>0.65364974466806802</v>
      </c>
      <c r="AC29">
        <v>0.77210373485531203</v>
      </c>
      <c r="AD29">
        <v>0.84950435566236104</v>
      </c>
      <c r="AE29">
        <v>0.94242515269850802</v>
      </c>
    </row>
    <row r="30" spans="1:31" ht="15" thickBot="1" x14ac:dyDescent="0.35">
      <c r="A30" t="s">
        <v>31</v>
      </c>
      <c r="B30">
        <v>50</v>
      </c>
      <c r="C30" t="s">
        <v>41</v>
      </c>
      <c r="D30">
        <v>0.67423484696939395</v>
      </c>
      <c r="E30">
        <v>0.79095819163832803</v>
      </c>
      <c r="F30">
        <v>0.86587317463492697</v>
      </c>
      <c r="G30">
        <v>0.95639127825565096</v>
      </c>
      <c r="H30">
        <v>0.70720000000000005</v>
      </c>
      <c r="I30">
        <v>0.82589999999999997</v>
      </c>
      <c r="J30">
        <v>0.89359999999999995</v>
      </c>
      <c r="K30">
        <v>0.96679999999999999</v>
      </c>
      <c r="L30">
        <v>0.76480000000000004</v>
      </c>
      <c r="M30">
        <v>0.86850000000000005</v>
      </c>
      <c r="N30">
        <v>0.92649999999999999</v>
      </c>
      <c r="O30">
        <v>0.98080000000000001</v>
      </c>
      <c r="P30">
        <v>0.79710000000000003</v>
      </c>
      <c r="Q30">
        <v>0.90180000000000005</v>
      </c>
      <c r="R30" s="5">
        <v>0.95050000000000001</v>
      </c>
      <c r="S30">
        <v>0.99039999999999995</v>
      </c>
      <c r="T30">
        <v>0.76339999999999997</v>
      </c>
      <c r="U30">
        <v>0.86819999999999997</v>
      </c>
      <c r="V30">
        <v>0.93120000000000003</v>
      </c>
      <c r="W30">
        <v>0.98509999999999998</v>
      </c>
      <c r="X30">
        <v>0.69989999999999997</v>
      </c>
      <c r="Y30">
        <v>0.81979999999999997</v>
      </c>
      <c r="Z30">
        <v>0.89129999999999998</v>
      </c>
      <c r="AA30">
        <v>0.9677</v>
      </c>
      <c r="AB30">
        <v>0.67330000000000001</v>
      </c>
      <c r="AC30">
        <v>0.78949999999999998</v>
      </c>
      <c r="AD30">
        <v>0.86860000000000004</v>
      </c>
      <c r="AE30">
        <v>0.95350000000000001</v>
      </c>
    </row>
    <row r="31" spans="1:31" ht="15" thickTop="1" x14ac:dyDescent="0.3">
      <c r="A31" s="1" t="s">
        <v>56</v>
      </c>
      <c r="B31" s="1">
        <v>20</v>
      </c>
      <c r="C31" s="1" t="s">
        <v>65</v>
      </c>
      <c r="D31" s="1">
        <v>0.75104727707959296</v>
      </c>
      <c r="E31" s="1">
        <v>0.83183722321962905</v>
      </c>
      <c r="F31" s="1">
        <v>0.86918013165769004</v>
      </c>
      <c r="G31" s="1">
        <v>0.91214841412327996</v>
      </c>
      <c r="H31" s="1">
        <v>0.824874452398761</v>
      </c>
      <c r="I31" s="1">
        <v>0.88738113046265599</v>
      </c>
      <c r="J31" s="1">
        <v>0.92264130783203302</v>
      </c>
      <c r="K31" s="1">
        <v>0.95715354204508996</v>
      </c>
      <c r="L31" s="1">
        <v>0.80128205128205099</v>
      </c>
      <c r="M31" s="1">
        <v>0.90204326923076905</v>
      </c>
      <c r="N31" s="1">
        <v>0.95182291666666696</v>
      </c>
      <c r="O31" s="1">
        <v>0.99078525641025605</v>
      </c>
      <c r="P31" s="1">
        <v>0.78488488488488495</v>
      </c>
      <c r="Q31" s="1">
        <v>0.89049049049049001</v>
      </c>
      <c r="R31" s="6">
        <v>0.95025025025025001</v>
      </c>
      <c r="S31" s="1">
        <v>0.98838838838838805</v>
      </c>
      <c r="T31" s="1">
        <v>0.80085089141004895</v>
      </c>
      <c r="U31" s="1">
        <v>0.88745948136142605</v>
      </c>
      <c r="V31" s="1">
        <v>0.95573338735818503</v>
      </c>
      <c r="W31" s="1">
        <v>0.99371961102106998</v>
      </c>
      <c r="X31" s="1">
        <v>0.84522854851643903</v>
      </c>
      <c r="Y31" s="1">
        <v>0.92965975484018804</v>
      </c>
      <c r="Z31" s="1">
        <v>0.96448619544048597</v>
      </c>
      <c r="AA31" s="1">
        <v>0.98075380914194099</v>
      </c>
      <c r="AB31" s="1">
        <v>0.79150420685409395</v>
      </c>
      <c r="AC31" s="1">
        <v>0.91524728093576901</v>
      </c>
      <c r="AD31" s="1">
        <v>0.92899651138928796</v>
      </c>
      <c r="AE31" s="1">
        <v>0.96757644161707401</v>
      </c>
    </row>
    <row r="32" spans="1:31" x14ac:dyDescent="0.3">
      <c r="A32" t="s">
        <v>56</v>
      </c>
      <c r="B32">
        <v>30</v>
      </c>
      <c r="C32" t="s">
        <v>65</v>
      </c>
      <c r="D32">
        <v>0.78987425545996004</v>
      </c>
      <c r="E32">
        <v>0.85980586807853498</v>
      </c>
      <c r="F32">
        <v>0.89499227884403298</v>
      </c>
      <c r="G32">
        <v>0.93282594308404998</v>
      </c>
      <c r="H32">
        <v>0.80795582370385499</v>
      </c>
      <c r="I32">
        <v>0.91471520605378898</v>
      </c>
      <c r="J32">
        <v>0.94590448921157599</v>
      </c>
      <c r="K32">
        <v>0.97382145413641497</v>
      </c>
      <c r="L32">
        <v>0.80256051210242096</v>
      </c>
      <c r="M32">
        <v>0.905681136227245</v>
      </c>
      <c r="N32">
        <v>0.94928985797159404</v>
      </c>
      <c r="O32">
        <v>0.99219843968793797</v>
      </c>
      <c r="P32">
        <v>0.79617770662397402</v>
      </c>
      <c r="Q32">
        <v>0.89503702221332804</v>
      </c>
      <c r="R32" s="5">
        <v>0.94966980188112904</v>
      </c>
      <c r="S32">
        <v>0.99009405643385995</v>
      </c>
      <c r="T32">
        <v>0.79521808723489396</v>
      </c>
      <c r="U32">
        <v>0.90576230492196896</v>
      </c>
      <c r="V32">
        <v>0.943377350940376</v>
      </c>
      <c r="W32">
        <v>0.98969587835134099</v>
      </c>
      <c r="X32">
        <v>0.79426394327442096</v>
      </c>
      <c r="Y32">
        <v>0.95766747804000396</v>
      </c>
      <c r="Z32">
        <v>0.96613398243200299</v>
      </c>
      <c r="AA32">
        <v>0.98962853211980095</v>
      </c>
      <c r="AB32">
        <v>0.89816194734227495</v>
      </c>
      <c r="AC32">
        <v>0.91393442622950805</v>
      </c>
      <c r="AD32">
        <v>0.96336313959264797</v>
      </c>
      <c r="AE32">
        <v>0.98298559364133098</v>
      </c>
    </row>
    <row r="33" spans="1:31" x14ac:dyDescent="0.3">
      <c r="A33" t="s">
        <v>56</v>
      </c>
      <c r="B33">
        <v>50</v>
      </c>
      <c r="C33" t="s">
        <v>65</v>
      </c>
      <c r="D33">
        <v>0.82773195876288697</v>
      </c>
      <c r="E33">
        <v>0.89773195876288703</v>
      </c>
      <c r="F33">
        <v>0.93154639175257703</v>
      </c>
      <c r="G33">
        <v>0.960412371134021</v>
      </c>
      <c r="H33">
        <v>0.80232558139534904</v>
      </c>
      <c r="I33">
        <v>0.91038492381716096</v>
      </c>
      <c r="J33">
        <v>0.95058139534883701</v>
      </c>
      <c r="K33">
        <v>0.99188051323175597</v>
      </c>
      <c r="L33">
        <v>0.80079999999999996</v>
      </c>
      <c r="M33">
        <v>0.90200000000000002</v>
      </c>
      <c r="N33">
        <v>0.95420000000000005</v>
      </c>
      <c r="O33">
        <v>0.98980000000000001</v>
      </c>
      <c r="P33">
        <v>0.80880440220110095</v>
      </c>
      <c r="Q33">
        <v>0.90395197598799404</v>
      </c>
      <c r="R33" s="5">
        <v>0.95207603801900997</v>
      </c>
      <c r="S33">
        <v>0.99119559779889899</v>
      </c>
      <c r="T33">
        <v>0.79979999999999996</v>
      </c>
      <c r="U33">
        <v>0.89680000000000004</v>
      </c>
      <c r="V33">
        <v>0.94799999999999995</v>
      </c>
      <c r="W33">
        <v>0.98560000000000003</v>
      </c>
      <c r="X33">
        <v>0.77926319012144096</v>
      </c>
      <c r="Y33">
        <v>0.90968466170017304</v>
      </c>
      <c r="Z33">
        <v>0.94530054087151705</v>
      </c>
      <c r="AA33">
        <v>0.99561179712215497</v>
      </c>
      <c r="AB33">
        <v>0.877873254564984</v>
      </c>
      <c r="AC33">
        <v>0.94897959183673497</v>
      </c>
      <c r="AD33">
        <v>0.97626208378088097</v>
      </c>
      <c r="AE33">
        <v>0.98925886143931296</v>
      </c>
    </row>
    <row r="34" spans="1:31" x14ac:dyDescent="0.3">
      <c r="A34" t="s">
        <v>57</v>
      </c>
      <c r="B34">
        <v>20</v>
      </c>
      <c r="C34" s="11" t="s">
        <v>65</v>
      </c>
      <c r="D34">
        <v>0.70058609539207795</v>
      </c>
      <c r="E34">
        <v>0.81305578011317703</v>
      </c>
      <c r="F34">
        <v>0.87823362974939401</v>
      </c>
      <c r="G34">
        <v>0.949070331447049</v>
      </c>
      <c r="H34">
        <v>0.78828510938602703</v>
      </c>
      <c r="I34">
        <v>0.87458413146486502</v>
      </c>
      <c r="J34">
        <v>0.91954834156668996</v>
      </c>
      <c r="K34">
        <v>0.96138723661659398</v>
      </c>
      <c r="L34">
        <v>0.79379689844922496</v>
      </c>
      <c r="M34">
        <v>0.89094547273636804</v>
      </c>
      <c r="N34">
        <v>0.94397198599299603</v>
      </c>
      <c r="O34">
        <v>0.98619309654827403</v>
      </c>
      <c r="P34">
        <v>0.78820000000000001</v>
      </c>
      <c r="Q34">
        <v>0.88849999999999996</v>
      </c>
      <c r="R34" s="5">
        <v>0.94299999999999995</v>
      </c>
      <c r="S34">
        <v>0.98650000000000004</v>
      </c>
      <c r="T34">
        <v>0.79679519278918398</v>
      </c>
      <c r="U34">
        <v>0.90015022533800704</v>
      </c>
      <c r="V34">
        <v>0.94942413620430599</v>
      </c>
      <c r="W34">
        <v>0.991487230846269</v>
      </c>
      <c r="X34">
        <v>0.84103532548322602</v>
      </c>
      <c r="Y34">
        <v>0.91301932903799199</v>
      </c>
      <c r="Z34">
        <v>0.94701177516107504</v>
      </c>
      <c r="AA34">
        <v>0.97100644301266403</v>
      </c>
      <c r="AB34">
        <v>0.80830721003134798</v>
      </c>
      <c r="AC34">
        <v>0.89858934169279003</v>
      </c>
      <c r="AD34">
        <v>0.91927899686520398</v>
      </c>
      <c r="AE34">
        <v>0.95250783699059605</v>
      </c>
    </row>
    <row r="35" spans="1:31" x14ac:dyDescent="0.3">
      <c r="A35" t="s">
        <v>57</v>
      </c>
      <c r="B35">
        <v>30</v>
      </c>
      <c r="C35" s="11" t="s">
        <v>65</v>
      </c>
      <c r="D35">
        <v>0.75527426160337596</v>
      </c>
      <c r="E35">
        <v>0.85131605384769904</v>
      </c>
      <c r="F35">
        <v>0.90446051838456898</v>
      </c>
      <c r="G35">
        <v>0.95499296765119501</v>
      </c>
      <c r="H35">
        <v>0.79705499348893105</v>
      </c>
      <c r="I35">
        <v>0.891515576480016</v>
      </c>
      <c r="J35">
        <v>0.93769407993589104</v>
      </c>
      <c r="K35">
        <v>0.97315436241610698</v>
      </c>
      <c r="L35">
        <v>0.79830000000000001</v>
      </c>
      <c r="M35">
        <v>0.8931</v>
      </c>
      <c r="N35">
        <v>0.94569999999999999</v>
      </c>
      <c r="O35">
        <v>0.98850000000000005</v>
      </c>
      <c r="P35">
        <v>0.79890000000000005</v>
      </c>
      <c r="Q35">
        <v>0.89770000000000005</v>
      </c>
      <c r="R35" s="5">
        <v>0.95199999999999996</v>
      </c>
      <c r="S35">
        <v>0.99009999999999998</v>
      </c>
      <c r="T35">
        <v>0.80079999999999996</v>
      </c>
      <c r="U35">
        <v>0.90539999999999998</v>
      </c>
      <c r="V35">
        <v>0.94950000000000001</v>
      </c>
      <c r="W35">
        <v>0.98960000000000004</v>
      </c>
      <c r="X35">
        <v>0.80118049083566301</v>
      </c>
      <c r="Y35">
        <v>0.93548721134928003</v>
      </c>
      <c r="Z35">
        <v>0.95381588485036795</v>
      </c>
      <c r="AA35">
        <v>0.98187843015429199</v>
      </c>
      <c r="AB35">
        <v>0.86415552855407096</v>
      </c>
      <c r="AC35">
        <v>0.89356014580801901</v>
      </c>
      <c r="AD35">
        <v>0.94131227217497004</v>
      </c>
      <c r="AE35">
        <v>0.96719319562575901</v>
      </c>
    </row>
    <row r="36" spans="1:31" x14ac:dyDescent="0.3">
      <c r="A36" t="s">
        <v>57</v>
      </c>
      <c r="B36">
        <v>50</v>
      </c>
      <c r="C36" s="11" t="s">
        <v>65</v>
      </c>
      <c r="D36">
        <v>0.78936298076923095</v>
      </c>
      <c r="E36">
        <v>0.88040865384615397</v>
      </c>
      <c r="F36">
        <v>0.92628205128205099</v>
      </c>
      <c r="G36">
        <v>0.97035256410256399</v>
      </c>
      <c r="H36">
        <v>0.80120000000000002</v>
      </c>
      <c r="I36">
        <v>0.90080000000000005</v>
      </c>
      <c r="J36">
        <v>0.95189999999999997</v>
      </c>
      <c r="K36">
        <v>0.98629999999999995</v>
      </c>
      <c r="L36">
        <v>0.80130000000000001</v>
      </c>
      <c r="M36">
        <v>0.90159999999999996</v>
      </c>
      <c r="N36">
        <v>0.95</v>
      </c>
      <c r="O36">
        <v>0.99029999999999996</v>
      </c>
      <c r="P36">
        <v>0.79859999999999998</v>
      </c>
      <c r="Q36">
        <v>0.89980000000000004</v>
      </c>
      <c r="R36" s="5">
        <v>0.95040000000000002</v>
      </c>
      <c r="S36">
        <v>0.9899</v>
      </c>
      <c r="T36">
        <v>0.79849999999999999</v>
      </c>
      <c r="U36">
        <v>0.89829999999999999</v>
      </c>
      <c r="V36">
        <v>0.94989999999999997</v>
      </c>
      <c r="W36">
        <v>0.98970000000000002</v>
      </c>
      <c r="X36">
        <v>0.785707075804986</v>
      </c>
      <c r="Y36">
        <v>0.91188048854345405</v>
      </c>
      <c r="Z36">
        <v>0.94589684061774504</v>
      </c>
      <c r="AA36">
        <v>0.99364085999798102</v>
      </c>
      <c r="AB36">
        <v>0.87322149076236999</v>
      </c>
      <c r="AC36">
        <v>0.939583775748567</v>
      </c>
      <c r="AD36">
        <v>0.96697812699086905</v>
      </c>
      <c r="AE36">
        <v>0.98258653641962201</v>
      </c>
    </row>
    <row r="37" spans="1:31" x14ac:dyDescent="0.3">
      <c r="A37" t="s">
        <v>31</v>
      </c>
      <c r="B37">
        <v>20</v>
      </c>
      <c r="C37" t="s">
        <v>65</v>
      </c>
      <c r="D37">
        <v>0.77217185652345299</v>
      </c>
      <c r="E37">
        <v>0.85888845092629096</v>
      </c>
      <c r="F37">
        <v>0.89094731309946096</v>
      </c>
      <c r="G37">
        <v>0.93102089081592398</v>
      </c>
      <c r="H37">
        <v>0.82226499839589395</v>
      </c>
      <c r="I37">
        <v>0.891776280611699</v>
      </c>
      <c r="J37">
        <v>0.92877767083734397</v>
      </c>
      <c r="K37">
        <v>0.95444337504010301</v>
      </c>
      <c r="L37">
        <v>0.79134961954345195</v>
      </c>
      <c r="M37">
        <v>0.89817781337605096</v>
      </c>
      <c r="N37">
        <v>0.94763716459751701</v>
      </c>
      <c r="O37">
        <v>0.98938726471766103</v>
      </c>
      <c r="P37">
        <v>0.80189999999999995</v>
      </c>
      <c r="Q37">
        <v>0.90249999999999997</v>
      </c>
      <c r="R37" s="5">
        <v>0.95350000000000001</v>
      </c>
      <c r="S37">
        <v>0.98950000000000005</v>
      </c>
      <c r="T37">
        <v>0.81095972750951695</v>
      </c>
      <c r="U37">
        <v>0.90973752754958903</v>
      </c>
      <c r="V37">
        <v>0.95592065718292896</v>
      </c>
      <c r="W37">
        <v>0.98968142656782199</v>
      </c>
      <c r="X37">
        <v>0.82661507040739501</v>
      </c>
      <c r="Y37">
        <v>0.89250779318499396</v>
      </c>
      <c r="Z37">
        <v>0.92808771364076104</v>
      </c>
      <c r="AA37">
        <v>0.95969042244437297</v>
      </c>
      <c r="AB37">
        <v>0.77467018469657001</v>
      </c>
      <c r="AC37">
        <v>0.85237467018469704</v>
      </c>
      <c r="AD37">
        <v>0.88588390501319303</v>
      </c>
      <c r="AE37">
        <v>0.92401055408971</v>
      </c>
    </row>
    <row r="38" spans="1:31" x14ac:dyDescent="0.3">
      <c r="A38" t="s">
        <v>31</v>
      </c>
      <c r="B38">
        <v>30</v>
      </c>
      <c r="C38" t="s">
        <v>65</v>
      </c>
      <c r="D38">
        <v>0.82050987597611402</v>
      </c>
      <c r="E38">
        <v>0.87425355994487797</v>
      </c>
      <c r="F38">
        <v>0.91398713826366595</v>
      </c>
      <c r="G38">
        <v>0.94430408819476297</v>
      </c>
      <c r="H38">
        <v>0.81335651462466796</v>
      </c>
      <c r="I38">
        <v>0.92063816731437897</v>
      </c>
      <c r="J38">
        <v>0.94712620167723505</v>
      </c>
      <c r="K38">
        <v>0.974023317651872</v>
      </c>
      <c r="L38">
        <v>0.80078007800780104</v>
      </c>
      <c r="M38">
        <v>0.90469046904690498</v>
      </c>
      <c r="N38">
        <v>0.94819481948194795</v>
      </c>
      <c r="O38">
        <v>0.99029902990299001</v>
      </c>
      <c r="P38">
        <v>0.79390000000000005</v>
      </c>
      <c r="Q38">
        <v>0.89939999999999998</v>
      </c>
      <c r="R38" s="5">
        <v>0.94779999999999998</v>
      </c>
      <c r="S38">
        <v>0.99029999999999996</v>
      </c>
      <c r="T38">
        <v>0.798579857985799</v>
      </c>
      <c r="U38">
        <v>0.89918991899189904</v>
      </c>
      <c r="V38">
        <v>0.94609460946094603</v>
      </c>
      <c r="W38">
        <v>0.99059905990599095</v>
      </c>
      <c r="X38">
        <v>0.81166837256908897</v>
      </c>
      <c r="Y38">
        <v>0.92343909928352097</v>
      </c>
      <c r="Z38">
        <v>0.94923234390992794</v>
      </c>
      <c r="AA38">
        <v>0.97758444216990803</v>
      </c>
      <c r="AB38">
        <v>0.820607600785491</v>
      </c>
      <c r="AC38">
        <v>0.86819914520041597</v>
      </c>
      <c r="AD38">
        <v>0.90989950329213398</v>
      </c>
      <c r="AE38">
        <v>0.94189673096915805</v>
      </c>
    </row>
    <row r="39" spans="1:31" ht="15" thickBot="1" x14ac:dyDescent="0.35">
      <c r="A39" t="s">
        <v>31</v>
      </c>
      <c r="B39">
        <v>50</v>
      </c>
      <c r="C39" t="s">
        <v>65</v>
      </c>
      <c r="D39">
        <v>0.85270992766537401</v>
      </c>
      <c r="E39">
        <v>0.91718209455917799</v>
      </c>
      <c r="F39">
        <v>0.94905126323514</v>
      </c>
      <c r="G39">
        <v>0.97169514624174402</v>
      </c>
      <c r="H39">
        <v>0.78904054596547601</v>
      </c>
      <c r="I39">
        <v>0.91168205539943803</v>
      </c>
      <c r="J39">
        <v>0.95012043356081899</v>
      </c>
      <c r="K39">
        <v>0.99257326374949795</v>
      </c>
      <c r="L39">
        <v>0.80369999999999997</v>
      </c>
      <c r="M39">
        <v>0.9002</v>
      </c>
      <c r="N39">
        <v>0.95179999999999998</v>
      </c>
      <c r="O39">
        <v>0.99099999999999999</v>
      </c>
      <c r="P39">
        <v>0.79969999999999997</v>
      </c>
      <c r="Q39">
        <v>0.89929999999999999</v>
      </c>
      <c r="R39" s="5">
        <v>0.95189999999999997</v>
      </c>
      <c r="S39">
        <v>0.99160000000000004</v>
      </c>
      <c r="T39">
        <v>0.7994</v>
      </c>
      <c r="U39">
        <v>0.89859999999999995</v>
      </c>
      <c r="V39">
        <v>0.94810000000000005</v>
      </c>
      <c r="W39">
        <v>0.99099999999999999</v>
      </c>
      <c r="X39">
        <v>0.78701845906902101</v>
      </c>
      <c r="Y39">
        <v>0.90559791332263195</v>
      </c>
      <c r="Z39">
        <v>0.94492375601926204</v>
      </c>
      <c r="AA39">
        <v>0.99157303370786498</v>
      </c>
      <c r="AB39">
        <v>0.85435671594841101</v>
      </c>
      <c r="AC39">
        <v>0.91926182237600895</v>
      </c>
      <c r="AD39">
        <v>0.94851630491768901</v>
      </c>
      <c r="AE39">
        <v>0.97210862954807598</v>
      </c>
    </row>
    <row r="40" spans="1:31" ht="15" thickTop="1" x14ac:dyDescent="0.3">
      <c r="A40" s="1" t="s">
        <v>56</v>
      </c>
      <c r="B40" s="1">
        <v>20</v>
      </c>
      <c r="C40" s="1" t="s">
        <v>36</v>
      </c>
      <c r="D40" s="1">
        <v>0.73212235097609302</v>
      </c>
      <c r="E40" s="1">
        <v>0.82200647249190895</v>
      </c>
      <c r="F40" s="1">
        <v>0.87462156801336299</v>
      </c>
      <c r="G40" s="1">
        <v>0.92577513310366399</v>
      </c>
      <c r="H40" s="1">
        <v>0.78287866449511401</v>
      </c>
      <c r="I40" s="1">
        <v>0.86237785016286606</v>
      </c>
      <c r="J40" s="1">
        <v>0.90635179153094503</v>
      </c>
      <c r="K40" s="1">
        <v>0.94666123778501599</v>
      </c>
      <c r="L40" s="1">
        <v>0.79797878727236304</v>
      </c>
      <c r="M40" s="1">
        <v>0.90214128477086297</v>
      </c>
      <c r="N40" s="1">
        <v>0.94886932159295601</v>
      </c>
      <c r="O40" s="1">
        <v>0.98639183510106099</v>
      </c>
      <c r="P40" s="1">
        <v>0.79820000000000002</v>
      </c>
      <c r="Q40" s="1">
        <v>0.89439999999999997</v>
      </c>
      <c r="R40" s="6">
        <v>0.94779999999999998</v>
      </c>
      <c r="S40" s="1">
        <v>0.98899999999999999</v>
      </c>
      <c r="T40" s="1">
        <v>0.79843640372857605</v>
      </c>
      <c r="U40" s="1">
        <v>0.90137315826400699</v>
      </c>
      <c r="V40" s="1">
        <v>0.95018542648090598</v>
      </c>
      <c r="W40" s="1">
        <v>0.99097925228024497</v>
      </c>
      <c r="X40" s="1">
        <v>0.83537519142419603</v>
      </c>
      <c r="Y40" s="1">
        <v>0.90549113979435603</v>
      </c>
      <c r="Z40" s="1">
        <v>0.94126011813607502</v>
      </c>
      <c r="AA40" s="1">
        <v>0.96619995624589805</v>
      </c>
      <c r="AB40" s="1">
        <v>0.79514461261801295</v>
      </c>
      <c r="AC40" s="1">
        <v>0.885658624306908</v>
      </c>
      <c r="AD40" s="1">
        <v>0.91053499175783004</v>
      </c>
      <c r="AE40" s="1">
        <v>0.94680053948748699</v>
      </c>
    </row>
    <row r="41" spans="1:31" x14ac:dyDescent="0.3">
      <c r="A41" t="s">
        <v>56</v>
      </c>
      <c r="B41">
        <v>30</v>
      </c>
      <c r="C41" t="s">
        <v>36</v>
      </c>
      <c r="D41">
        <v>0.75284749521217598</v>
      </c>
      <c r="E41">
        <v>0.84326176796693897</v>
      </c>
      <c r="F41">
        <v>0.89144239491986699</v>
      </c>
      <c r="G41">
        <v>0.94184054026811803</v>
      </c>
      <c r="H41">
        <v>0.79259482239614698</v>
      </c>
      <c r="I41">
        <v>0.88310254866546301</v>
      </c>
      <c r="J41">
        <v>0.92795504716034505</v>
      </c>
      <c r="K41">
        <v>0.96849287577764398</v>
      </c>
      <c r="L41">
        <v>0.80579999999999996</v>
      </c>
      <c r="M41">
        <v>0.90210000000000001</v>
      </c>
      <c r="N41">
        <v>0.95030000000000003</v>
      </c>
      <c r="O41">
        <v>0.99160000000000004</v>
      </c>
      <c r="P41">
        <v>0.7964</v>
      </c>
      <c r="Q41">
        <v>0.89470000000000005</v>
      </c>
      <c r="R41" s="5">
        <v>0.94840000000000002</v>
      </c>
      <c r="S41">
        <v>0.99099999999999999</v>
      </c>
      <c r="T41">
        <v>0.79433830149044704</v>
      </c>
      <c r="U41">
        <v>0.90017005101530501</v>
      </c>
      <c r="V41">
        <v>0.94868460538161403</v>
      </c>
      <c r="W41">
        <v>0.99089726918075405</v>
      </c>
      <c r="X41">
        <v>0.81882497693017497</v>
      </c>
      <c r="Y41">
        <v>0.933251307290065</v>
      </c>
      <c r="Z41">
        <v>0.95027171126832799</v>
      </c>
      <c r="AA41">
        <v>0.97713524043883904</v>
      </c>
      <c r="AB41">
        <v>0.84614474929044503</v>
      </c>
      <c r="AC41">
        <v>0.88824503311258296</v>
      </c>
      <c r="AD41">
        <v>0.92928098391674596</v>
      </c>
      <c r="AE41">
        <v>0.95825449385051997</v>
      </c>
    </row>
    <row r="42" spans="1:31" x14ac:dyDescent="0.3">
      <c r="A42" t="s">
        <v>56</v>
      </c>
      <c r="B42">
        <v>50</v>
      </c>
      <c r="C42" t="s">
        <v>36</v>
      </c>
      <c r="D42">
        <v>0.77483244973492005</v>
      </c>
      <c r="E42">
        <v>0.87186155846753999</v>
      </c>
      <c r="F42">
        <v>0.91977593277983405</v>
      </c>
      <c r="G42">
        <v>0.96849054716414895</v>
      </c>
      <c r="H42">
        <v>0.8024</v>
      </c>
      <c r="I42">
        <v>0.89949999999999997</v>
      </c>
      <c r="J42">
        <v>0.94820000000000004</v>
      </c>
      <c r="K42">
        <v>0.98560000000000003</v>
      </c>
      <c r="L42">
        <v>0.80049999999999999</v>
      </c>
      <c r="M42">
        <v>0.89939999999999998</v>
      </c>
      <c r="N42">
        <v>0.9526</v>
      </c>
      <c r="O42">
        <v>0.9899</v>
      </c>
      <c r="P42">
        <v>0.8085</v>
      </c>
      <c r="Q42">
        <v>0.90510000000000002</v>
      </c>
      <c r="R42" s="5">
        <v>0.95199999999999996</v>
      </c>
      <c r="S42">
        <v>0.99050000000000005</v>
      </c>
      <c r="T42">
        <v>0.79549999999999998</v>
      </c>
      <c r="U42">
        <v>0.89510000000000001</v>
      </c>
      <c r="V42">
        <v>0.94550000000000001</v>
      </c>
      <c r="W42">
        <v>0.98750000000000004</v>
      </c>
      <c r="X42">
        <v>0.79693294577528295</v>
      </c>
      <c r="Y42">
        <v>0.90648491530520203</v>
      </c>
      <c r="Z42">
        <v>0.94828104640673505</v>
      </c>
      <c r="AA42">
        <v>0.99198155758244</v>
      </c>
      <c r="AB42">
        <v>0.85203814314157</v>
      </c>
      <c r="AC42">
        <v>0.91763596353347998</v>
      </c>
      <c r="AD42">
        <v>0.94812951901917597</v>
      </c>
      <c r="AE42">
        <v>0.96919207796290496</v>
      </c>
    </row>
    <row r="43" spans="1:31" x14ac:dyDescent="0.3">
      <c r="A43" t="s">
        <v>57</v>
      </c>
      <c r="B43">
        <v>20</v>
      </c>
      <c r="C43" t="s">
        <v>36</v>
      </c>
      <c r="D43">
        <v>0.2291</v>
      </c>
      <c r="E43">
        <v>0.33829999999999999</v>
      </c>
      <c r="F43">
        <v>0.44590000000000002</v>
      </c>
      <c r="G43">
        <v>0.66279999999999994</v>
      </c>
      <c r="H43">
        <v>0.59605960596059604</v>
      </c>
      <c r="I43">
        <v>0.73287328732873303</v>
      </c>
      <c r="J43">
        <v>0.82238223822382195</v>
      </c>
      <c r="K43">
        <v>0.93379337933793405</v>
      </c>
      <c r="L43">
        <v>0.79443833149944998</v>
      </c>
      <c r="M43">
        <v>0.89116735020506199</v>
      </c>
      <c r="N43">
        <v>0.94058217465239602</v>
      </c>
      <c r="O43">
        <v>0.986095828748625</v>
      </c>
      <c r="P43">
        <v>0.78400000000000003</v>
      </c>
      <c r="Q43">
        <v>0.88639999999999997</v>
      </c>
      <c r="R43" s="5">
        <v>0.93710000000000004</v>
      </c>
      <c r="S43">
        <v>0.9849</v>
      </c>
      <c r="T43">
        <v>0.79037422453472095</v>
      </c>
      <c r="U43">
        <v>0.89663798278967399</v>
      </c>
      <c r="V43">
        <v>0.94796878126876105</v>
      </c>
      <c r="W43">
        <v>0.98639183510106099</v>
      </c>
      <c r="X43">
        <v>0.80088124213176703</v>
      </c>
      <c r="Y43">
        <v>0.86959714645404995</v>
      </c>
      <c r="Z43">
        <v>0.90946286193873305</v>
      </c>
      <c r="AA43">
        <v>0.94565673520772098</v>
      </c>
      <c r="AB43">
        <v>0.75439690657353098</v>
      </c>
      <c r="AC43">
        <v>0.83085942372458499</v>
      </c>
      <c r="AD43">
        <v>0.86865411001621595</v>
      </c>
      <c r="AE43">
        <v>0.91355868778844995</v>
      </c>
    </row>
    <row r="44" spans="1:31" x14ac:dyDescent="0.3">
      <c r="A44" t="s">
        <v>57</v>
      </c>
      <c r="B44">
        <v>30</v>
      </c>
      <c r="C44" t="s">
        <v>36</v>
      </c>
      <c r="D44">
        <v>0.15740000000000001</v>
      </c>
      <c r="E44">
        <v>0.25280000000000002</v>
      </c>
      <c r="F44">
        <v>0.35360000000000003</v>
      </c>
      <c r="G44">
        <v>0.57330000000000003</v>
      </c>
      <c r="H44">
        <v>0.56850000000000001</v>
      </c>
      <c r="I44">
        <v>0.70609999999999995</v>
      </c>
      <c r="J44">
        <v>0.80349999999999999</v>
      </c>
      <c r="K44">
        <v>0.92379999999999995</v>
      </c>
      <c r="L44">
        <v>0.79879999999999995</v>
      </c>
      <c r="M44">
        <v>0.89019999999999999</v>
      </c>
      <c r="N44">
        <v>0.94379999999999997</v>
      </c>
      <c r="O44">
        <v>0.98799999999999999</v>
      </c>
      <c r="P44">
        <v>0.78879999999999995</v>
      </c>
      <c r="Q44">
        <v>0.89100000000000001</v>
      </c>
      <c r="R44" s="5">
        <v>0.9425</v>
      </c>
      <c r="S44">
        <v>0.9879</v>
      </c>
      <c r="T44">
        <v>0.79890000000000005</v>
      </c>
      <c r="U44">
        <v>0.8992</v>
      </c>
      <c r="V44">
        <v>0.95</v>
      </c>
      <c r="W44">
        <v>0.99029999999999996</v>
      </c>
      <c r="X44">
        <v>0.81318236959158896</v>
      </c>
      <c r="Y44">
        <v>0.89860493327941804</v>
      </c>
      <c r="Z44">
        <v>0.93408815204205398</v>
      </c>
      <c r="AA44">
        <v>0.96674080064698698</v>
      </c>
      <c r="AB44">
        <v>0.78144741216890201</v>
      </c>
      <c r="AC44">
        <v>0.84173778122575604</v>
      </c>
      <c r="AD44">
        <v>0.88595810705973599</v>
      </c>
      <c r="AE44">
        <v>0.92275296464590495</v>
      </c>
    </row>
    <row r="45" spans="1:31" x14ac:dyDescent="0.3">
      <c r="A45" t="s">
        <v>57</v>
      </c>
      <c r="B45">
        <v>50</v>
      </c>
      <c r="C45" t="s">
        <v>36</v>
      </c>
      <c r="D45">
        <v>9.7900000000000001E-2</v>
      </c>
      <c r="E45">
        <v>0.16270000000000001</v>
      </c>
      <c r="F45">
        <v>0.2399</v>
      </c>
      <c r="G45">
        <v>0.4345</v>
      </c>
      <c r="H45">
        <v>0.54700000000000004</v>
      </c>
      <c r="I45">
        <v>0.68200000000000005</v>
      </c>
      <c r="J45">
        <v>0.78139999999999998</v>
      </c>
      <c r="K45">
        <v>0.91510000000000002</v>
      </c>
      <c r="L45">
        <v>0.79869999999999997</v>
      </c>
      <c r="M45">
        <v>0.89510000000000001</v>
      </c>
      <c r="N45">
        <v>0.9456</v>
      </c>
      <c r="O45">
        <v>0.98960000000000004</v>
      </c>
      <c r="P45">
        <v>0.78210000000000002</v>
      </c>
      <c r="Q45">
        <v>0.89170000000000005</v>
      </c>
      <c r="R45" s="5">
        <v>0.94430000000000003</v>
      </c>
      <c r="S45">
        <v>0.98629999999999995</v>
      </c>
      <c r="T45">
        <v>0.79459999999999997</v>
      </c>
      <c r="U45">
        <v>0.89329999999999998</v>
      </c>
      <c r="V45">
        <v>0.94730000000000003</v>
      </c>
      <c r="W45">
        <v>0.9899</v>
      </c>
      <c r="X45">
        <v>0.78954222177702105</v>
      </c>
      <c r="Y45">
        <v>0.90103175398176905</v>
      </c>
      <c r="Z45">
        <v>0.94791144946408901</v>
      </c>
      <c r="AA45">
        <v>0.98647701091856199</v>
      </c>
      <c r="AB45">
        <v>0.82391415431783299</v>
      </c>
      <c r="AC45">
        <v>0.89187531936637698</v>
      </c>
      <c r="AD45">
        <v>0.92549821154828804</v>
      </c>
      <c r="AE45">
        <v>0.95554420030659204</v>
      </c>
    </row>
    <row r="46" spans="1:31" x14ac:dyDescent="0.3">
      <c r="A46" t="s">
        <v>31</v>
      </c>
      <c r="B46">
        <v>20</v>
      </c>
      <c r="C46" t="s">
        <v>36</v>
      </c>
      <c r="D46">
        <v>0.70136239782016396</v>
      </c>
      <c r="E46">
        <v>0.78768392370572204</v>
      </c>
      <c r="F46">
        <v>0.83891008174386905</v>
      </c>
      <c r="G46">
        <v>0.89732970027248005</v>
      </c>
      <c r="H46">
        <v>0.77060201690944297</v>
      </c>
      <c r="I46">
        <v>0.85229703575430404</v>
      </c>
      <c r="J46">
        <v>0.89823775084037905</v>
      </c>
      <c r="K46">
        <v>0.94509524294590996</v>
      </c>
      <c r="L46">
        <v>0.78955791158231603</v>
      </c>
      <c r="M46">
        <v>0.89247849569913995</v>
      </c>
      <c r="N46">
        <v>0.94298859771954402</v>
      </c>
      <c r="O46">
        <v>0.98469693938787795</v>
      </c>
      <c r="P46">
        <v>0.80449999999999999</v>
      </c>
      <c r="Q46">
        <v>0.90469999999999995</v>
      </c>
      <c r="R46" s="5">
        <v>0.9536</v>
      </c>
      <c r="S46">
        <v>0.99029999999999996</v>
      </c>
      <c r="T46">
        <v>0.80538322993796296</v>
      </c>
      <c r="U46">
        <v>0.909545727436462</v>
      </c>
      <c r="V46">
        <v>0.95217130278166895</v>
      </c>
      <c r="W46">
        <v>0.98489093456073595</v>
      </c>
      <c r="X46">
        <v>0.767875331024649</v>
      </c>
      <c r="Y46">
        <v>0.85190466490120198</v>
      </c>
      <c r="Z46">
        <v>0.89539621104094502</v>
      </c>
      <c r="AA46">
        <v>0.942452638011815</v>
      </c>
      <c r="AB46">
        <v>0.69574190745166198</v>
      </c>
      <c r="AC46">
        <v>0.78481425157506002</v>
      </c>
      <c r="AD46">
        <v>0.834455789702368</v>
      </c>
      <c r="AE46">
        <v>0.89104931566369805</v>
      </c>
    </row>
    <row r="47" spans="1:31" x14ac:dyDescent="0.3">
      <c r="A47" t="s">
        <v>31</v>
      </c>
      <c r="B47">
        <v>30</v>
      </c>
      <c r="C47" t="s">
        <v>36</v>
      </c>
      <c r="D47">
        <v>0.736256948733786</v>
      </c>
      <c r="E47">
        <v>0.82200947086678999</v>
      </c>
      <c r="F47">
        <v>0.86936380481778897</v>
      </c>
      <c r="G47">
        <v>0.91867407864937201</v>
      </c>
      <c r="H47">
        <v>0.79975910870219802</v>
      </c>
      <c r="I47">
        <v>0.880357322091739</v>
      </c>
      <c r="J47">
        <v>0.92542406905550501</v>
      </c>
      <c r="K47">
        <v>0.965171133192813</v>
      </c>
      <c r="L47">
        <v>0.80500000000000005</v>
      </c>
      <c r="M47">
        <v>0.89900000000000002</v>
      </c>
      <c r="N47">
        <v>0.95169999999999999</v>
      </c>
      <c r="O47">
        <v>0.98919999999999997</v>
      </c>
      <c r="P47">
        <v>0.79700000000000004</v>
      </c>
      <c r="Q47">
        <v>0.89639999999999997</v>
      </c>
      <c r="R47" s="5">
        <v>0.94930000000000003</v>
      </c>
      <c r="S47">
        <v>0.99019999999999997</v>
      </c>
      <c r="T47">
        <v>0.79959999999999998</v>
      </c>
      <c r="U47">
        <v>0.8962</v>
      </c>
      <c r="V47">
        <v>0.94610000000000005</v>
      </c>
      <c r="W47">
        <v>0.98899999999999999</v>
      </c>
      <c r="X47">
        <v>0.79883557518570603</v>
      </c>
      <c r="Y47">
        <v>0.88024493073679999</v>
      </c>
      <c r="Z47">
        <v>0.92521582011644199</v>
      </c>
      <c r="AA47">
        <v>0.96556916281871097</v>
      </c>
      <c r="AB47">
        <v>0.74018595041322299</v>
      </c>
      <c r="AC47">
        <v>0.81880165289256202</v>
      </c>
      <c r="AD47">
        <v>0.865495867768595</v>
      </c>
      <c r="AE47">
        <v>0.91756198347107398</v>
      </c>
    </row>
    <row r="48" spans="1:31" ht="15" thickBot="1" x14ac:dyDescent="0.35">
      <c r="A48" t="s">
        <v>31</v>
      </c>
      <c r="B48">
        <v>50</v>
      </c>
      <c r="C48" t="s">
        <v>36</v>
      </c>
      <c r="D48">
        <v>0.78304539975893905</v>
      </c>
      <c r="E48">
        <v>0.864102049015669</v>
      </c>
      <c r="F48">
        <v>0.91181197267979097</v>
      </c>
      <c r="G48">
        <v>0.95389714744877496</v>
      </c>
      <c r="H48">
        <v>0.78755751150230002</v>
      </c>
      <c r="I48">
        <v>0.89757951590318097</v>
      </c>
      <c r="J48">
        <v>0.94658931786357303</v>
      </c>
      <c r="K48">
        <v>0.98529705941188195</v>
      </c>
      <c r="L48">
        <v>0.80189999999999995</v>
      </c>
      <c r="M48">
        <v>0.89859999999999995</v>
      </c>
      <c r="N48">
        <v>0.94720000000000004</v>
      </c>
      <c r="O48">
        <v>0.99060000000000004</v>
      </c>
      <c r="P48">
        <v>0.80079999999999996</v>
      </c>
      <c r="Q48">
        <v>0.90159999999999996</v>
      </c>
      <c r="R48" s="5">
        <v>0.95140000000000002</v>
      </c>
      <c r="S48">
        <v>0.99099999999999999</v>
      </c>
      <c r="T48">
        <v>0.7974</v>
      </c>
      <c r="U48">
        <v>0.89700000000000002</v>
      </c>
      <c r="V48">
        <v>0.94820000000000004</v>
      </c>
      <c r="W48">
        <v>0.99039999999999995</v>
      </c>
      <c r="X48">
        <v>0.78759999999999997</v>
      </c>
      <c r="Y48">
        <v>0.8921</v>
      </c>
      <c r="Z48">
        <v>0.94340000000000002</v>
      </c>
      <c r="AA48">
        <v>0.98319999999999996</v>
      </c>
      <c r="AB48">
        <v>0.78361281253137904</v>
      </c>
      <c r="AC48">
        <v>0.86655286675369003</v>
      </c>
      <c r="AD48">
        <v>0.91013153931117596</v>
      </c>
      <c r="AE48">
        <v>0.95310774174113899</v>
      </c>
    </row>
    <row r="49" spans="1:31" ht="15" thickTop="1" x14ac:dyDescent="0.3">
      <c r="A49" s="1" t="s">
        <v>56</v>
      </c>
      <c r="B49" s="1">
        <v>20</v>
      </c>
      <c r="C49" s="1" t="s">
        <v>46</v>
      </c>
      <c r="D49" s="1">
        <v>0.32683268326832698</v>
      </c>
      <c r="E49" s="1">
        <v>0.45854585458545899</v>
      </c>
      <c r="F49" s="1">
        <v>0.574957495749575</v>
      </c>
      <c r="G49" s="1">
        <v>0.77087708770877095</v>
      </c>
      <c r="H49" s="1">
        <v>0.62898869660898304</v>
      </c>
      <c r="I49" s="1">
        <v>0.75892767830349095</v>
      </c>
      <c r="J49" s="1">
        <v>0.84665399619885995</v>
      </c>
      <c r="K49" s="1">
        <v>0.94528358507552301</v>
      </c>
      <c r="L49" s="1">
        <v>0.79357935793579404</v>
      </c>
      <c r="M49" s="1">
        <v>0.89148914891489195</v>
      </c>
      <c r="N49" s="1">
        <v>0.94629462946294596</v>
      </c>
      <c r="O49" s="1">
        <v>0.98619861986198598</v>
      </c>
      <c r="P49" s="1">
        <v>0.78969999999999996</v>
      </c>
      <c r="Q49" s="1">
        <v>0.88849999999999996</v>
      </c>
      <c r="R49" s="6">
        <v>0.94469999999999998</v>
      </c>
      <c r="S49" s="1">
        <v>0.98770000000000002</v>
      </c>
      <c r="T49" s="1">
        <v>0.78781512605042003</v>
      </c>
      <c r="U49" s="1">
        <v>0.89075630252100801</v>
      </c>
      <c r="V49" s="1">
        <v>0.94407763105242104</v>
      </c>
      <c r="W49" s="1">
        <v>0.98329331732693104</v>
      </c>
      <c r="X49" s="1">
        <v>0.78731535998347302</v>
      </c>
      <c r="Y49" s="1">
        <v>0.86230761284991198</v>
      </c>
      <c r="Z49" s="1">
        <v>0.90589815101745697</v>
      </c>
      <c r="AA49" s="1">
        <v>0.947216196673897</v>
      </c>
      <c r="AB49" s="1">
        <v>0.71896652965355301</v>
      </c>
      <c r="AC49" s="1">
        <v>0.80422783323546698</v>
      </c>
      <c r="AD49" s="1">
        <v>0.84803288314738701</v>
      </c>
      <c r="AE49" s="1">
        <v>0.90111567821491501</v>
      </c>
    </row>
    <row r="50" spans="1:31" x14ac:dyDescent="0.3">
      <c r="A50" t="s">
        <v>56</v>
      </c>
      <c r="B50">
        <v>30</v>
      </c>
      <c r="C50" t="s">
        <v>46</v>
      </c>
      <c r="D50">
        <v>0.27960000000000002</v>
      </c>
      <c r="E50">
        <v>0.3967</v>
      </c>
      <c r="F50">
        <v>0.51</v>
      </c>
      <c r="G50">
        <v>0.72770000000000001</v>
      </c>
      <c r="H50">
        <v>0.6169</v>
      </c>
      <c r="I50">
        <v>0.74519999999999997</v>
      </c>
      <c r="J50">
        <v>0.83509999999999995</v>
      </c>
      <c r="K50">
        <v>0.93969999999999998</v>
      </c>
      <c r="L50">
        <v>0.80259999999999998</v>
      </c>
      <c r="M50">
        <v>0.90180000000000005</v>
      </c>
      <c r="N50">
        <v>0.94940000000000002</v>
      </c>
      <c r="O50">
        <v>0.99019999999999997</v>
      </c>
      <c r="P50">
        <v>0.78810000000000002</v>
      </c>
      <c r="Q50">
        <v>0.88959999999999995</v>
      </c>
      <c r="R50" s="5">
        <v>0.94330000000000003</v>
      </c>
      <c r="S50">
        <v>0.98819999999999997</v>
      </c>
      <c r="T50">
        <v>0.79637963796379596</v>
      </c>
      <c r="U50">
        <v>0.89748974897489797</v>
      </c>
      <c r="V50">
        <v>0.945894589458946</v>
      </c>
      <c r="W50">
        <v>0.98749874987498798</v>
      </c>
      <c r="X50">
        <v>0.81765951013002702</v>
      </c>
      <c r="Y50">
        <v>0.896079024291906</v>
      </c>
      <c r="Z50">
        <v>0.93196250377986101</v>
      </c>
      <c r="AA50">
        <v>0.96633403890736802</v>
      </c>
      <c r="AB50">
        <v>0.75991024682124197</v>
      </c>
      <c r="AC50">
        <v>0.83417031734159597</v>
      </c>
      <c r="AD50">
        <v>0.87477294582754594</v>
      </c>
      <c r="AE50">
        <v>0.91900844107276403</v>
      </c>
    </row>
    <row r="51" spans="1:31" x14ac:dyDescent="0.3">
      <c r="A51" t="s">
        <v>56</v>
      </c>
      <c r="B51">
        <v>50</v>
      </c>
      <c r="C51" t="s">
        <v>46</v>
      </c>
      <c r="D51">
        <v>0.2114</v>
      </c>
      <c r="E51">
        <v>0.32</v>
      </c>
      <c r="F51">
        <v>0.42499999999999999</v>
      </c>
      <c r="G51">
        <v>0.64980000000000004</v>
      </c>
      <c r="H51">
        <v>0.5948</v>
      </c>
      <c r="I51">
        <v>0.72950000000000004</v>
      </c>
      <c r="J51">
        <v>0.82350000000000001</v>
      </c>
      <c r="K51">
        <v>0.94040000000000001</v>
      </c>
      <c r="L51">
        <v>0.7964</v>
      </c>
      <c r="M51">
        <v>0.89790000000000003</v>
      </c>
      <c r="N51">
        <v>0.95009999999999994</v>
      </c>
      <c r="O51">
        <v>0.9899</v>
      </c>
      <c r="P51">
        <v>0.80020000000000002</v>
      </c>
      <c r="Q51">
        <v>0.8962</v>
      </c>
      <c r="R51" s="5">
        <v>0.94589999999999996</v>
      </c>
      <c r="S51">
        <v>0.98970000000000002</v>
      </c>
      <c r="T51">
        <v>0.78859999999999997</v>
      </c>
      <c r="U51">
        <v>0.88949999999999996</v>
      </c>
      <c r="V51">
        <v>0.94330000000000003</v>
      </c>
      <c r="W51">
        <v>0.98640000000000005</v>
      </c>
      <c r="X51">
        <v>0.79335867173434704</v>
      </c>
      <c r="Y51">
        <v>0.89827965593118597</v>
      </c>
      <c r="Z51">
        <v>0.95009001800360104</v>
      </c>
      <c r="AA51">
        <v>0.98779755951190196</v>
      </c>
      <c r="AB51">
        <v>0.80757928868173101</v>
      </c>
      <c r="AC51">
        <v>0.87729253217144598</v>
      </c>
      <c r="AD51">
        <v>0.91518897558009904</v>
      </c>
      <c r="AE51">
        <v>0.95268010943357995</v>
      </c>
    </row>
    <row r="52" spans="1:31" x14ac:dyDescent="0.3">
      <c r="A52" t="s">
        <v>57</v>
      </c>
      <c r="B52">
        <v>20</v>
      </c>
      <c r="C52" t="s">
        <v>46</v>
      </c>
      <c r="D52">
        <v>1.0028078620139E-4</v>
      </c>
      <c r="E52">
        <v>2.0056157240277999E-4</v>
      </c>
      <c r="F52">
        <v>3.0084235860405899E-4</v>
      </c>
      <c r="G52">
        <v>1.7047733654231799E-3</v>
      </c>
      <c r="H52">
        <v>4.4030821575102904E-3</v>
      </c>
      <c r="I52">
        <v>1.35094566196338E-2</v>
      </c>
      <c r="J52">
        <v>2.7519263484439099E-2</v>
      </c>
      <c r="K52">
        <v>9.1564094866406501E-2</v>
      </c>
      <c r="L52">
        <v>0.56225622562256194</v>
      </c>
      <c r="M52">
        <v>0.69886988698869901</v>
      </c>
      <c r="N52">
        <v>0.80108010801080098</v>
      </c>
      <c r="O52">
        <v>0.92559255925592598</v>
      </c>
      <c r="P52">
        <v>0.60799999999999998</v>
      </c>
      <c r="Q52">
        <v>0.74709999999999999</v>
      </c>
      <c r="R52" s="5">
        <v>0.8347</v>
      </c>
      <c r="S52">
        <v>0.94140000000000001</v>
      </c>
      <c r="T52">
        <v>0.49840000000000001</v>
      </c>
      <c r="U52">
        <v>0.63149999999999995</v>
      </c>
      <c r="V52">
        <v>0.73780000000000001</v>
      </c>
      <c r="W52">
        <v>0.89219999999999999</v>
      </c>
      <c r="X52">
        <v>0.63208491888644103</v>
      </c>
      <c r="Y52">
        <v>0.75555778089325099</v>
      </c>
      <c r="Z52">
        <v>0.83707190066092496</v>
      </c>
      <c r="AA52">
        <v>0.93661125575806103</v>
      </c>
      <c r="AB52">
        <v>0.64990368042177804</v>
      </c>
      <c r="AC52">
        <v>0.76457467302037896</v>
      </c>
      <c r="AD52">
        <v>0.83595254993409696</v>
      </c>
      <c r="AE52">
        <v>0.91189293318462905</v>
      </c>
    </row>
    <row r="53" spans="1:31" x14ac:dyDescent="0.3">
      <c r="A53" t="s">
        <v>57</v>
      </c>
      <c r="B53">
        <v>30</v>
      </c>
      <c r="C53" t="s">
        <v>46</v>
      </c>
      <c r="D53">
        <v>0</v>
      </c>
      <c r="E53">
        <v>0</v>
      </c>
      <c r="F53">
        <v>0</v>
      </c>
      <c r="G53">
        <v>0</v>
      </c>
      <c r="H53">
        <v>7.0000000000003404E-4</v>
      </c>
      <c r="I53">
        <v>2.29999999999997E-3</v>
      </c>
      <c r="J53">
        <v>6.09999999999999E-3</v>
      </c>
      <c r="K53">
        <v>2.8799999999999999E-2</v>
      </c>
      <c r="L53">
        <v>0.54159999999999997</v>
      </c>
      <c r="M53">
        <v>0.68379999999999996</v>
      </c>
      <c r="N53">
        <v>0.78739999999999999</v>
      </c>
      <c r="O53">
        <v>0.92149999999999999</v>
      </c>
      <c r="P53">
        <v>0.55349999999999999</v>
      </c>
      <c r="Q53">
        <v>0.69789999999999996</v>
      </c>
      <c r="R53" s="5">
        <v>0.79690000000000005</v>
      </c>
      <c r="S53">
        <v>0.92549999999999999</v>
      </c>
      <c r="T53">
        <v>0.48849999999999999</v>
      </c>
      <c r="U53">
        <v>0.63249999999999995</v>
      </c>
      <c r="V53">
        <v>0.7369</v>
      </c>
      <c r="W53">
        <v>0.89129999999999998</v>
      </c>
      <c r="X53">
        <v>0.65839999999999999</v>
      </c>
      <c r="Y53">
        <v>0.78190000000000004</v>
      </c>
      <c r="Z53">
        <v>0.85860000000000003</v>
      </c>
      <c r="AA53">
        <v>0.95009999999999994</v>
      </c>
      <c r="AB53">
        <v>0.67356575906761795</v>
      </c>
      <c r="AC53">
        <v>0.78599417261127302</v>
      </c>
      <c r="AD53">
        <v>0.85481764292173201</v>
      </c>
      <c r="AE53">
        <v>0.93429116849191196</v>
      </c>
    </row>
    <row r="54" spans="1:31" x14ac:dyDescent="0.3">
      <c r="A54" t="s">
        <v>57</v>
      </c>
      <c r="B54">
        <v>50</v>
      </c>
      <c r="C54" t="s">
        <v>46</v>
      </c>
      <c r="D54">
        <v>0</v>
      </c>
      <c r="E54">
        <v>0</v>
      </c>
      <c r="F54">
        <v>0</v>
      </c>
      <c r="G54">
        <v>0</v>
      </c>
      <c r="H54">
        <v>0</v>
      </c>
      <c r="I54">
        <v>1.99999999999978E-4</v>
      </c>
      <c r="J54">
        <v>4.9999999999994504E-4</v>
      </c>
      <c r="K54">
        <v>4.8000000000000299E-3</v>
      </c>
      <c r="L54">
        <v>0.53169999999999995</v>
      </c>
      <c r="M54">
        <v>0.67320000000000002</v>
      </c>
      <c r="N54">
        <v>0.78169999999999995</v>
      </c>
      <c r="O54">
        <v>0.92090000000000005</v>
      </c>
      <c r="P54">
        <v>0.48060000000000003</v>
      </c>
      <c r="Q54">
        <v>0.62939999999999996</v>
      </c>
      <c r="R54" s="5">
        <v>0.7409</v>
      </c>
      <c r="S54">
        <v>0.89629999999999999</v>
      </c>
      <c r="T54">
        <v>0.45660000000000001</v>
      </c>
      <c r="U54">
        <v>0.59809999999999997</v>
      </c>
      <c r="V54">
        <v>0.70930000000000004</v>
      </c>
      <c r="W54">
        <v>0.875</v>
      </c>
      <c r="X54">
        <v>0.66180000000000005</v>
      </c>
      <c r="Y54">
        <v>0.78690000000000004</v>
      </c>
      <c r="Z54">
        <v>0.86909999999999998</v>
      </c>
      <c r="AA54">
        <v>0.95399999999999996</v>
      </c>
      <c r="AB54">
        <v>0.72651795538661601</v>
      </c>
      <c r="AC54">
        <v>0.83074922476742996</v>
      </c>
      <c r="AD54">
        <v>0.89636891067320201</v>
      </c>
      <c r="AE54">
        <v>0.96088826647994396</v>
      </c>
    </row>
    <row r="55" spans="1:31" x14ac:dyDescent="0.3">
      <c r="A55" t="s">
        <v>31</v>
      </c>
      <c r="B55">
        <v>20</v>
      </c>
      <c r="C55" t="s">
        <v>46</v>
      </c>
      <c r="D55">
        <v>0.32913291329132899</v>
      </c>
      <c r="E55">
        <v>0.45004500450044999</v>
      </c>
      <c r="F55">
        <v>0.56355635563556405</v>
      </c>
      <c r="G55">
        <v>0.76417641764176403</v>
      </c>
      <c r="H55">
        <v>0.42899999999999999</v>
      </c>
      <c r="I55">
        <v>0.5655</v>
      </c>
      <c r="J55">
        <v>0.68059999999999998</v>
      </c>
      <c r="K55">
        <v>0.85289999999999999</v>
      </c>
      <c r="L55">
        <v>0.65206520652065203</v>
      </c>
      <c r="M55">
        <v>0.78027802780277999</v>
      </c>
      <c r="N55">
        <v>0.85988598859886001</v>
      </c>
      <c r="O55">
        <v>0.95409540954095395</v>
      </c>
      <c r="P55">
        <v>0.8004</v>
      </c>
      <c r="Q55">
        <v>0.89939999999999998</v>
      </c>
      <c r="R55" s="5">
        <v>0.9506</v>
      </c>
      <c r="S55">
        <v>0.98909999999999998</v>
      </c>
      <c r="T55">
        <v>0.66320000000000001</v>
      </c>
      <c r="U55">
        <v>0.79559999999999997</v>
      </c>
      <c r="V55">
        <v>0.87009999999999998</v>
      </c>
      <c r="W55">
        <v>0.9597</v>
      </c>
      <c r="X55">
        <v>0.43854385438543902</v>
      </c>
      <c r="Y55">
        <v>0.57565756575657601</v>
      </c>
      <c r="Z55">
        <v>0.68876887688768895</v>
      </c>
      <c r="AA55">
        <v>0.85538553855385502</v>
      </c>
      <c r="AB55">
        <v>0.31659999999999999</v>
      </c>
      <c r="AC55">
        <v>0.44700000000000001</v>
      </c>
      <c r="AD55">
        <v>0.56610000000000005</v>
      </c>
      <c r="AE55">
        <v>0.76639999999999997</v>
      </c>
    </row>
    <row r="56" spans="1:31" x14ac:dyDescent="0.3">
      <c r="A56" t="s">
        <v>31</v>
      </c>
      <c r="B56">
        <v>30</v>
      </c>
      <c r="C56" t="s">
        <v>46</v>
      </c>
      <c r="D56">
        <v>0.3085</v>
      </c>
      <c r="E56">
        <v>0.44009999999999999</v>
      </c>
      <c r="F56">
        <v>0.55920000000000003</v>
      </c>
      <c r="G56">
        <v>0.75890000000000002</v>
      </c>
      <c r="H56">
        <v>0.40689999999999998</v>
      </c>
      <c r="I56">
        <v>0.54900000000000004</v>
      </c>
      <c r="J56">
        <v>0.66310000000000002</v>
      </c>
      <c r="K56">
        <v>0.84499999999999997</v>
      </c>
      <c r="L56">
        <v>0.65459999999999996</v>
      </c>
      <c r="M56">
        <v>0.7843</v>
      </c>
      <c r="N56">
        <v>0.86299999999999999</v>
      </c>
      <c r="O56">
        <v>0.95509999999999995</v>
      </c>
      <c r="P56">
        <v>0.79679999999999995</v>
      </c>
      <c r="Q56">
        <v>0.89959999999999996</v>
      </c>
      <c r="R56" s="5">
        <v>0.9496</v>
      </c>
      <c r="S56">
        <v>0.98980000000000001</v>
      </c>
      <c r="T56">
        <v>0.64290000000000003</v>
      </c>
      <c r="U56">
        <v>0.77449999999999997</v>
      </c>
      <c r="V56">
        <v>0.85819999999999996</v>
      </c>
      <c r="W56">
        <v>0.95409999999999995</v>
      </c>
      <c r="X56">
        <v>0.4118</v>
      </c>
      <c r="Y56">
        <v>0.54430000000000001</v>
      </c>
      <c r="Z56">
        <v>0.66410000000000002</v>
      </c>
      <c r="AA56">
        <v>0.84150000000000003</v>
      </c>
      <c r="AB56">
        <v>0.31909999999999999</v>
      </c>
      <c r="AC56">
        <v>0.43830000000000002</v>
      </c>
      <c r="AD56">
        <v>0.5494</v>
      </c>
      <c r="AE56">
        <v>0.75260000000000005</v>
      </c>
    </row>
    <row r="57" spans="1:31" ht="15" thickBot="1" x14ac:dyDescent="0.35">
      <c r="A57" t="s">
        <v>31</v>
      </c>
      <c r="B57">
        <v>50</v>
      </c>
      <c r="C57" t="s">
        <v>46</v>
      </c>
      <c r="D57">
        <v>0.30409999999999998</v>
      </c>
      <c r="E57">
        <v>0.4264</v>
      </c>
      <c r="F57">
        <v>0.54500000000000004</v>
      </c>
      <c r="G57">
        <v>0.74370000000000003</v>
      </c>
      <c r="H57">
        <v>0.3871</v>
      </c>
      <c r="I57">
        <v>0.52049999999999996</v>
      </c>
      <c r="J57">
        <v>0.64080000000000004</v>
      </c>
      <c r="K57">
        <v>0.83040000000000003</v>
      </c>
      <c r="L57">
        <v>0.62280000000000002</v>
      </c>
      <c r="M57">
        <v>0.75509999999999999</v>
      </c>
      <c r="N57">
        <v>0.84470000000000001</v>
      </c>
      <c r="O57">
        <v>0.94450000000000001</v>
      </c>
      <c r="P57">
        <v>0.79869999999999997</v>
      </c>
      <c r="Q57">
        <v>0.90080000000000005</v>
      </c>
      <c r="R57" s="5">
        <v>0.94940000000000002</v>
      </c>
      <c r="S57">
        <v>0.99019999999999997</v>
      </c>
      <c r="T57">
        <v>0.62739999999999996</v>
      </c>
      <c r="U57">
        <v>0.76090000000000002</v>
      </c>
      <c r="V57">
        <v>0.84640000000000004</v>
      </c>
      <c r="W57">
        <v>0.95020000000000004</v>
      </c>
      <c r="X57">
        <v>0.39050000000000001</v>
      </c>
      <c r="Y57">
        <v>0.53110000000000002</v>
      </c>
      <c r="Z57">
        <v>0.64439999999999997</v>
      </c>
      <c r="AA57">
        <v>0.82569999999999999</v>
      </c>
      <c r="AB57">
        <v>0.29339999999999999</v>
      </c>
      <c r="AC57">
        <v>0.4178</v>
      </c>
      <c r="AD57">
        <v>0.5363</v>
      </c>
      <c r="AE57">
        <v>0.7409</v>
      </c>
    </row>
    <row r="58" spans="1:31" ht="15" thickTop="1" x14ac:dyDescent="0.3">
      <c r="A58" s="1" t="s">
        <v>56</v>
      </c>
      <c r="B58" s="1">
        <v>20</v>
      </c>
      <c r="C58" s="1" t="s">
        <v>74</v>
      </c>
      <c r="D58" s="1">
        <v>0.74044943820224696</v>
      </c>
      <c r="E58" s="1">
        <v>0.82044943820224703</v>
      </c>
      <c r="F58" s="1">
        <v>0.86247191011236002</v>
      </c>
      <c r="G58" s="1">
        <v>0.91348314606741599</v>
      </c>
      <c r="H58" s="1">
        <v>0.80597638700240304</v>
      </c>
      <c r="I58" s="1">
        <v>0.87294953505380801</v>
      </c>
      <c r="J58" s="1">
        <v>0.90941385435168698</v>
      </c>
      <c r="K58" s="1">
        <v>0.94754989029359504</v>
      </c>
      <c r="L58" s="1">
        <v>0.79807788567424198</v>
      </c>
      <c r="M58" s="1">
        <v>0.90259285213735096</v>
      </c>
      <c r="N58" s="1">
        <v>0.950946040644709</v>
      </c>
      <c r="O58" s="1">
        <v>0.98948843728100899</v>
      </c>
      <c r="P58" s="1">
        <v>0.79367936793679394</v>
      </c>
      <c r="Q58" s="1">
        <v>0.89378937893789401</v>
      </c>
      <c r="R58" s="6">
        <v>0.94869486948694903</v>
      </c>
      <c r="S58" s="1">
        <v>0.98919891989198905</v>
      </c>
      <c r="T58" s="1">
        <v>0.80066344993968597</v>
      </c>
      <c r="U58" s="1">
        <v>0.89575794129473296</v>
      </c>
      <c r="V58" s="1">
        <v>0.95375954965822296</v>
      </c>
      <c r="W58" s="1">
        <v>0.99266184157619597</v>
      </c>
      <c r="X58" s="1">
        <v>0.84226559855579397</v>
      </c>
      <c r="Y58" s="1">
        <v>0.92011734175786997</v>
      </c>
      <c r="Z58" s="1">
        <v>0.95464289743879005</v>
      </c>
      <c r="AA58" s="1">
        <v>0.97461356199932303</v>
      </c>
      <c r="AB58" s="1">
        <v>0.79982253771073597</v>
      </c>
      <c r="AC58" s="1">
        <v>0.90647737355811897</v>
      </c>
      <c r="AD58" s="1">
        <v>0.925820763087844</v>
      </c>
      <c r="AE58" s="1">
        <v>0.96220053238686798</v>
      </c>
    </row>
    <row r="59" spans="1:31" x14ac:dyDescent="0.3">
      <c r="A59" t="s">
        <v>56</v>
      </c>
      <c r="B59">
        <v>30</v>
      </c>
      <c r="C59" t="s">
        <v>74</v>
      </c>
      <c r="D59">
        <v>0.768945022288261</v>
      </c>
      <c r="E59">
        <v>0.84642326469963902</v>
      </c>
      <c r="F59">
        <v>0.88431330927616203</v>
      </c>
      <c r="G59">
        <v>0.92506898747611999</v>
      </c>
      <c r="H59">
        <v>0.80746162447900804</v>
      </c>
      <c r="I59">
        <v>0.90220595710074203</v>
      </c>
      <c r="J59">
        <v>0.93859916641252406</v>
      </c>
      <c r="K59">
        <v>0.97011283928026804</v>
      </c>
      <c r="L59">
        <v>0.80308030803080299</v>
      </c>
      <c r="M59">
        <v>0.90409040904090399</v>
      </c>
      <c r="N59">
        <v>0.94989498949895002</v>
      </c>
      <c r="O59">
        <v>0.992199219921992</v>
      </c>
      <c r="P59">
        <v>0.79607960796079602</v>
      </c>
      <c r="Q59">
        <v>0.89558955895589598</v>
      </c>
      <c r="R59" s="5">
        <v>0.94909490949094899</v>
      </c>
      <c r="S59">
        <v>0.99069906990699097</v>
      </c>
      <c r="T59">
        <v>0.79501800720288096</v>
      </c>
      <c r="U59">
        <v>0.90356142456982802</v>
      </c>
      <c r="V59">
        <v>0.94527811124449801</v>
      </c>
      <c r="W59">
        <v>0.99039615846338502</v>
      </c>
      <c r="X59">
        <v>0.80350766645662697</v>
      </c>
      <c r="Y59">
        <v>0.95190086116362105</v>
      </c>
      <c r="Z59">
        <v>0.96271791640411697</v>
      </c>
      <c r="AA59">
        <v>0.98687250577609698</v>
      </c>
      <c r="AB59">
        <v>0.88344159823507795</v>
      </c>
      <c r="AC59">
        <v>0.90550312538301303</v>
      </c>
      <c r="AD59">
        <v>0.95416104914818001</v>
      </c>
      <c r="AE59">
        <v>0.97487437185929604</v>
      </c>
    </row>
    <row r="60" spans="1:31" x14ac:dyDescent="0.3">
      <c r="A60" t="s">
        <v>56</v>
      </c>
      <c r="B60">
        <v>50</v>
      </c>
      <c r="C60" t="s">
        <v>74</v>
      </c>
      <c r="D60">
        <v>0.81008540056933698</v>
      </c>
      <c r="E60">
        <v>0.88257421716144802</v>
      </c>
      <c r="F60">
        <v>0.918971126474176</v>
      </c>
      <c r="G60">
        <v>0.95282635217568101</v>
      </c>
      <c r="H60">
        <v>0.80410615923885798</v>
      </c>
      <c r="I60">
        <v>0.90906359539309001</v>
      </c>
      <c r="J60">
        <v>0.951326990485729</v>
      </c>
      <c r="K60">
        <v>0.98978467701552297</v>
      </c>
      <c r="L60">
        <v>0.79990000000000006</v>
      </c>
      <c r="M60">
        <v>0.90169999999999995</v>
      </c>
      <c r="N60">
        <v>0.95399999999999996</v>
      </c>
      <c r="O60">
        <v>0.9899</v>
      </c>
      <c r="P60">
        <v>0.80979999999999996</v>
      </c>
      <c r="Q60">
        <v>0.90539999999999998</v>
      </c>
      <c r="R60" s="5">
        <v>0.95289999999999997</v>
      </c>
      <c r="S60">
        <v>0.99080000000000001</v>
      </c>
      <c r="T60">
        <v>0.79690000000000005</v>
      </c>
      <c r="U60">
        <v>0.89529999999999998</v>
      </c>
      <c r="V60">
        <v>0.94710000000000005</v>
      </c>
      <c r="W60">
        <v>0.98570000000000002</v>
      </c>
      <c r="X60">
        <v>0.78554778554778504</v>
      </c>
      <c r="Y60">
        <v>0.909800344582953</v>
      </c>
      <c r="Z60">
        <v>0.94547481504003195</v>
      </c>
      <c r="AA60">
        <v>0.99452721191851601</v>
      </c>
      <c r="AB60">
        <v>0.87248824283881998</v>
      </c>
      <c r="AC60">
        <v>0.94271056006840503</v>
      </c>
      <c r="AD60">
        <v>0.97082086361692999</v>
      </c>
      <c r="AE60">
        <v>0.98482257374946602</v>
      </c>
    </row>
    <row r="61" spans="1:31" x14ac:dyDescent="0.3">
      <c r="A61" t="s">
        <v>57</v>
      </c>
      <c r="B61">
        <v>20</v>
      </c>
      <c r="C61" t="s">
        <v>74</v>
      </c>
      <c r="D61">
        <v>0.57892628205128205</v>
      </c>
      <c r="E61">
        <v>0.70452724358974395</v>
      </c>
      <c r="F61">
        <v>0.79927884615384603</v>
      </c>
      <c r="G61">
        <v>0.92177483974358998</v>
      </c>
      <c r="H61">
        <v>0.76903807615230502</v>
      </c>
      <c r="I61">
        <v>0.86703406813627204</v>
      </c>
      <c r="J61">
        <v>0.91783567134268496</v>
      </c>
      <c r="K61">
        <v>0.96843687374749499</v>
      </c>
      <c r="L61">
        <v>0.79193758127438196</v>
      </c>
      <c r="M61">
        <v>0.89186756026808001</v>
      </c>
      <c r="N61">
        <v>0.94008202460738199</v>
      </c>
      <c r="O61">
        <v>0.98469540862258698</v>
      </c>
      <c r="P61">
        <v>0.79010000000000002</v>
      </c>
      <c r="Q61">
        <v>0.8881</v>
      </c>
      <c r="R61" s="5">
        <v>0.94210000000000005</v>
      </c>
      <c r="S61">
        <v>0.98580000000000001</v>
      </c>
      <c r="T61">
        <v>0.793752503003604</v>
      </c>
      <c r="U61">
        <v>0.90238285943131802</v>
      </c>
      <c r="V61">
        <v>0.94803764517420896</v>
      </c>
      <c r="W61">
        <v>0.98998798558269896</v>
      </c>
      <c r="X61">
        <v>0.83039480800432697</v>
      </c>
      <c r="Y61">
        <v>0.89616008653326096</v>
      </c>
      <c r="Z61">
        <v>0.93261222282314804</v>
      </c>
      <c r="AA61">
        <v>0.96116819902650097</v>
      </c>
      <c r="AB61">
        <v>0.79294907666480097</v>
      </c>
      <c r="AC61">
        <v>0.87590934527140496</v>
      </c>
      <c r="AD61">
        <v>0.90221040850587597</v>
      </c>
      <c r="AE61">
        <v>0.93746502518186903</v>
      </c>
    </row>
    <row r="62" spans="1:31" x14ac:dyDescent="0.3">
      <c r="A62" t="s">
        <v>57</v>
      </c>
      <c r="B62">
        <v>30</v>
      </c>
      <c r="C62" t="s">
        <v>74</v>
      </c>
      <c r="D62">
        <v>0.66683341670835405</v>
      </c>
      <c r="E62">
        <v>0.78809404702351205</v>
      </c>
      <c r="F62">
        <v>0.86383191595797904</v>
      </c>
      <c r="G62">
        <v>0.949074537268634</v>
      </c>
      <c r="H62">
        <v>0.79027902790279003</v>
      </c>
      <c r="I62">
        <v>0.88888888888888895</v>
      </c>
      <c r="J62">
        <v>0.93649364936493695</v>
      </c>
      <c r="K62">
        <v>0.97909790979097899</v>
      </c>
      <c r="L62">
        <v>0.79910000000000003</v>
      </c>
      <c r="M62">
        <v>0.89349999999999996</v>
      </c>
      <c r="N62">
        <v>0.94330000000000003</v>
      </c>
      <c r="O62">
        <v>0.98829999999999996</v>
      </c>
      <c r="P62">
        <v>0.79990000000000006</v>
      </c>
      <c r="Q62">
        <v>0.89659999999999995</v>
      </c>
      <c r="R62" s="5">
        <v>0.94989999999999997</v>
      </c>
      <c r="S62">
        <v>0.99029999999999996</v>
      </c>
      <c r="T62">
        <v>0.80089999999999995</v>
      </c>
      <c r="U62">
        <v>0.90200000000000002</v>
      </c>
      <c r="V62">
        <v>0.94989999999999997</v>
      </c>
      <c r="W62">
        <v>0.98970000000000002</v>
      </c>
      <c r="X62">
        <v>0.808362369337979</v>
      </c>
      <c r="Y62">
        <v>0.92334494773519205</v>
      </c>
      <c r="Z62">
        <v>0.94814511170321802</v>
      </c>
      <c r="AA62">
        <v>0.97612215617954501</v>
      </c>
      <c r="AB62">
        <v>0.84106038991916299</v>
      </c>
      <c r="AC62">
        <v>0.88302425106990001</v>
      </c>
      <c r="AD62">
        <v>0.92736566809319998</v>
      </c>
      <c r="AE62">
        <v>0.95649072753209696</v>
      </c>
    </row>
    <row r="63" spans="1:31" x14ac:dyDescent="0.3">
      <c r="A63" t="s">
        <v>57</v>
      </c>
      <c r="B63">
        <v>50</v>
      </c>
      <c r="C63" t="s">
        <v>74</v>
      </c>
      <c r="D63">
        <v>0.74354870974194798</v>
      </c>
      <c r="E63">
        <v>0.85037007401480302</v>
      </c>
      <c r="F63">
        <v>0.91108221644328902</v>
      </c>
      <c r="G63">
        <v>0.97089417883576701</v>
      </c>
      <c r="H63">
        <v>0.80059999999999998</v>
      </c>
      <c r="I63">
        <v>0.90149999999999997</v>
      </c>
      <c r="J63">
        <v>0.94979999999999998</v>
      </c>
      <c r="K63">
        <v>0.98740000000000006</v>
      </c>
      <c r="L63">
        <v>0.79910000000000003</v>
      </c>
      <c r="M63">
        <v>0.9012</v>
      </c>
      <c r="N63">
        <v>0.94950000000000001</v>
      </c>
      <c r="O63">
        <v>0.99060000000000004</v>
      </c>
      <c r="P63">
        <v>0.79910000000000003</v>
      </c>
      <c r="Q63">
        <v>0.89849999999999997</v>
      </c>
      <c r="R63" s="5">
        <v>0.95099999999999996</v>
      </c>
      <c r="S63">
        <v>0.98939999999999995</v>
      </c>
      <c r="T63">
        <v>0.79720000000000002</v>
      </c>
      <c r="U63">
        <v>0.89770000000000005</v>
      </c>
      <c r="V63">
        <v>0.94869999999999999</v>
      </c>
      <c r="W63">
        <v>0.99009999999999998</v>
      </c>
      <c r="X63">
        <v>0.78970647366304803</v>
      </c>
      <c r="Y63">
        <v>0.91103739445114595</v>
      </c>
      <c r="Z63">
        <v>0.94611982308001596</v>
      </c>
      <c r="AA63">
        <v>0.992360273421793</v>
      </c>
      <c r="AB63">
        <v>0.86558345642540602</v>
      </c>
      <c r="AC63">
        <v>0.93120911584722499</v>
      </c>
      <c r="AD63">
        <v>0.95916860097066903</v>
      </c>
      <c r="AE63">
        <v>0.97752690441021295</v>
      </c>
    </row>
    <row r="64" spans="1:31" x14ac:dyDescent="0.3">
      <c r="A64" t="s">
        <v>31</v>
      </c>
      <c r="B64">
        <v>20</v>
      </c>
      <c r="C64" t="s">
        <v>74</v>
      </c>
      <c r="D64">
        <v>0.74167776298268995</v>
      </c>
      <c r="E64">
        <v>0.82471855707541497</v>
      </c>
      <c r="F64">
        <v>0.86224428035346801</v>
      </c>
      <c r="G64">
        <v>0.90558043820360701</v>
      </c>
      <c r="H64">
        <v>0.80362759488362301</v>
      </c>
      <c r="I64">
        <v>0.87261480394212598</v>
      </c>
      <c r="J64">
        <v>0.91381841056825297</v>
      </c>
      <c r="K64">
        <v>0.94904592157685097</v>
      </c>
      <c r="L64">
        <v>0.79129564782391204</v>
      </c>
      <c r="M64">
        <v>0.89624812406203103</v>
      </c>
      <c r="N64">
        <v>0.94597298649324701</v>
      </c>
      <c r="O64">
        <v>0.98819409704852401</v>
      </c>
      <c r="P64">
        <v>0.80430000000000001</v>
      </c>
      <c r="Q64">
        <v>0.90339999999999998</v>
      </c>
      <c r="R64" s="5">
        <v>0.95350000000000001</v>
      </c>
      <c r="S64">
        <v>0.99019999999999997</v>
      </c>
      <c r="T64">
        <v>0.80788867754530003</v>
      </c>
      <c r="U64">
        <v>0.91000100110121096</v>
      </c>
      <c r="V64">
        <v>0.95495044549003905</v>
      </c>
      <c r="W64">
        <v>0.98738612473721099</v>
      </c>
      <c r="X64">
        <v>0.80620073568050399</v>
      </c>
      <c r="Y64">
        <v>0.87199159222280598</v>
      </c>
      <c r="Z64">
        <v>0.91308460325801399</v>
      </c>
      <c r="AA64">
        <v>0.95049921177088803</v>
      </c>
      <c r="AB64">
        <v>0.74148418491484203</v>
      </c>
      <c r="AC64">
        <v>0.81982968369829701</v>
      </c>
      <c r="AD64">
        <v>0.85827250608272498</v>
      </c>
      <c r="AE64">
        <v>0.90340632603406301</v>
      </c>
    </row>
    <row r="65" spans="1:31" x14ac:dyDescent="0.3">
      <c r="A65" t="s">
        <v>31</v>
      </c>
      <c r="B65">
        <v>30</v>
      </c>
      <c r="C65" t="s">
        <v>74</v>
      </c>
      <c r="D65">
        <v>0.79030827234420098</v>
      </c>
      <c r="E65">
        <v>0.85517853182523795</v>
      </c>
      <c r="F65">
        <v>0.89565313816810799</v>
      </c>
      <c r="G65">
        <v>0.93235750720780697</v>
      </c>
      <c r="H65">
        <v>0.81598456382654605</v>
      </c>
      <c r="I65">
        <v>0.90758606682238196</v>
      </c>
      <c r="J65">
        <v>0.93683355336650798</v>
      </c>
      <c r="K65">
        <v>0.96912765309231197</v>
      </c>
      <c r="L65">
        <v>0.80448044804480401</v>
      </c>
      <c r="M65">
        <v>0.902190219021902</v>
      </c>
      <c r="N65">
        <v>0.951095109510951</v>
      </c>
      <c r="O65">
        <v>0.99009900990098998</v>
      </c>
      <c r="P65">
        <v>0.79600000000000004</v>
      </c>
      <c r="Q65">
        <v>0.89800000000000002</v>
      </c>
      <c r="R65" s="5">
        <v>0.94830000000000003</v>
      </c>
      <c r="S65">
        <v>0.99019999999999997</v>
      </c>
      <c r="T65">
        <v>0.80028002800279996</v>
      </c>
      <c r="U65">
        <v>0.89898989898989901</v>
      </c>
      <c r="V65">
        <v>0.94769476947694797</v>
      </c>
      <c r="W65">
        <v>0.99039903990399003</v>
      </c>
      <c r="X65">
        <v>0.81601137864472195</v>
      </c>
      <c r="Y65">
        <v>0.90825967692776599</v>
      </c>
      <c r="Z65">
        <v>0.94117647058823495</v>
      </c>
      <c r="AA65">
        <v>0.97114700802600795</v>
      </c>
      <c r="AB65">
        <v>0.78793276188355799</v>
      </c>
      <c r="AC65">
        <v>0.85038405877769097</v>
      </c>
      <c r="AD65">
        <v>0.88979182901035303</v>
      </c>
      <c r="AE65">
        <v>0.92786374262495797</v>
      </c>
    </row>
    <row r="66" spans="1:31" ht="15" thickBot="1" x14ac:dyDescent="0.35">
      <c r="A66" t="s">
        <v>31</v>
      </c>
      <c r="B66">
        <v>50</v>
      </c>
      <c r="C66" t="s">
        <v>74</v>
      </c>
      <c r="D66">
        <v>0.83903399668324996</v>
      </c>
      <c r="E66">
        <v>0.90329601990049802</v>
      </c>
      <c r="F66">
        <v>0.93656716417910402</v>
      </c>
      <c r="G66">
        <v>0.96455223880596996</v>
      </c>
      <c r="H66">
        <v>0.79149959903769096</v>
      </c>
      <c r="I66">
        <v>0.90777866880513203</v>
      </c>
      <c r="J66">
        <v>0.95118283881315202</v>
      </c>
      <c r="K66">
        <v>0.99087810745789895</v>
      </c>
      <c r="L66">
        <v>0.80359999999999998</v>
      </c>
      <c r="M66">
        <v>0.89959999999999996</v>
      </c>
      <c r="N66">
        <v>0.95120000000000005</v>
      </c>
      <c r="O66">
        <v>0.99080000000000001</v>
      </c>
      <c r="P66">
        <v>0.7984</v>
      </c>
      <c r="Q66">
        <v>0.89959999999999996</v>
      </c>
      <c r="R66" s="5">
        <v>0.9516</v>
      </c>
      <c r="S66">
        <v>0.99109999999999998</v>
      </c>
      <c r="T66">
        <v>0.80089999999999995</v>
      </c>
      <c r="U66">
        <v>0.8982</v>
      </c>
      <c r="V66">
        <v>0.94879999999999998</v>
      </c>
      <c r="W66">
        <v>0.9909</v>
      </c>
      <c r="X66">
        <v>0.78853477650831805</v>
      </c>
      <c r="Y66">
        <v>0.90218480657446398</v>
      </c>
      <c r="Z66">
        <v>0.946883142914412</v>
      </c>
      <c r="AA66">
        <v>0.98947684906794997</v>
      </c>
      <c r="AB66">
        <v>0.84238905018664501</v>
      </c>
      <c r="AC66">
        <v>0.90636665284114504</v>
      </c>
      <c r="AD66">
        <v>0.93602239734549997</v>
      </c>
      <c r="AE66">
        <v>0.963708004977188</v>
      </c>
    </row>
    <row r="67" spans="1:31" ht="15" thickTop="1" x14ac:dyDescent="0.3">
      <c r="A67" s="1" t="s">
        <v>56</v>
      </c>
      <c r="B67" s="1">
        <v>20</v>
      </c>
      <c r="C67" s="1" t="s">
        <v>51</v>
      </c>
      <c r="D67" s="1">
        <v>0.1215</v>
      </c>
      <c r="E67" s="1">
        <v>0.1943</v>
      </c>
      <c r="F67" s="1">
        <v>0.2767</v>
      </c>
      <c r="G67" s="1">
        <v>0.48370000000000002</v>
      </c>
      <c r="H67" s="1">
        <v>0.42709999999999998</v>
      </c>
      <c r="I67" s="1">
        <v>0.56469999999999998</v>
      </c>
      <c r="J67" s="1">
        <v>0.68540000000000001</v>
      </c>
      <c r="K67" s="1">
        <v>0.8579</v>
      </c>
      <c r="L67" s="1">
        <v>0.78649999999999998</v>
      </c>
      <c r="M67" s="1">
        <v>0.88800000000000001</v>
      </c>
      <c r="N67" s="1">
        <v>0.94140000000000001</v>
      </c>
      <c r="O67" s="1">
        <v>0.98499999999999999</v>
      </c>
      <c r="P67" s="1">
        <v>0.77780000000000005</v>
      </c>
      <c r="Q67" s="1">
        <v>0.87849999999999995</v>
      </c>
      <c r="R67" s="6">
        <v>0.93559999999999999</v>
      </c>
      <c r="S67" s="1">
        <v>0.98509999999999998</v>
      </c>
      <c r="T67" s="1">
        <v>0.76853055916775004</v>
      </c>
      <c r="U67" s="1">
        <v>0.87706311893568101</v>
      </c>
      <c r="V67" s="1">
        <v>0.934480344103231</v>
      </c>
      <c r="W67" s="1">
        <v>0.98079423827148104</v>
      </c>
      <c r="X67" s="1">
        <v>0.76697546574366304</v>
      </c>
      <c r="Y67" s="1">
        <v>0.850758424106688</v>
      </c>
      <c r="Z67" s="1">
        <v>0.89931792731344795</v>
      </c>
      <c r="AA67" s="1">
        <v>0.94512877939529705</v>
      </c>
      <c r="AB67" s="1">
        <v>0.69811946902654898</v>
      </c>
      <c r="AC67" s="1">
        <v>0.78484513274336298</v>
      </c>
      <c r="AD67" s="1">
        <v>0.83528761061946899</v>
      </c>
      <c r="AE67" s="1">
        <v>0.891814159292035</v>
      </c>
    </row>
    <row r="68" spans="1:31" x14ac:dyDescent="0.3">
      <c r="A68" t="s">
        <v>56</v>
      </c>
      <c r="B68">
        <v>30</v>
      </c>
      <c r="C68" t="s">
        <v>51</v>
      </c>
      <c r="D68">
        <v>7.5200000000000003E-2</v>
      </c>
      <c r="E68">
        <v>0.13</v>
      </c>
      <c r="F68">
        <v>0.19689999999999999</v>
      </c>
      <c r="G68">
        <v>0.37930000000000003</v>
      </c>
      <c r="H68">
        <v>0.38640000000000002</v>
      </c>
      <c r="I68">
        <v>0.52349999999999997</v>
      </c>
      <c r="J68">
        <v>0.64249999999999996</v>
      </c>
      <c r="K68">
        <v>0.83340000000000003</v>
      </c>
      <c r="L68">
        <v>0.79590000000000005</v>
      </c>
      <c r="M68">
        <v>0.8982</v>
      </c>
      <c r="N68">
        <v>0.94540000000000002</v>
      </c>
      <c r="O68">
        <v>0.98899999999999999</v>
      </c>
      <c r="P68">
        <v>0.77070000000000005</v>
      </c>
      <c r="Q68">
        <v>0.878</v>
      </c>
      <c r="R68" s="5">
        <v>0.93569999999999998</v>
      </c>
      <c r="S68">
        <v>0.98419999999999996</v>
      </c>
      <c r="T68">
        <v>0.77959999999999996</v>
      </c>
      <c r="U68">
        <v>0.88870000000000005</v>
      </c>
      <c r="V68">
        <v>0.93889999999999996</v>
      </c>
      <c r="W68">
        <v>0.98450000000000004</v>
      </c>
      <c r="X68">
        <v>0.79893702366626596</v>
      </c>
      <c r="Y68">
        <v>0.88377456879261895</v>
      </c>
      <c r="Z68">
        <v>0.92609306056959495</v>
      </c>
      <c r="AA68">
        <v>0.96409947853991196</v>
      </c>
      <c r="AB68">
        <v>0.73949057775937099</v>
      </c>
      <c r="AC68">
        <v>0.82149513356802695</v>
      </c>
      <c r="AD68">
        <v>0.86560364464692496</v>
      </c>
      <c r="AE68">
        <v>0.91602816318078295</v>
      </c>
    </row>
    <row r="69" spans="1:31" x14ac:dyDescent="0.3">
      <c r="A69" t="s">
        <v>56</v>
      </c>
      <c r="B69">
        <v>50</v>
      </c>
      <c r="C69" t="s">
        <v>51</v>
      </c>
      <c r="D69">
        <v>3.4299999999999997E-2</v>
      </c>
      <c r="E69">
        <v>6.7900000000000002E-2</v>
      </c>
      <c r="F69">
        <v>0.1094</v>
      </c>
      <c r="G69">
        <v>0.25230000000000002</v>
      </c>
      <c r="H69">
        <v>0.32840000000000003</v>
      </c>
      <c r="I69">
        <v>0.46439999999999998</v>
      </c>
      <c r="J69">
        <v>0.58679999999999999</v>
      </c>
      <c r="K69">
        <v>0.78969999999999996</v>
      </c>
      <c r="L69">
        <v>0.79259999999999997</v>
      </c>
      <c r="M69">
        <v>0.89639999999999997</v>
      </c>
      <c r="N69">
        <v>0.94820000000000004</v>
      </c>
      <c r="O69">
        <v>0.99</v>
      </c>
      <c r="P69">
        <v>0.77580000000000005</v>
      </c>
      <c r="Q69">
        <v>0.88100000000000001</v>
      </c>
      <c r="R69" s="5">
        <v>0.93689999999999996</v>
      </c>
      <c r="S69">
        <v>0.98699999999999999</v>
      </c>
      <c r="T69">
        <v>0.7732</v>
      </c>
      <c r="U69">
        <v>0.87990000000000002</v>
      </c>
      <c r="V69">
        <v>0.93720000000000003</v>
      </c>
      <c r="W69">
        <v>0.9849</v>
      </c>
      <c r="X69">
        <v>0.78777877787778805</v>
      </c>
      <c r="Y69">
        <v>0.89058905890589102</v>
      </c>
      <c r="Z69">
        <v>0.94319431943194298</v>
      </c>
      <c r="AA69">
        <v>0.98529852985298505</v>
      </c>
      <c r="AB69">
        <v>0.789055427019415</v>
      </c>
      <c r="AC69">
        <v>0.86429936626093995</v>
      </c>
      <c r="AD69">
        <v>0.91238306005432002</v>
      </c>
      <c r="AE69">
        <v>0.95372698923649502</v>
      </c>
    </row>
    <row r="70" spans="1:31" x14ac:dyDescent="0.3">
      <c r="A70" t="s">
        <v>57</v>
      </c>
      <c r="B70">
        <v>20</v>
      </c>
      <c r="C70" t="s">
        <v>51</v>
      </c>
      <c r="D70">
        <v>0</v>
      </c>
      <c r="E70">
        <v>0</v>
      </c>
      <c r="F70">
        <v>0</v>
      </c>
      <c r="G70">
        <v>0</v>
      </c>
      <c r="H70">
        <v>0</v>
      </c>
      <c r="I70">
        <v>3.02145231141138E-4</v>
      </c>
      <c r="J70">
        <v>7.0500553932928401E-4</v>
      </c>
      <c r="K70">
        <v>7.2514855473864203E-3</v>
      </c>
      <c r="L70">
        <v>0.311631163116312</v>
      </c>
      <c r="M70">
        <v>0.44994499449945002</v>
      </c>
      <c r="N70">
        <v>0.57515751575157503</v>
      </c>
      <c r="O70">
        <v>0.79367936793679394</v>
      </c>
      <c r="P70">
        <v>0.53900000000000003</v>
      </c>
      <c r="Q70">
        <v>0.68179999999999996</v>
      </c>
      <c r="R70" s="5">
        <v>0.78320000000000001</v>
      </c>
      <c r="S70">
        <v>0.91649999999999998</v>
      </c>
      <c r="T70">
        <v>0.16839999999999999</v>
      </c>
      <c r="U70">
        <v>0.26400000000000001</v>
      </c>
      <c r="V70">
        <v>0.36730000000000002</v>
      </c>
      <c r="W70">
        <v>0.58730000000000004</v>
      </c>
      <c r="X70">
        <v>0.306730673067307</v>
      </c>
      <c r="Y70">
        <v>0.43794379437943798</v>
      </c>
      <c r="Z70">
        <v>0.54985498549855005</v>
      </c>
      <c r="AA70">
        <v>0.75077507750775097</v>
      </c>
      <c r="AB70">
        <v>0.47672439683652001</v>
      </c>
      <c r="AC70">
        <v>0.61477625387926704</v>
      </c>
      <c r="AD70">
        <v>0.72029232155370904</v>
      </c>
      <c r="AE70">
        <v>0.87516267894684197</v>
      </c>
    </row>
    <row r="71" spans="1:31" x14ac:dyDescent="0.3">
      <c r="A71" t="s">
        <v>57</v>
      </c>
      <c r="B71">
        <v>30</v>
      </c>
      <c r="C71" t="s">
        <v>51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3.0009002700814901E-4</v>
      </c>
      <c r="L71">
        <v>0.25659999999999999</v>
      </c>
      <c r="M71">
        <v>0.3866</v>
      </c>
      <c r="N71">
        <v>0.5131</v>
      </c>
      <c r="O71">
        <v>0.74529999999999996</v>
      </c>
      <c r="P71">
        <v>0.46079999999999999</v>
      </c>
      <c r="Q71">
        <v>0.60660000000000003</v>
      </c>
      <c r="R71" s="5">
        <v>0.72170000000000001</v>
      </c>
      <c r="S71">
        <v>0.88370000000000004</v>
      </c>
      <c r="T71">
        <v>0.1394</v>
      </c>
      <c r="U71">
        <v>0.22850000000000001</v>
      </c>
      <c r="V71">
        <v>0.33429999999999999</v>
      </c>
      <c r="W71">
        <v>0.5585</v>
      </c>
      <c r="X71">
        <v>0.33260000000000001</v>
      </c>
      <c r="Y71">
        <v>0.4602</v>
      </c>
      <c r="Z71">
        <v>0.57369999999999999</v>
      </c>
      <c r="AA71">
        <v>0.77370000000000005</v>
      </c>
      <c r="AB71">
        <v>0.51060000000000005</v>
      </c>
      <c r="AC71">
        <v>0.64459999999999995</v>
      </c>
      <c r="AD71">
        <v>0.74460000000000004</v>
      </c>
      <c r="AE71">
        <v>0.88819999999999999</v>
      </c>
    </row>
    <row r="72" spans="1:31" x14ac:dyDescent="0.3">
      <c r="A72" t="s">
        <v>57</v>
      </c>
      <c r="B72">
        <v>50</v>
      </c>
      <c r="C72" t="s">
        <v>51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0.2034</v>
      </c>
      <c r="M72">
        <v>0.31919999999999998</v>
      </c>
      <c r="N72">
        <v>0.44629999999999997</v>
      </c>
      <c r="O72">
        <v>0.6875</v>
      </c>
      <c r="P72">
        <v>0.34970000000000001</v>
      </c>
      <c r="Q72">
        <v>0.49519999999999997</v>
      </c>
      <c r="R72" s="5">
        <v>0.62009999999999998</v>
      </c>
      <c r="S72">
        <v>0.81810000000000005</v>
      </c>
      <c r="T72">
        <v>0.11119999999999999</v>
      </c>
      <c r="U72">
        <v>0.19320000000000001</v>
      </c>
      <c r="V72">
        <v>0.27660000000000001</v>
      </c>
      <c r="W72">
        <v>0.49969999999999998</v>
      </c>
      <c r="X72">
        <v>0.34289999999999998</v>
      </c>
      <c r="Y72">
        <v>0.4733</v>
      </c>
      <c r="Z72">
        <v>0.59089999999999998</v>
      </c>
      <c r="AA72">
        <v>0.78680000000000005</v>
      </c>
      <c r="AB72">
        <v>0.54290000000000005</v>
      </c>
      <c r="AC72">
        <v>0.67989999999999995</v>
      </c>
      <c r="AD72">
        <v>0.77680000000000005</v>
      </c>
      <c r="AE72">
        <v>0.9103</v>
      </c>
    </row>
    <row r="73" spans="1:31" x14ac:dyDescent="0.3">
      <c r="A73" t="s">
        <v>31</v>
      </c>
      <c r="B73">
        <v>20</v>
      </c>
      <c r="C73" t="s">
        <v>51</v>
      </c>
      <c r="D73">
        <v>3.3099999999999997E-2</v>
      </c>
      <c r="E73">
        <v>6.5600000000000006E-2</v>
      </c>
      <c r="F73">
        <v>0.1081</v>
      </c>
      <c r="G73">
        <v>0.24740000000000001</v>
      </c>
      <c r="H73">
        <v>0.1062</v>
      </c>
      <c r="I73">
        <v>0.17949999999999999</v>
      </c>
      <c r="J73">
        <v>0.26829999999999998</v>
      </c>
      <c r="K73">
        <v>0.48330000000000001</v>
      </c>
      <c r="L73">
        <v>0.45639999999999997</v>
      </c>
      <c r="M73">
        <v>0.59230000000000005</v>
      </c>
      <c r="N73">
        <v>0.70589999999999997</v>
      </c>
      <c r="O73">
        <v>0.87050000000000005</v>
      </c>
      <c r="P73">
        <v>0.7984</v>
      </c>
      <c r="Q73">
        <v>0.89939999999999998</v>
      </c>
      <c r="R73" s="5">
        <v>0.94910000000000005</v>
      </c>
      <c r="S73">
        <v>0.9879</v>
      </c>
      <c r="T73">
        <v>0.45279999999999998</v>
      </c>
      <c r="U73">
        <v>0.59860000000000002</v>
      </c>
      <c r="V73">
        <v>0.7137</v>
      </c>
      <c r="W73">
        <v>0.87809999999999999</v>
      </c>
      <c r="X73">
        <v>0.10929999999999999</v>
      </c>
      <c r="Y73">
        <v>0.18440000000000001</v>
      </c>
      <c r="Z73">
        <v>0.27289999999999998</v>
      </c>
      <c r="AA73">
        <v>0.4889</v>
      </c>
      <c r="AB73">
        <v>3.3599999999999998E-2</v>
      </c>
      <c r="AC73">
        <v>6.7299999999999999E-2</v>
      </c>
      <c r="AD73">
        <v>0.1091</v>
      </c>
      <c r="AE73">
        <v>0.24060000000000001</v>
      </c>
    </row>
    <row r="74" spans="1:31" x14ac:dyDescent="0.3">
      <c r="A74" t="s">
        <v>31</v>
      </c>
      <c r="B74">
        <v>30</v>
      </c>
      <c r="C74" t="s">
        <v>51</v>
      </c>
      <c r="D74">
        <v>2.7099999999999999E-2</v>
      </c>
      <c r="E74">
        <v>5.0899999999999897E-2</v>
      </c>
      <c r="F74">
        <v>8.6800000000000002E-2</v>
      </c>
      <c r="G74">
        <v>0.2112</v>
      </c>
      <c r="H74">
        <v>8.5200000000000095E-2</v>
      </c>
      <c r="I74">
        <v>0.1482</v>
      </c>
      <c r="J74">
        <v>0.22220000000000001</v>
      </c>
      <c r="K74">
        <v>0.42470000000000002</v>
      </c>
      <c r="L74">
        <v>0.41830000000000001</v>
      </c>
      <c r="M74">
        <v>0.56730000000000003</v>
      </c>
      <c r="N74">
        <v>0.68840000000000001</v>
      </c>
      <c r="O74">
        <v>0.86240000000000006</v>
      </c>
      <c r="P74">
        <v>0.79730000000000001</v>
      </c>
      <c r="Q74">
        <v>0.8992</v>
      </c>
      <c r="R74" s="5">
        <v>0.94830000000000003</v>
      </c>
      <c r="S74">
        <v>0.98909999999999998</v>
      </c>
      <c r="T74">
        <v>0.40970000000000001</v>
      </c>
      <c r="U74">
        <v>0.5575</v>
      </c>
      <c r="V74">
        <v>0.67610000000000003</v>
      </c>
      <c r="W74">
        <v>0.85719999999999996</v>
      </c>
      <c r="X74">
        <v>8.7599999999999997E-2</v>
      </c>
      <c r="Y74">
        <v>0.15620000000000001</v>
      </c>
      <c r="Z74">
        <v>0.23100000000000001</v>
      </c>
      <c r="AA74">
        <v>0.42830000000000001</v>
      </c>
      <c r="AB74">
        <v>2.7799999999999998E-2</v>
      </c>
      <c r="AC74">
        <v>5.5100000000000003E-2</v>
      </c>
      <c r="AD74">
        <v>9.5699999999999993E-2</v>
      </c>
      <c r="AE74">
        <v>0.2145</v>
      </c>
    </row>
    <row r="75" spans="1:31" ht="15" thickBot="1" x14ac:dyDescent="0.35">
      <c r="A75" t="s">
        <v>31</v>
      </c>
      <c r="B75">
        <v>50</v>
      </c>
      <c r="C75" t="s">
        <v>51</v>
      </c>
      <c r="D75">
        <v>1.9099999999999999E-2</v>
      </c>
      <c r="E75">
        <v>4.2500000000000003E-2</v>
      </c>
      <c r="F75">
        <v>7.1999999999999995E-2</v>
      </c>
      <c r="G75">
        <v>0.1845</v>
      </c>
      <c r="H75">
        <v>6.7400000000000002E-2</v>
      </c>
      <c r="I75">
        <v>0.12</v>
      </c>
      <c r="J75">
        <v>0.1893</v>
      </c>
      <c r="K75">
        <v>0.37469999999999998</v>
      </c>
      <c r="L75">
        <v>0.37819999999999998</v>
      </c>
      <c r="M75">
        <v>0.52239999999999998</v>
      </c>
      <c r="N75">
        <v>0.63719999999999999</v>
      </c>
      <c r="O75">
        <v>0.83040000000000003</v>
      </c>
      <c r="P75">
        <v>0.79700000000000004</v>
      </c>
      <c r="Q75">
        <v>0.89829999999999999</v>
      </c>
      <c r="R75" s="5">
        <v>0.94869999999999999</v>
      </c>
      <c r="S75">
        <v>0.98960000000000004</v>
      </c>
      <c r="T75">
        <v>0.37830000000000003</v>
      </c>
      <c r="U75">
        <v>0.52</v>
      </c>
      <c r="V75">
        <v>0.63900000000000001</v>
      </c>
      <c r="W75">
        <v>0.83250000000000002</v>
      </c>
      <c r="X75">
        <v>6.8599999999999994E-2</v>
      </c>
      <c r="Y75">
        <v>0.1245</v>
      </c>
      <c r="Z75">
        <v>0.19040000000000001</v>
      </c>
      <c r="AA75">
        <v>0.37759999999999999</v>
      </c>
      <c r="AB75">
        <v>1.84E-2</v>
      </c>
      <c r="AC75">
        <v>3.9899999999999998E-2</v>
      </c>
      <c r="AD75">
        <v>7.0999999999999994E-2</v>
      </c>
      <c r="AE75">
        <v>0.1757</v>
      </c>
    </row>
    <row r="76" spans="1:31" ht="15" thickTop="1" x14ac:dyDescent="0.3">
      <c r="A76" s="1" t="s">
        <v>56</v>
      </c>
      <c r="B76" s="1">
        <v>20</v>
      </c>
      <c r="C76" s="8" t="s">
        <v>79</v>
      </c>
      <c r="D76" s="1">
        <v>0.73356326794567805</v>
      </c>
      <c r="E76" s="1">
        <v>0.82248329381332197</v>
      </c>
      <c r="F76" s="1">
        <v>0.87163181720198302</v>
      </c>
      <c r="G76" s="1">
        <v>0.91873248544944996</v>
      </c>
      <c r="H76" s="1">
        <v>0.79306084628847895</v>
      </c>
      <c r="I76" s="1">
        <v>0.86584989189745698</v>
      </c>
      <c r="J76" s="1">
        <v>0.90414907855451498</v>
      </c>
      <c r="K76" s="1">
        <v>0.94594872850818501</v>
      </c>
      <c r="L76" s="1">
        <v>0.79909909909909904</v>
      </c>
      <c r="M76" s="1">
        <v>0.90220220220220204</v>
      </c>
      <c r="N76" s="1">
        <v>0.95075075075075099</v>
      </c>
      <c r="O76" s="1">
        <v>0.98818818818818799</v>
      </c>
      <c r="P76" s="1">
        <v>0.79620000000000002</v>
      </c>
      <c r="Q76" s="1">
        <v>0.89490000000000003</v>
      </c>
      <c r="R76" s="6">
        <v>0.94850000000000001</v>
      </c>
      <c r="S76" s="1">
        <v>0.98919999999999997</v>
      </c>
      <c r="T76" s="1">
        <v>0.799618894794905</v>
      </c>
      <c r="U76" s="1">
        <v>0.89960886571056098</v>
      </c>
      <c r="V76" s="1">
        <v>0.95236184936315305</v>
      </c>
      <c r="W76" s="1">
        <v>0.99187644168087497</v>
      </c>
      <c r="X76" s="1">
        <v>0.83848797250859097</v>
      </c>
      <c r="Y76" s="1">
        <v>0.91264826515907305</v>
      </c>
      <c r="Z76" s="1">
        <v>0.94801019842589496</v>
      </c>
      <c r="AA76" s="1">
        <v>0.96929386985921695</v>
      </c>
      <c r="AB76" s="1">
        <v>0.79818299805321202</v>
      </c>
      <c r="AC76" s="1">
        <v>0.89876703439325101</v>
      </c>
      <c r="AD76" s="1">
        <v>0.92050616482803405</v>
      </c>
      <c r="AE76" s="1">
        <v>0.95457495133030501</v>
      </c>
    </row>
    <row r="77" spans="1:31" x14ac:dyDescent="0.3">
      <c r="A77" t="s">
        <v>56</v>
      </c>
      <c r="B77">
        <v>30</v>
      </c>
      <c r="C77" s="9" t="s">
        <v>79</v>
      </c>
      <c r="D77">
        <v>0.75905984675916305</v>
      </c>
      <c r="E77">
        <v>0.84375647131911402</v>
      </c>
      <c r="F77">
        <v>0.88206668047214698</v>
      </c>
      <c r="G77">
        <v>0.92524332159867495</v>
      </c>
      <c r="H77">
        <v>0.803018027141989</v>
      </c>
      <c r="I77">
        <v>0.89467287826615305</v>
      </c>
      <c r="J77">
        <v>0.93518330970224794</v>
      </c>
      <c r="K77">
        <v>0.96900951995138795</v>
      </c>
      <c r="L77">
        <v>0.805080508050805</v>
      </c>
      <c r="M77">
        <v>0.90339033903390298</v>
      </c>
      <c r="N77">
        <v>0.95029502950294997</v>
      </c>
      <c r="O77">
        <v>0.99189918991899195</v>
      </c>
      <c r="P77">
        <v>0.79710000000000003</v>
      </c>
      <c r="Q77">
        <v>0.89470000000000005</v>
      </c>
      <c r="R77" s="5">
        <v>0.94750000000000001</v>
      </c>
      <c r="S77">
        <v>0.9909</v>
      </c>
      <c r="T77">
        <v>0.79603881164349299</v>
      </c>
      <c r="U77">
        <v>0.90267080124037202</v>
      </c>
      <c r="V77">
        <v>0.94718415524657396</v>
      </c>
      <c r="W77">
        <v>0.99049714914474296</v>
      </c>
      <c r="X77">
        <v>0.80931056029993798</v>
      </c>
      <c r="Y77">
        <v>0.94553218079566803</v>
      </c>
      <c r="Z77">
        <v>0.958966881899604</v>
      </c>
      <c r="AA77">
        <v>0.984065819620912</v>
      </c>
      <c r="AB77">
        <v>0.87181663837011902</v>
      </c>
      <c r="AC77">
        <v>0.90104292990540902</v>
      </c>
      <c r="AD77">
        <v>0.94591317002182895</v>
      </c>
      <c r="AE77">
        <v>0.96919718651467401</v>
      </c>
    </row>
    <row r="78" spans="1:31" x14ac:dyDescent="0.3">
      <c r="A78" t="s">
        <v>56</v>
      </c>
      <c r="B78">
        <v>50</v>
      </c>
      <c r="C78" s="9" t="s">
        <v>79</v>
      </c>
      <c r="D78">
        <v>0.79961620038379999</v>
      </c>
      <c r="E78">
        <v>0.87809312190687805</v>
      </c>
      <c r="F78">
        <v>0.91586708413291595</v>
      </c>
      <c r="G78">
        <v>0.95222704777295197</v>
      </c>
      <c r="H78">
        <v>0.80560560560560601</v>
      </c>
      <c r="I78">
        <v>0.90580580580580605</v>
      </c>
      <c r="J78">
        <v>0.95195195195195204</v>
      </c>
      <c r="K78">
        <v>0.98848848848848803</v>
      </c>
      <c r="L78">
        <v>0.79830000000000001</v>
      </c>
      <c r="M78">
        <v>0.90149999999999997</v>
      </c>
      <c r="N78">
        <v>0.95279999999999998</v>
      </c>
      <c r="O78">
        <v>0.98970000000000002</v>
      </c>
      <c r="P78">
        <v>0.81100000000000005</v>
      </c>
      <c r="Q78">
        <v>0.90669999999999995</v>
      </c>
      <c r="R78" s="5">
        <v>0.95320000000000005</v>
      </c>
      <c r="S78">
        <v>0.99029999999999996</v>
      </c>
      <c r="T78">
        <v>0.79690000000000005</v>
      </c>
      <c r="U78">
        <v>0.89510000000000001</v>
      </c>
      <c r="V78">
        <v>0.94650000000000001</v>
      </c>
      <c r="W78">
        <v>0.98609999999999998</v>
      </c>
      <c r="X78">
        <v>0.78996263758456997</v>
      </c>
      <c r="Y78">
        <v>0.90871453095021704</v>
      </c>
      <c r="Z78">
        <v>0.94627890538220705</v>
      </c>
      <c r="AA78">
        <v>0.99394122993032397</v>
      </c>
      <c r="AB78">
        <v>0.86989877464038401</v>
      </c>
      <c r="AC78">
        <v>0.93809270111880705</v>
      </c>
      <c r="AD78">
        <v>0.96622269579115605</v>
      </c>
      <c r="AE78">
        <v>0.982099094299414</v>
      </c>
    </row>
    <row r="79" spans="1:31" x14ac:dyDescent="0.3">
      <c r="A79" t="s">
        <v>57</v>
      </c>
      <c r="B79">
        <v>20</v>
      </c>
      <c r="C79" s="9" t="s">
        <v>79</v>
      </c>
      <c r="D79">
        <v>0.40748149629926</v>
      </c>
      <c r="E79">
        <v>0.53770754150830202</v>
      </c>
      <c r="F79">
        <v>0.65433086617323499</v>
      </c>
      <c r="G79">
        <v>0.83086617323464695</v>
      </c>
      <c r="H79">
        <v>0.71169818873211299</v>
      </c>
      <c r="I79">
        <v>0.82487741418993299</v>
      </c>
      <c r="J79">
        <v>0.89202441709196401</v>
      </c>
      <c r="K79">
        <v>0.96377464224957499</v>
      </c>
      <c r="L79">
        <v>0.79243773131939599</v>
      </c>
      <c r="M79">
        <v>0.89166750025007502</v>
      </c>
      <c r="N79">
        <v>0.94018205461638504</v>
      </c>
      <c r="O79">
        <v>0.984295288586576</v>
      </c>
      <c r="P79">
        <v>0.79039999999999999</v>
      </c>
      <c r="Q79">
        <v>0.88800000000000001</v>
      </c>
      <c r="R79" s="5">
        <v>0.94059999999999999</v>
      </c>
      <c r="S79">
        <v>0.98599999999999999</v>
      </c>
      <c r="T79">
        <v>0.79073258606885499</v>
      </c>
      <c r="U79">
        <v>0.89951961569255401</v>
      </c>
      <c r="V79">
        <v>0.94795836669335498</v>
      </c>
      <c r="W79">
        <v>0.98839071257005595</v>
      </c>
      <c r="X79">
        <v>0.81862797396777998</v>
      </c>
      <c r="Y79">
        <v>0.883815213912301</v>
      </c>
      <c r="Z79">
        <v>0.92243678651445604</v>
      </c>
      <c r="AA79">
        <v>0.95412354635655605</v>
      </c>
      <c r="AB79">
        <v>0.77345387840670898</v>
      </c>
      <c r="AC79">
        <v>0.85324947589098499</v>
      </c>
      <c r="AD79">
        <v>0.88390985324947602</v>
      </c>
      <c r="AE79">
        <v>0.92256289308176098</v>
      </c>
    </row>
    <row r="80" spans="1:31" x14ac:dyDescent="0.3">
      <c r="A80" t="s">
        <v>57</v>
      </c>
      <c r="B80">
        <v>30</v>
      </c>
      <c r="C80" s="9" t="s">
        <v>79</v>
      </c>
      <c r="D80">
        <v>0.51615161516151598</v>
      </c>
      <c r="E80">
        <v>0.650565056505651</v>
      </c>
      <c r="F80">
        <v>0.75787578757875795</v>
      </c>
      <c r="G80">
        <v>0.89848984898489803</v>
      </c>
      <c r="H80">
        <v>0.76259999999999994</v>
      </c>
      <c r="I80">
        <v>0.86699999999999999</v>
      </c>
      <c r="J80">
        <v>0.92530000000000001</v>
      </c>
      <c r="K80">
        <v>0.9788</v>
      </c>
      <c r="L80">
        <v>0.79779999999999995</v>
      </c>
      <c r="M80">
        <v>0.8931</v>
      </c>
      <c r="N80">
        <v>0.94350000000000001</v>
      </c>
      <c r="O80">
        <v>0.98819999999999997</v>
      </c>
      <c r="P80">
        <v>0.7994</v>
      </c>
      <c r="Q80">
        <v>0.89649999999999996</v>
      </c>
      <c r="R80" s="5">
        <v>0.94879999999999998</v>
      </c>
      <c r="S80">
        <v>0.98960000000000004</v>
      </c>
      <c r="T80">
        <v>0.80159999999999998</v>
      </c>
      <c r="U80">
        <v>0.90139999999999998</v>
      </c>
      <c r="V80">
        <v>0.95009999999999994</v>
      </c>
      <c r="W80">
        <v>0.98960000000000004</v>
      </c>
      <c r="X80">
        <v>0.81232806928171197</v>
      </c>
      <c r="Y80">
        <v>0.91390728476821204</v>
      </c>
      <c r="Z80">
        <v>0.94416709118695896</v>
      </c>
      <c r="AA80">
        <v>0.97228731533367296</v>
      </c>
      <c r="AB80">
        <v>0.81960738761760998</v>
      </c>
      <c r="AC80">
        <v>0.87106516436287595</v>
      </c>
      <c r="AD80">
        <v>0.91253339528400501</v>
      </c>
      <c r="AE80">
        <v>0.94517365547682697</v>
      </c>
    </row>
    <row r="81" spans="1:31" x14ac:dyDescent="0.3">
      <c r="A81" t="s">
        <v>57</v>
      </c>
      <c r="B81">
        <v>50</v>
      </c>
      <c r="C81" s="9" t="s">
        <v>79</v>
      </c>
      <c r="D81">
        <v>0.65029999999999999</v>
      </c>
      <c r="E81">
        <v>0.76939999999999997</v>
      </c>
      <c r="F81">
        <v>0.8538</v>
      </c>
      <c r="G81">
        <v>0.94850000000000001</v>
      </c>
      <c r="H81">
        <v>0.79500000000000004</v>
      </c>
      <c r="I81">
        <v>0.89549999999999996</v>
      </c>
      <c r="J81">
        <v>0.94840000000000002</v>
      </c>
      <c r="K81">
        <v>0.98729999999999996</v>
      </c>
      <c r="L81">
        <v>0.80010000000000003</v>
      </c>
      <c r="M81">
        <v>0.90049999999999997</v>
      </c>
      <c r="N81">
        <v>0.94840000000000002</v>
      </c>
      <c r="O81">
        <v>0.99070000000000003</v>
      </c>
      <c r="P81">
        <v>0.8014</v>
      </c>
      <c r="Q81">
        <v>0.89980000000000004</v>
      </c>
      <c r="R81" s="5">
        <v>0.9506</v>
      </c>
      <c r="S81">
        <v>0.98919999999999997</v>
      </c>
      <c r="T81">
        <v>0.79710000000000003</v>
      </c>
      <c r="U81">
        <v>0.89690000000000003</v>
      </c>
      <c r="V81">
        <v>0.94840000000000002</v>
      </c>
      <c r="W81">
        <v>0.99039999999999995</v>
      </c>
      <c r="X81">
        <v>0.791005822124071</v>
      </c>
      <c r="Y81">
        <v>0.90915478819514195</v>
      </c>
      <c r="Z81">
        <v>0.94659706886167405</v>
      </c>
      <c r="AA81">
        <v>0.99126681389279303</v>
      </c>
      <c r="AB81">
        <v>0.85759195221628404</v>
      </c>
      <c r="AC81">
        <v>0.92193230640259904</v>
      </c>
      <c r="AD81">
        <v>0.951692339935031</v>
      </c>
      <c r="AE81">
        <v>0.97191658807502901</v>
      </c>
    </row>
    <row r="82" spans="1:31" x14ac:dyDescent="0.3">
      <c r="A82" t="s">
        <v>31</v>
      </c>
      <c r="B82">
        <v>20</v>
      </c>
      <c r="C82" s="9" t="s">
        <v>79</v>
      </c>
      <c r="D82">
        <v>0.717112788835507</v>
      </c>
      <c r="E82">
        <v>0.80061770761839401</v>
      </c>
      <c r="F82">
        <v>0.844429192404484</v>
      </c>
      <c r="G82">
        <v>0.89579043697094496</v>
      </c>
      <c r="H82">
        <v>0.78530898586608899</v>
      </c>
      <c r="I82">
        <v>0.86154957185597902</v>
      </c>
      <c r="J82">
        <v>0.90395130506551102</v>
      </c>
      <c r="K82">
        <v>0.94501186423191996</v>
      </c>
      <c r="L82">
        <v>0.78975795159031803</v>
      </c>
      <c r="M82">
        <v>0.89557911582316496</v>
      </c>
      <c r="N82">
        <v>0.94558911782356503</v>
      </c>
      <c r="O82">
        <v>0.98589717943588695</v>
      </c>
      <c r="P82">
        <v>0.80479999999999996</v>
      </c>
      <c r="Q82">
        <v>0.90400000000000003</v>
      </c>
      <c r="R82" s="5">
        <v>0.95399999999999996</v>
      </c>
      <c r="S82">
        <v>0.99080000000000001</v>
      </c>
      <c r="T82">
        <v>0.806244995996797</v>
      </c>
      <c r="U82">
        <v>0.91032826261008803</v>
      </c>
      <c r="V82">
        <v>0.95286228983186505</v>
      </c>
      <c r="W82">
        <v>0.98608887109687704</v>
      </c>
      <c r="X82">
        <v>0.78541171608637295</v>
      </c>
      <c r="Y82">
        <v>0.86041946482074605</v>
      </c>
      <c r="Z82">
        <v>0.90391569377001801</v>
      </c>
      <c r="AA82">
        <v>0.94420911251162298</v>
      </c>
      <c r="AB82">
        <v>0.72022988505747099</v>
      </c>
      <c r="AC82">
        <v>0.79620689655172405</v>
      </c>
      <c r="AD82">
        <v>0.84344827586206905</v>
      </c>
      <c r="AE82">
        <v>0.89632183908046004</v>
      </c>
    </row>
    <row r="83" spans="1:31" x14ac:dyDescent="0.3">
      <c r="A83" t="s">
        <v>31</v>
      </c>
      <c r="B83">
        <v>30</v>
      </c>
      <c r="C83" s="9" t="s">
        <v>79</v>
      </c>
      <c r="D83">
        <v>0.76894061860114205</v>
      </c>
      <c r="E83">
        <v>0.84039228365125596</v>
      </c>
      <c r="F83">
        <v>0.88274598555878903</v>
      </c>
      <c r="G83">
        <v>0.92229766138592495</v>
      </c>
      <c r="H83">
        <v>0.81439547108774801</v>
      </c>
      <c r="I83">
        <v>0.89921148402749695</v>
      </c>
      <c r="J83">
        <v>0.93247068338050998</v>
      </c>
      <c r="K83">
        <v>0.96583097452486899</v>
      </c>
      <c r="L83">
        <v>0.80469999999999997</v>
      </c>
      <c r="M83">
        <v>0.90169999999999995</v>
      </c>
      <c r="N83">
        <v>0.95240000000000002</v>
      </c>
      <c r="O83">
        <v>0.99019999999999997</v>
      </c>
      <c r="P83">
        <v>0.79649999999999999</v>
      </c>
      <c r="Q83">
        <v>0.89680000000000004</v>
      </c>
      <c r="R83" s="5">
        <v>0.94810000000000005</v>
      </c>
      <c r="S83">
        <v>0.98960000000000004</v>
      </c>
      <c r="T83">
        <v>0.79979999999999996</v>
      </c>
      <c r="U83">
        <v>0.89629999999999999</v>
      </c>
      <c r="V83">
        <v>0.94720000000000004</v>
      </c>
      <c r="W83">
        <v>0.99</v>
      </c>
      <c r="X83">
        <v>0.81428715772456295</v>
      </c>
      <c r="Y83">
        <v>0.89764575123774903</v>
      </c>
      <c r="Z83">
        <v>0.93492977670000998</v>
      </c>
      <c r="AA83">
        <v>0.96797009194705497</v>
      </c>
      <c r="AB83">
        <v>0.76624499945940105</v>
      </c>
      <c r="AC83">
        <v>0.83673910693047904</v>
      </c>
      <c r="AD83">
        <v>0.87620283273867405</v>
      </c>
      <c r="AE83">
        <v>0.91999135041626101</v>
      </c>
    </row>
    <row r="84" spans="1:31" ht="15" thickBot="1" x14ac:dyDescent="0.35">
      <c r="A84" t="s">
        <v>31</v>
      </c>
      <c r="B84">
        <v>50</v>
      </c>
      <c r="C84" s="9" t="s">
        <v>79</v>
      </c>
      <c r="D84">
        <v>0.82521284234280401</v>
      </c>
      <c r="E84">
        <v>0.89034772797210004</v>
      </c>
      <c r="F84">
        <v>0.92717201764283497</v>
      </c>
      <c r="G84">
        <v>0.95722638219304501</v>
      </c>
      <c r="H84">
        <v>0.79372871168102599</v>
      </c>
      <c r="I84">
        <v>0.905730314566219</v>
      </c>
      <c r="J84">
        <v>0.95131236225205396</v>
      </c>
      <c r="K84">
        <v>0.98948106591865403</v>
      </c>
      <c r="L84">
        <v>0.80320000000000003</v>
      </c>
      <c r="M84">
        <v>0.8992</v>
      </c>
      <c r="N84">
        <v>0.95120000000000005</v>
      </c>
      <c r="O84">
        <v>0.99099999999999999</v>
      </c>
      <c r="P84">
        <v>0.79849999999999999</v>
      </c>
      <c r="Q84">
        <v>0.89929999999999999</v>
      </c>
      <c r="R84" s="5">
        <v>0.95199999999999996</v>
      </c>
      <c r="S84">
        <v>0.99129999999999996</v>
      </c>
      <c r="T84">
        <v>0.80169999999999997</v>
      </c>
      <c r="U84">
        <v>0.89859999999999995</v>
      </c>
      <c r="V84">
        <v>0.94850000000000001</v>
      </c>
      <c r="W84">
        <v>0.99039999999999995</v>
      </c>
      <c r="X84">
        <v>0.787016629933881</v>
      </c>
      <c r="Y84">
        <v>0.90052093768783803</v>
      </c>
      <c r="Z84">
        <v>0.94760569024243602</v>
      </c>
      <c r="AA84">
        <v>0.98807854137447404</v>
      </c>
      <c r="AB84">
        <v>0.828057553956835</v>
      </c>
      <c r="AC84">
        <v>0.894964028776978</v>
      </c>
      <c r="AD84">
        <v>0.92805755395683498</v>
      </c>
      <c r="AE84">
        <v>0.95714285714285696</v>
      </c>
    </row>
    <row r="85" spans="1:31" ht="15" thickTop="1" x14ac:dyDescent="0.3">
      <c r="A85" s="1" t="s">
        <v>56</v>
      </c>
      <c r="B85" s="1">
        <v>20</v>
      </c>
      <c r="C85" s="1" t="s">
        <v>44</v>
      </c>
      <c r="D85" s="1">
        <v>0.65380000000000005</v>
      </c>
      <c r="E85" s="1">
        <v>0.79049999999999998</v>
      </c>
      <c r="F85" s="1">
        <v>0.87770000000000004</v>
      </c>
      <c r="G85" s="1">
        <v>0.9728</v>
      </c>
      <c r="H85" s="1">
        <v>0.79500000000000004</v>
      </c>
      <c r="I85" s="1">
        <v>0.88749999999999996</v>
      </c>
      <c r="J85" s="1">
        <v>0.93559999999999999</v>
      </c>
      <c r="K85" s="1">
        <v>0.97889999999999999</v>
      </c>
      <c r="L85" s="1">
        <v>0.83</v>
      </c>
      <c r="M85" s="1">
        <v>0.92379999999999995</v>
      </c>
      <c r="N85" s="1">
        <v>0.96409999999999996</v>
      </c>
      <c r="O85" s="1">
        <v>0.99150000000000005</v>
      </c>
      <c r="P85" s="1">
        <v>0.83140000000000003</v>
      </c>
      <c r="Q85" s="1">
        <v>0.92390000000000005</v>
      </c>
      <c r="R85" s="6">
        <v>0.96730000000000005</v>
      </c>
      <c r="S85" s="1">
        <v>0.99480000000000002</v>
      </c>
      <c r="T85" s="1">
        <v>0.83079999999999998</v>
      </c>
      <c r="U85" s="1">
        <v>0.92349999999999999</v>
      </c>
      <c r="V85" s="1">
        <v>0.96530000000000005</v>
      </c>
      <c r="W85" s="1">
        <v>0.99139999999999995</v>
      </c>
      <c r="X85" s="1">
        <v>0.8</v>
      </c>
      <c r="Y85" s="1">
        <v>0.8569</v>
      </c>
      <c r="Z85" s="1">
        <v>0.88619999999999999</v>
      </c>
      <c r="AA85" s="1">
        <v>0.91180000000000005</v>
      </c>
      <c r="AB85" s="1">
        <v>0.61691242852843797</v>
      </c>
      <c r="AC85" s="1">
        <v>0.67810211656134001</v>
      </c>
      <c r="AD85" s="1">
        <v>0.70729260708195396</v>
      </c>
      <c r="AE85" s="1">
        <v>0.73116661651118497</v>
      </c>
    </row>
    <row r="86" spans="1:31" x14ac:dyDescent="0.3">
      <c r="A86" t="s">
        <v>56</v>
      </c>
      <c r="B86">
        <v>30</v>
      </c>
      <c r="C86" t="s">
        <v>44</v>
      </c>
      <c r="D86">
        <v>0.63519999999999999</v>
      </c>
      <c r="E86">
        <v>0.77359999999999995</v>
      </c>
      <c r="F86">
        <v>0.86429999999999996</v>
      </c>
      <c r="G86">
        <v>0.96240000000000003</v>
      </c>
      <c r="H86">
        <v>0.78580000000000005</v>
      </c>
      <c r="I86">
        <v>0.88600000000000001</v>
      </c>
      <c r="J86">
        <v>0.93679999999999997</v>
      </c>
      <c r="K86">
        <v>0.9819</v>
      </c>
      <c r="L86">
        <v>0.82820000000000005</v>
      </c>
      <c r="M86">
        <v>0.92130000000000001</v>
      </c>
      <c r="N86">
        <v>0.96250000000000002</v>
      </c>
      <c r="O86">
        <v>0.99509999999999998</v>
      </c>
      <c r="P86">
        <v>0.82169999999999999</v>
      </c>
      <c r="Q86">
        <v>0.91520000000000001</v>
      </c>
      <c r="R86" s="5">
        <v>0.96</v>
      </c>
      <c r="S86">
        <v>0.99490000000000001</v>
      </c>
      <c r="T86">
        <v>0.82410000000000005</v>
      </c>
      <c r="U86">
        <v>0.91890000000000005</v>
      </c>
      <c r="V86">
        <v>0.96489999999999998</v>
      </c>
      <c r="W86">
        <v>0.99329999999999996</v>
      </c>
      <c r="X86">
        <v>0.85099999999999998</v>
      </c>
      <c r="Y86">
        <v>0.90980000000000005</v>
      </c>
      <c r="Z86">
        <v>0.93669999999999998</v>
      </c>
      <c r="AA86">
        <v>0.96130000000000004</v>
      </c>
      <c r="AB86">
        <v>0.7288</v>
      </c>
      <c r="AC86">
        <v>0.78749999999999998</v>
      </c>
      <c r="AD86">
        <v>0.81359999999999999</v>
      </c>
      <c r="AE86">
        <v>0.83879999999999999</v>
      </c>
    </row>
    <row r="87" spans="1:31" x14ac:dyDescent="0.3">
      <c r="A87" t="s">
        <v>56</v>
      </c>
      <c r="B87">
        <v>50</v>
      </c>
      <c r="C87" t="s">
        <v>44</v>
      </c>
      <c r="D87">
        <v>0.59540000000000004</v>
      </c>
      <c r="E87">
        <v>0.73629999999999995</v>
      </c>
      <c r="F87">
        <v>0.83440000000000003</v>
      </c>
      <c r="G87">
        <v>0.94530000000000003</v>
      </c>
      <c r="H87">
        <v>0.78549999999999998</v>
      </c>
      <c r="I87">
        <v>0.88800000000000001</v>
      </c>
      <c r="J87">
        <v>0.94240000000000002</v>
      </c>
      <c r="K87">
        <v>0.98619999999999997</v>
      </c>
      <c r="L87">
        <v>0.81679999999999997</v>
      </c>
      <c r="M87">
        <v>0.91459999999999997</v>
      </c>
      <c r="N87">
        <v>0.95920000000000005</v>
      </c>
      <c r="O87">
        <v>0.99199999999999999</v>
      </c>
      <c r="P87">
        <v>0.82369999999999999</v>
      </c>
      <c r="Q87">
        <v>0.91490000000000005</v>
      </c>
      <c r="R87" s="5">
        <v>0.96150000000000002</v>
      </c>
      <c r="S87">
        <v>0.99299999999999999</v>
      </c>
      <c r="T87">
        <v>0.81299999999999994</v>
      </c>
      <c r="U87">
        <v>0.90739999999999998</v>
      </c>
      <c r="V87">
        <v>0.9556</v>
      </c>
      <c r="W87">
        <v>0.99080000000000001</v>
      </c>
      <c r="X87">
        <v>0.81569999999999998</v>
      </c>
      <c r="Y87">
        <v>0.91339999999999999</v>
      </c>
      <c r="Z87">
        <v>0.96</v>
      </c>
      <c r="AA87">
        <v>0.99060000000000004</v>
      </c>
      <c r="AB87">
        <v>0.81850000000000001</v>
      </c>
      <c r="AC87">
        <v>0.88019999999999998</v>
      </c>
      <c r="AD87">
        <v>0.9093</v>
      </c>
      <c r="AE87">
        <v>0.93469999999999998</v>
      </c>
    </row>
    <row r="88" spans="1:31" x14ac:dyDescent="0.3">
      <c r="A88" t="s">
        <v>57</v>
      </c>
      <c r="B88">
        <v>20</v>
      </c>
      <c r="C88" t="s">
        <v>44</v>
      </c>
      <c r="D88">
        <v>6.09999999999999E-3</v>
      </c>
      <c r="E88">
        <v>1.45999999999999E-2</v>
      </c>
      <c r="F88">
        <v>3.2000000000000001E-2</v>
      </c>
      <c r="G88">
        <v>0.16070000000000001</v>
      </c>
      <c r="H88">
        <v>0.12790000000000001</v>
      </c>
      <c r="I88">
        <v>0.2321</v>
      </c>
      <c r="J88">
        <v>0.34810000000000002</v>
      </c>
      <c r="K88">
        <v>0.65869999999999995</v>
      </c>
      <c r="L88">
        <v>0.79269999999999996</v>
      </c>
      <c r="M88">
        <v>0.89410000000000001</v>
      </c>
      <c r="N88">
        <v>0.94850000000000001</v>
      </c>
      <c r="O88">
        <v>0.99060000000000004</v>
      </c>
      <c r="P88">
        <v>0.74980000000000002</v>
      </c>
      <c r="Q88">
        <v>0.8649</v>
      </c>
      <c r="R88" s="5">
        <v>0.92649999999999999</v>
      </c>
      <c r="S88">
        <v>0.98419999999999996</v>
      </c>
      <c r="T88">
        <v>0.77500000000000002</v>
      </c>
      <c r="U88">
        <v>0.88600000000000001</v>
      </c>
      <c r="V88">
        <v>0.94359999999999999</v>
      </c>
      <c r="W88">
        <v>0.98929999999999996</v>
      </c>
      <c r="X88">
        <v>0.77329999999999999</v>
      </c>
      <c r="Y88">
        <v>0.85770000000000002</v>
      </c>
      <c r="Z88">
        <v>0.9022</v>
      </c>
      <c r="AA88">
        <v>0.94689999999999996</v>
      </c>
      <c r="AB88">
        <v>0.67559999999999998</v>
      </c>
      <c r="AC88">
        <v>0.75360000000000005</v>
      </c>
      <c r="AD88">
        <v>0.79690000000000005</v>
      </c>
      <c r="AE88">
        <v>0.84140000000000004</v>
      </c>
    </row>
    <row r="89" spans="1:31" x14ac:dyDescent="0.3">
      <c r="A89" t="s">
        <v>57</v>
      </c>
      <c r="B89">
        <v>30</v>
      </c>
      <c r="C89" t="s">
        <v>44</v>
      </c>
      <c r="D89">
        <v>9.0000000000001201E-4</v>
      </c>
      <c r="E89">
        <v>3.6000000000000502E-3</v>
      </c>
      <c r="F89">
        <v>7.1999999999999799E-3</v>
      </c>
      <c r="G89">
        <v>3.61E-2</v>
      </c>
      <c r="H89">
        <v>6.8400000000000002E-2</v>
      </c>
      <c r="I89">
        <v>0.1356</v>
      </c>
      <c r="J89">
        <v>0.22309999999999999</v>
      </c>
      <c r="K89">
        <v>0.45879999999999999</v>
      </c>
      <c r="L89">
        <v>0.79500000000000004</v>
      </c>
      <c r="M89">
        <v>0.89539999999999997</v>
      </c>
      <c r="N89">
        <v>0.94259999999999999</v>
      </c>
      <c r="O89">
        <v>0.98929999999999996</v>
      </c>
      <c r="P89">
        <v>0.71779999999999999</v>
      </c>
      <c r="Q89">
        <v>0.8397</v>
      </c>
      <c r="R89" s="5">
        <v>0.9133</v>
      </c>
      <c r="S89">
        <v>0.98050000000000004</v>
      </c>
      <c r="T89">
        <v>0.77400000000000002</v>
      </c>
      <c r="U89">
        <v>0.88260000000000005</v>
      </c>
      <c r="V89">
        <v>0.9395</v>
      </c>
      <c r="W89">
        <v>0.98850000000000005</v>
      </c>
      <c r="X89">
        <v>0.80020000000000002</v>
      </c>
      <c r="Y89">
        <v>0.88759999999999994</v>
      </c>
      <c r="Z89">
        <v>0.93459999999999999</v>
      </c>
      <c r="AA89">
        <v>0.97199999999999998</v>
      </c>
      <c r="AB89">
        <v>0.72850000000000004</v>
      </c>
      <c r="AC89">
        <v>0.80900000000000005</v>
      </c>
      <c r="AD89">
        <v>0.85060000000000002</v>
      </c>
      <c r="AE89">
        <v>0.89639999999999997</v>
      </c>
    </row>
    <row r="90" spans="1:31" x14ac:dyDescent="0.3">
      <c r="A90" t="s">
        <v>57</v>
      </c>
      <c r="B90">
        <v>50</v>
      </c>
      <c r="C90" t="s">
        <v>44</v>
      </c>
      <c r="D90" s="3">
        <v>9.9999999999989E-5</v>
      </c>
      <c r="E90">
        <v>1.99999999999978E-4</v>
      </c>
      <c r="F90">
        <v>4.9999999999994504E-4</v>
      </c>
      <c r="G90">
        <v>3.9000000000000098E-3</v>
      </c>
      <c r="H90">
        <v>2.8199999999999999E-2</v>
      </c>
      <c r="I90">
        <v>5.9700000000000003E-2</v>
      </c>
      <c r="J90">
        <v>0.10589999999999999</v>
      </c>
      <c r="K90">
        <v>0.26950000000000002</v>
      </c>
      <c r="L90">
        <v>0.79300000000000004</v>
      </c>
      <c r="M90">
        <v>0.89939999999999998</v>
      </c>
      <c r="N90">
        <v>0.94899999999999995</v>
      </c>
      <c r="O90">
        <v>0.9889</v>
      </c>
      <c r="P90">
        <v>0.68420000000000003</v>
      </c>
      <c r="Q90">
        <v>0.80979999999999996</v>
      </c>
      <c r="R90" s="5">
        <v>0.88919999999999999</v>
      </c>
      <c r="S90">
        <v>0.9698</v>
      </c>
      <c r="T90">
        <v>0.75049999999999994</v>
      </c>
      <c r="U90">
        <v>0.86529999999999996</v>
      </c>
      <c r="V90">
        <v>0.92789999999999995</v>
      </c>
      <c r="W90">
        <v>0.98329999999999995</v>
      </c>
      <c r="X90">
        <v>0.79700000000000004</v>
      </c>
      <c r="Y90">
        <v>0.89580000000000004</v>
      </c>
      <c r="Z90">
        <v>0.9466</v>
      </c>
      <c r="AA90">
        <v>0.98519999999999996</v>
      </c>
      <c r="AB90">
        <v>0.79610000000000003</v>
      </c>
      <c r="AC90">
        <v>0.87670000000000003</v>
      </c>
      <c r="AD90">
        <v>0.91890000000000005</v>
      </c>
      <c r="AE90">
        <v>0.95430000000000004</v>
      </c>
    </row>
    <row r="91" spans="1:31" x14ac:dyDescent="0.3">
      <c r="A91" t="s">
        <v>31</v>
      </c>
      <c r="B91">
        <v>20</v>
      </c>
      <c r="C91" t="s">
        <v>44</v>
      </c>
      <c r="D91">
        <v>0.6804</v>
      </c>
      <c r="E91">
        <v>0.80900000000000005</v>
      </c>
      <c r="F91">
        <v>0.88849999999999996</v>
      </c>
      <c r="G91">
        <v>0.96060000000000001</v>
      </c>
      <c r="H91">
        <v>0.73660000000000003</v>
      </c>
      <c r="I91">
        <v>0.85560000000000003</v>
      </c>
      <c r="J91">
        <v>0.92249999999999999</v>
      </c>
      <c r="K91">
        <v>0.97909999999999997</v>
      </c>
      <c r="L91">
        <v>0.79810000000000003</v>
      </c>
      <c r="M91">
        <v>0.90139999999999998</v>
      </c>
      <c r="N91">
        <v>0.95120000000000005</v>
      </c>
      <c r="O91">
        <v>0.99019999999999997</v>
      </c>
      <c r="P91">
        <v>0.83830000000000005</v>
      </c>
      <c r="Q91">
        <v>0.92800000000000005</v>
      </c>
      <c r="R91" s="5">
        <v>0.97099999999999997</v>
      </c>
      <c r="S91">
        <v>0.99490000000000001</v>
      </c>
      <c r="T91">
        <v>0.81289999999999996</v>
      </c>
      <c r="U91">
        <v>0.91420000000000001</v>
      </c>
      <c r="V91">
        <v>0.95750000000000002</v>
      </c>
      <c r="W91">
        <v>0.99080000000000001</v>
      </c>
      <c r="X91">
        <v>0.74039999999999995</v>
      </c>
      <c r="Y91">
        <v>0.8518</v>
      </c>
      <c r="Z91">
        <v>0.92010000000000003</v>
      </c>
      <c r="AA91">
        <v>0.97850000000000004</v>
      </c>
      <c r="AB91">
        <v>0.69440000000000002</v>
      </c>
      <c r="AC91">
        <v>0.81910000000000005</v>
      </c>
      <c r="AD91">
        <v>0.88900000000000001</v>
      </c>
      <c r="AE91">
        <v>0.9587</v>
      </c>
    </row>
    <row r="92" spans="1:31" x14ac:dyDescent="0.3">
      <c r="A92" t="s">
        <v>31</v>
      </c>
      <c r="B92">
        <v>30</v>
      </c>
      <c r="C92" t="s">
        <v>44</v>
      </c>
      <c r="D92">
        <v>0.69230000000000003</v>
      </c>
      <c r="E92">
        <v>0.81010000000000004</v>
      </c>
      <c r="F92">
        <v>0.88790000000000002</v>
      </c>
      <c r="G92">
        <v>0.96350000000000002</v>
      </c>
      <c r="H92">
        <v>0.7429</v>
      </c>
      <c r="I92">
        <v>0.85329999999999995</v>
      </c>
      <c r="J92">
        <v>0.9204</v>
      </c>
      <c r="K92">
        <v>0.97840000000000005</v>
      </c>
      <c r="L92">
        <v>0.80320000000000003</v>
      </c>
      <c r="M92">
        <v>0.90069999999999995</v>
      </c>
      <c r="N92">
        <v>0.95120000000000005</v>
      </c>
      <c r="O92">
        <v>0.99129999999999996</v>
      </c>
      <c r="P92">
        <v>0.82469999999999999</v>
      </c>
      <c r="Q92">
        <v>0.91920000000000002</v>
      </c>
      <c r="R92" s="5">
        <v>0.96479999999999999</v>
      </c>
      <c r="S92">
        <v>0.99460000000000004</v>
      </c>
      <c r="T92">
        <v>0.79049999999999998</v>
      </c>
      <c r="U92">
        <v>0.89470000000000005</v>
      </c>
      <c r="V92">
        <v>0.94910000000000005</v>
      </c>
      <c r="W92">
        <v>0.99019999999999997</v>
      </c>
      <c r="X92">
        <v>0.73799999999999999</v>
      </c>
      <c r="Y92">
        <v>0.85140000000000005</v>
      </c>
      <c r="Z92">
        <v>0.91349999999999998</v>
      </c>
      <c r="AA92">
        <v>0.97870000000000001</v>
      </c>
      <c r="AB92">
        <v>0.68989999999999996</v>
      </c>
      <c r="AC92">
        <v>0.81079999999999997</v>
      </c>
      <c r="AD92">
        <v>0.88780000000000003</v>
      </c>
      <c r="AE92">
        <v>0.96430000000000005</v>
      </c>
    </row>
    <row r="93" spans="1:31" ht="15" thickBot="1" x14ac:dyDescent="0.35">
      <c r="A93" t="s">
        <v>31</v>
      </c>
      <c r="B93">
        <v>50</v>
      </c>
      <c r="C93" t="s">
        <v>44</v>
      </c>
      <c r="D93">
        <v>0.69650000000000001</v>
      </c>
      <c r="E93">
        <v>0.81630000000000003</v>
      </c>
      <c r="F93">
        <v>0.88780000000000003</v>
      </c>
      <c r="G93">
        <v>0.96960000000000002</v>
      </c>
      <c r="H93">
        <v>0.72950000000000004</v>
      </c>
      <c r="I93">
        <v>0.84660000000000002</v>
      </c>
      <c r="J93">
        <v>0.91420000000000001</v>
      </c>
      <c r="K93">
        <v>0.97719999999999996</v>
      </c>
      <c r="L93">
        <v>0.78239999999999998</v>
      </c>
      <c r="M93">
        <v>0.88580000000000003</v>
      </c>
      <c r="N93">
        <v>0.9405</v>
      </c>
      <c r="O93">
        <v>0.9869</v>
      </c>
      <c r="P93">
        <v>0.81540000000000001</v>
      </c>
      <c r="Q93">
        <v>0.91669999999999996</v>
      </c>
      <c r="R93" s="5">
        <v>0.95920000000000005</v>
      </c>
      <c r="S93">
        <v>0.9929</v>
      </c>
      <c r="T93">
        <v>0.78249999999999997</v>
      </c>
      <c r="U93">
        <v>0.88639999999999997</v>
      </c>
      <c r="V93">
        <v>0.94299999999999995</v>
      </c>
      <c r="W93">
        <v>0.9889</v>
      </c>
      <c r="X93">
        <v>0.72140000000000004</v>
      </c>
      <c r="Y93">
        <v>0.84160000000000001</v>
      </c>
      <c r="Z93">
        <v>0.91049999999999998</v>
      </c>
      <c r="AA93">
        <v>0.97589999999999999</v>
      </c>
      <c r="AB93">
        <v>0.6976</v>
      </c>
      <c r="AC93">
        <v>0.81459999999999999</v>
      </c>
      <c r="AD93">
        <v>0.89</v>
      </c>
      <c r="AE93">
        <v>0.96909999999999996</v>
      </c>
    </row>
    <row r="94" spans="1:31" ht="15" thickTop="1" x14ac:dyDescent="0.3">
      <c r="A94" s="1" t="s">
        <v>56</v>
      </c>
      <c r="B94" s="1">
        <v>20</v>
      </c>
      <c r="C94" s="1" t="s">
        <v>71</v>
      </c>
      <c r="D94" s="1">
        <v>0.65400000000000003</v>
      </c>
      <c r="E94" s="1">
        <v>0.71460000000000001</v>
      </c>
      <c r="F94" s="1">
        <v>0.74419999999999997</v>
      </c>
      <c r="G94" s="1">
        <v>0.77</v>
      </c>
      <c r="H94" s="1">
        <v>0.8024</v>
      </c>
      <c r="I94" s="1">
        <v>0.85050000000000003</v>
      </c>
      <c r="J94" s="1">
        <v>0.87590000000000001</v>
      </c>
      <c r="K94" s="1">
        <v>0.90200000000000002</v>
      </c>
      <c r="L94" s="1">
        <v>0.829182918291829</v>
      </c>
      <c r="M94" s="1">
        <v>0.92989298929893005</v>
      </c>
      <c r="N94" s="1">
        <v>0.96339633963396298</v>
      </c>
      <c r="O94" s="1">
        <v>0.99419941994199401</v>
      </c>
      <c r="P94" s="1">
        <v>0.85303834217639396</v>
      </c>
      <c r="Q94" s="1">
        <v>0.92331564721193304</v>
      </c>
      <c r="R94" s="6">
        <v>0.96195815396936601</v>
      </c>
      <c r="S94" s="1">
        <v>0.99649614576033596</v>
      </c>
      <c r="T94" s="1">
        <v>0.81618018381981605</v>
      </c>
      <c r="U94" s="1">
        <v>0.93031006968993002</v>
      </c>
      <c r="V94" s="1">
        <v>0.96061003938996103</v>
      </c>
      <c r="W94" s="1">
        <v>0.99444500555499404</v>
      </c>
      <c r="X94" s="1">
        <v>0.82139563479864697</v>
      </c>
      <c r="Y94" s="1">
        <v>0.84229941592376301</v>
      </c>
      <c r="Z94" s="1">
        <v>0.86791679475356098</v>
      </c>
      <c r="AA94" s="1">
        <v>0.88134030126037499</v>
      </c>
      <c r="AB94" s="1">
        <v>0.47753846153846202</v>
      </c>
      <c r="AC94" s="1">
        <v>0.55273846153846196</v>
      </c>
      <c r="AD94" s="1">
        <v>0.57206153846153796</v>
      </c>
      <c r="AE94" s="1">
        <v>0.581538461538462</v>
      </c>
    </row>
    <row r="95" spans="1:31" x14ac:dyDescent="0.3">
      <c r="A95" t="s">
        <v>56</v>
      </c>
      <c r="B95">
        <v>30</v>
      </c>
      <c r="C95" t="s">
        <v>71</v>
      </c>
      <c r="D95">
        <v>0.73460000000000003</v>
      </c>
      <c r="E95">
        <v>0.79510000000000003</v>
      </c>
      <c r="F95">
        <v>0.82450000000000001</v>
      </c>
      <c r="G95">
        <v>0.85319999999999996</v>
      </c>
      <c r="H95">
        <v>0.8417</v>
      </c>
      <c r="I95">
        <v>0.90759999999999996</v>
      </c>
      <c r="J95">
        <v>0.93679999999999997</v>
      </c>
      <c r="K95">
        <v>0.95620000000000005</v>
      </c>
      <c r="L95">
        <v>0.82509999999999994</v>
      </c>
      <c r="M95">
        <v>0.92190000000000005</v>
      </c>
      <c r="N95">
        <v>0.96760000000000002</v>
      </c>
      <c r="O95">
        <v>0.99519999999999997</v>
      </c>
      <c r="P95">
        <v>0.81608965379227505</v>
      </c>
      <c r="Q95">
        <v>0.91024614768861301</v>
      </c>
      <c r="R95" s="5">
        <v>0.95967580548329001</v>
      </c>
      <c r="S95">
        <v>0.99519711827096302</v>
      </c>
      <c r="T95">
        <v>0.81220000000000003</v>
      </c>
      <c r="U95">
        <v>0.91859999999999997</v>
      </c>
      <c r="V95">
        <v>0.96760000000000002</v>
      </c>
      <c r="W95">
        <v>0.99460000000000004</v>
      </c>
      <c r="X95">
        <v>0.88019983686786296</v>
      </c>
      <c r="Y95">
        <v>0.92628466557911904</v>
      </c>
      <c r="Z95">
        <v>0.94545269168026103</v>
      </c>
      <c r="AA95">
        <v>0.95483278955954298</v>
      </c>
      <c r="AB95">
        <v>0.72589999999999999</v>
      </c>
      <c r="AC95">
        <v>0.77259999999999995</v>
      </c>
      <c r="AD95">
        <v>0.77849999999999997</v>
      </c>
      <c r="AE95">
        <v>0.79300000000000004</v>
      </c>
    </row>
    <row r="96" spans="1:31" x14ac:dyDescent="0.3">
      <c r="A96" t="s">
        <v>56</v>
      </c>
      <c r="B96">
        <v>50</v>
      </c>
      <c r="C96" t="s">
        <v>71</v>
      </c>
      <c r="D96">
        <v>0.81889999999999996</v>
      </c>
      <c r="E96">
        <v>0.88080000000000003</v>
      </c>
      <c r="F96">
        <v>0.90910000000000002</v>
      </c>
      <c r="G96">
        <v>0.93379999999999996</v>
      </c>
      <c r="H96">
        <v>0.82079999999999997</v>
      </c>
      <c r="I96">
        <v>0.92049999999999998</v>
      </c>
      <c r="J96">
        <v>0.95830000000000004</v>
      </c>
      <c r="K96">
        <v>0.99170000000000003</v>
      </c>
      <c r="L96">
        <v>0.81569999999999998</v>
      </c>
      <c r="M96">
        <v>0.91569999999999996</v>
      </c>
      <c r="N96">
        <v>0.96189999999999998</v>
      </c>
      <c r="O96">
        <v>0.99380000000000002</v>
      </c>
      <c r="P96">
        <v>0.82221110555277599</v>
      </c>
      <c r="Q96">
        <v>0.92346173086543304</v>
      </c>
      <c r="R96" s="5">
        <v>0.96408204102050998</v>
      </c>
      <c r="S96">
        <v>0.99279639819910004</v>
      </c>
      <c r="T96">
        <v>0.80959999999999999</v>
      </c>
      <c r="U96">
        <v>0.9133</v>
      </c>
      <c r="V96">
        <v>0.95899999999999996</v>
      </c>
      <c r="W96">
        <v>0.99260000000000004</v>
      </c>
      <c r="X96">
        <v>0.82255608567658101</v>
      </c>
      <c r="Y96">
        <v>0.93229113795553797</v>
      </c>
      <c r="Z96">
        <v>0.94609684296010599</v>
      </c>
      <c r="AA96">
        <v>0.991777484519338</v>
      </c>
      <c r="AB96">
        <v>0.82130000000000003</v>
      </c>
      <c r="AC96">
        <v>0.88549999999999995</v>
      </c>
      <c r="AD96">
        <v>0.91049999999999998</v>
      </c>
      <c r="AE96">
        <v>0.92169999999999996</v>
      </c>
    </row>
    <row r="97" spans="1:31" x14ac:dyDescent="0.3">
      <c r="A97" t="s">
        <v>57</v>
      </c>
      <c r="B97">
        <v>20</v>
      </c>
      <c r="C97" t="s">
        <v>71</v>
      </c>
      <c r="D97">
        <v>0.73850000000000005</v>
      </c>
      <c r="E97">
        <v>0.84909999999999997</v>
      </c>
      <c r="F97">
        <v>0.90659999999999996</v>
      </c>
      <c r="G97">
        <v>0.95860000000000001</v>
      </c>
      <c r="H97">
        <v>0.81610000000000005</v>
      </c>
      <c r="I97">
        <v>0.89470000000000005</v>
      </c>
      <c r="J97">
        <v>0.93100000000000005</v>
      </c>
      <c r="K97">
        <v>0.9627</v>
      </c>
      <c r="L97">
        <v>0.8286</v>
      </c>
      <c r="M97">
        <v>0.92059999999999997</v>
      </c>
      <c r="N97">
        <v>0.96160000000000001</v>
      </c>
      <c r="O97">
        <v>0.99160000000000004</v>
      </c>
      <c r="P97">
        <v>0.82709999999999995</v>
      </c>
      <c r="Q97">
        <v>0.92030000000000001</v>
      </c>
      <c r="R97" s="5">
        <v>0.96120000000000005</v>
      </c>
      <c r="S97">
        <v>0.99390000000000001</v>
      </c>
      <c r="T97">
        <v>0.82644793438031405</v>
      </c>
      <c r="U97">
        <v>0.93077923377013105</v>
      </c>
      <c r="V97">
        <v>0.96128838651595505</v>
      </c>
      <c r="W97">
        <v>0.994398319495849</v>
      </c>
      <c r="X97">
        <v>0.810341345182791</v>
      </c>
      <c r="Y97">
        <v>0.84366794586952099</v>
      </c>
      <c r="Z97">
        <v>0.86972328822460099</v>
      </c>
      <c r="AA97">
        <v>0.88780044435467598</v>
      </c>
      <c r="AB97">
        <v>0.56413556413556398</v>
      </c>
      <c r="AC97">
        <v>0.62537537537537502</v>
      </c>
      <c r="AD97">
        <v>0.64618189618189603</v>
      </c>
      <c r="AE97">
        <v>0.659266409266409</v>
      </c>
    </row>
    <row r="98" spans="1:31" x14ac:dyDescent="0.3">
      <c r="A98" t="s">
        <v>57</v>
      </c>
      <c r="B98">
        <v>30</v>
      </c>
      <c r="C98" t="s">
        <v>71</v>
      </c>
      <c r="D98">
        <v>0.77790000000000004</v>
      </c>
      <c r="E98">
        <v>0.87080000000000002</v>
      </c>
      <c r="F98">
        <v>0.92</v>
      </c>
      <c r="G98">
        <v>0.96130000000000004</v>
      </c>
      <c r="H98">
        <v>0.82240000000000002</v>
      </c>
      <c r="I98">
        <v>0.90990000000000004</v>
      </c>
      <c r="J98">
        <v>0.94850000000000001</v>
      </c>
      <c r="K98">
        <v>0.97640000000000005</v>
      </c>
      <c r="L98">
        <v>0.8236</v>
      </c>
      <c r="M98">
        <v>0.91390000000000005</v>
      </c>
      <c r="N98">
        <v>0.96</v>
      </c>
      <c r="O98">
        <v>0.9929</v>
      </c>
      <c r="P98">
        <v>0.82450000000000001</v>
      </c>
      <c r="Q98">
        <v>0.91820000000000002</v>
      </c>
      <c r="R98" s="5">
        <v>0.96289999999999998</v>
      </c>
      <c r="S98">
        <v>0.99339999999999995</v>
      </c>
      <c r="T98">
        <v>0.82489999999999997</v>
      </c>
      <c r="U98">
        <v>0.92149999999999999</v>
      </c>
      <c r="V98">
        <v>0.96660000000000001</v>
      </c>
      <c r="W98">
        <v>0.99509999999999998</v>
      </c>
      <c r="X98">
        <v>0.86316955296012898</v>
      </c>
      <c r="Y98">
        <v>0.91753926701570698</v>
      </c>
      <c r="Z98">
        <v>0.94069673781715701</v>
      </c>
      <c r="AA98">
        <v>0.95590012082158704</v>
      </c>
      <c r="AB98">
        <v>0.71860000000000002</v>
      </c>
      <c r="AC98">
        <v>0.76900000000000002</v>
      </c>
      <c r="AD98">
        <v>0.77969999999999995</v>
      </c>
      <c r="AE98">
        <v>0.79930000000000001</v>
      </c>
    </row>
    <row r="99" spans="1:31" x14ac:dyDescent="0.3">
      <c r="A99" t="s">
        <v>57</v>
      </c>
      <c r="B99">
        <v>50</v>
      </c>
      <c r="C99" t="s">
        <v>71</v>
      </c>
      <c r="D99">
        <v>0.80579999999999996</v>
      </c>
      <c r="E99">
        <v>0.89170000000000005</v>
      </c>
      <c r="F99">
        <v>0.93589999999999995</v>
      </c>
      <c r="G99">
        <v>0.97260000000000002</v>
      </c>
      <c r="H99">
        <v>0.81830000000000003</v>
      </c>
      <c r="I99">
        <v>0.91520000000000001</v>
      </c>
      <c r="J99">
        <v>0.9597</v>
      </c>
      <c r="K99">
        <v>0.9889</v>
      </c>
      <c r="L99">
        <v>0.8175</v>
      </c>
      <c r="M99">
        <v>0.91349999999999998</v>
      </c>
      <c r="N99">
        <v>0.96</v>
      </c>
      <c r="O99">
        <v>0.99319999999999997</v>
      </c>
      <c r="P99">
        <v>0.81630000000000003</v>
      </c>
      <c r="Q99">
        <v>0.91410000000000002</v>
      </c>
      <c r="R99" s="5">
        <v>0.95920000000000005</v>
      </c>
      <c r="S99">
        <v>0.99270000000000003</v>
      </c>
      <c r="T99">
        <v>0.81410000000000005</v>
      </c>
      <c r="U99">
        <v>0.91359999999999997</v>
      </c>
      <c r="V99">
        <v>0.96089999999999998</v>
      </c>
      <c r="W99">
        <v>0.99360000000000004</v>
      </c>
      <c r="X99">
        <v>0.81020797749422302</v>
      </c>
      <c r="Y99">
        <v>0.92474630764593602</v>
      </c>
      <c r="Z99">
        <v>0.95076861247864997</v>
      </c>
      <c r="AA99">
        <v>0.989852305837436</v>
      </c>
      <c r="AB99">
        <v>0.82969999999999999</v>
      </c>
      <c r="AC99">
        <v>0.88919999999999999</v>
      </c>
      <c r="AD99">
        <v>0.91290000000000004</v>
      </c>
      <c r="AE99">
        <v>0.92659999999999998</v>
      </c>
    </row>
    <row r="100" spans="1:31" x14ac:dyDescent="0.3">
      <c r="A100" t="s">
        <v>31</v>
      </c>
      <c r="B100">
        <v>20</v>
      </c>
      <c r="C100" t="s">
        <v>71</v>
      </c>
      <c r="D100">
        <v>0.61539237442001204</v>
      </c>
      <c r="E100">
        <v>0.67661892273552504</v>
      </c>
      <c r="F100">
        <v>0.70153318539439202</v>
      </c>
      <c r="G100">
        <v>0.72382489408916695</v>
      </c>
      <c r="H100">
        <v>0.80422380142127903</v>
      </c>
      <c r="I100">
        <v>0.85426884195776198</v>
      </c>
      <c r="J100">
        <v>0.87969172255029504</v>
      </c>
      <c r="K100">
        <v>0.89980982884596095</v>
      </c>
      <c r="L100">
        <v>0.82369999999999999</v>
      </c>
      <c r="M100">
        <v>0.92810000000000004</v>
      </c>
      <c r="N100">
        <v>0.96209999999999996</v>
      </c>
      <c r="O100">
        <v>0.99339999999999995</v>
      </c>
      <c r="P100">
        <v>0.84609999999999996</v>
      </c>
      <c r="Q100">
        <v>0.93169999999999997</v>
      </c>
      <c r="R100" s="5">
        <v>0.96889999999999998</v>
      </c>
      <c r="S100">
        <v>0.99680000000000002</v>
      </c>
      <c r="T100">
        <v>0.84119999999999995</v>
      </c>
      <c r="U100">
        <v>0.93640000000000001</v>
      </c>
      <c r="V100">
        <v>0.96789999999999998</v>
      </c>
      <c r="W100">
        <v>0.99309999999999998</v>
      </c>
      <c r="X100">
        <v>0.80350175087543796</v>
      </c>
      <c r="Y100">
        <v>0.85162581290645301</v>
      </c>
      <c r="Z100">
        <v>0.877538769384692</v>
      </c>
      <c r="AA100">
        <v>0.89984992496248095</v>
      </c>
      <c r="AB100">
        <v>0.60929951690821205</v>
      </c>
      <c r="AC100">
        <v>0.66898148148148096</v>
      </c>
      <c r="AD100">
        <v>0.69494766505636096</v>
      </c>
      <c r="AE100">
        <v>0.71447262479871199</v>
      </c>
    </row>
    <row r="101" spans="1:31" x14ac:dyDescent="0.3">
      <c r="A101" t="s">
        <v>31</v>
      </c>
      <c r="B101">
        <v>30</v>
      </c>
      <c r="C101" t="s">
        <v>71</v>
      </c>
      <c r="D101">
        <v>0.72570000000000001</v>
      </c>
      <c r="E101">
        <v>0.78439999999999999</v>
      </c>
      <c r="F101">
        <v>0.80379999999999996</v>
      </c>
      <c r="G101">
        <v>0.82750000000000001</v>
      </c>
      <c r="H101">
        <v>0.85425627688306505</v>
      </c>
      <c r="I101">
        <v>0.91347404221266404</v>
      </c>
      <c r="J101">
        <v>0.93908172451735505</v>
      </c>
      <c r="K101">
        <v>0.95608682604781403</v>
      </c>
      <c r="L101">
        <v>0.82630000000000003</v>
      </c>
      <c r="M101">
        <v>0.92079999999999995</v>
      </c>
      <c r="N101">
        <v>0.96750000000000003</v>
      </c>
      <c r="O101">
        <v>0.99460000000000004</v>
      </c>
      <c r="P101">
        <v>0.8216</v>
      </c>
      <c r="Q101">
        <v>0.91910000000000003</v>
      </c>
      <c r="R101" s="5">
        <v>0.96150000000000002</v>
      </c>
      <c r="S101">
        <v>0.99480000000000002</v>
      </c>
      <c r="T101">
        <v>0.82289999999999996</v>
      </c>
      <c r="U101">
        <v>0.91779999999999995</v>
      </c>
      <c r="V101">
        <v>0.96340000000000003</v>
      </c>
      <c r="W101">
        <v>0.99539999999999995</v>
      </c>
      <c r="X101">
        <v>0.85492746373186601</v>
      </c>
      <c r="Y101">
        <v>0.91405702851425696</v>
      </c>
      <c r="Z101">
        <v>0.93886943471735895</v>
      </c>
      <c r="AA101">
        <v>0.95847923961980996</v>
      </c>
      <c r="AB101">
        <v>0.7228</v>
      </c>
      <c r="AC101">
        <v>0.77559999999999996</v>
      </c>
      <c r="AD101">
        <v>0.79690000000000005</v>
      </c>
      <c r="AE101">
        <v>0.8216</v>
      </c>
    </row>
    <row r="102" spans="1:31" ht="15" thickBot="1" x14ac:dyDescent="0.35">
      <c r="A102" t="s">
        <v>31</v>
      </c>
      <c r="B102">
        <v>50</v>
      </c>
      <c r="C102" t="s">
        <v>71</v>
      </c>
      <c r="D102">
        <v>0.82420000000000004</v>
      </c>
      <c r="E102">
        <v>0.88080000000000003</v>
      </c>
      <c r="F102">
        <v>0.91049999999999998</v>
      </c>
      <c r="G102">
        <v>0.92920000000000003</v>
      </c>
      <c r="H102">
        <v>0.81002400960384202</v>
      </c>
      <c r="I102">
        <v>0.92456982793117204</v>
      </c>
      <c r="J102">
        <v>0.95608243297318896</v>
      </c>
      <c r="K102">
        <v>0.98989595838335298</v>
      </c>
      <c r="L102">
        <v>0.81859999999999999</v>
      </c>
      <c r="M102">
        <v>0.91269999999999996</v>
      </c>
      <c r="N102">
        <v>0.96089999999999998</v>
      </c>
      <c r="O102">
        <v>0.99419999999999997</v>
      </c>
      <c r="P102">
        <v>0.81679999999999997</v>
      </c>
      <c r="Q102">
        <v>0.91610000000000003</v>
      </c>
      <c r="R102" s="5">
        <v>0.9617</v>
      </c>
      <c r="S102">
        <v>0.99370000000000003</v>
      </c>
      <c r="T102">
        <v>0.81610000000000005</v>
      </c>
      <c r="U102">
        <v>0.91210000000000002</v>
      </c>
      <c r="V102">
        <v>0.95830000000000004</v>
      </c>
      <c r="W102">
        <v>0.99399999999999999</v>
      </c>
      <c r="X102">
        <v>0.80606424497147999</v>
      </c>
      <c r="Y102">
        <v>0.91604122886020201</v>
      </c>
      <c r="Z102">
        <v>0.95246672670869603</v>
      </c>
      <c r="AA102">
        <v>0.99059341539077395</v>
      </c>
      <c r="AB102">
        <v>0.82630000000000003</v>
      </c>
      <c r="AC102">
        <v>0.88180000000000003</v>
      </c>
      <c r="AD102">
        <v>0.90920000000000001</v>
      </c>
      <c r="AE102">
        <v>0.92910000000000004</v>
      </c>
    </row>
    <row r="103" spans="1:31" ht="15" thickTop="1" x14ac:dyDescent="0.3">
      <c r="A103" s="1" t="s">
        <v>56</v>
      </c>
      <c r="B103" s="1">
        <v>20</v>
      </c>
      <c r="C103" s="1" t="s">
        <v>39</v>
      </c>
      <c r="D103" s="1">
        <v>0.73809999999999998</v>
      </c>
      <c r="E103" s="1">
        <v>0.81930000000000003</v>
      </c>
      <c r="F103" s="1">
        <v>0.86150000000000004</v>
      </c>
      <c r="G103" s="1">
        <v>0.89970000000000006</v>
      </c>
      <c r="H103" s="1">
        <v>0.80169999999999997</v>
      </c>
      <c r="I103" s="1">
        <v>0.87190000000000001</v>
      </c>
      <c r="J103" s="1">
        <v>0.9073</v>
      </c>
      <c r="K103" s="1">
        <v>0.94040000000000001</v>
      </c>
      <c r="L103" s="1">
        <v>0.83530000000000004</v>
      </c>
      <c r="M103" s="1">
        <v>0.9254</v>
      </c>
      <c r="N103" s="1">
        <v>0.96589999999999998</v>
      </c>
      <c r="O103" s="1">
        <v>0.99280000000000002</v>
      </c>
      <c r="P103" s="1">
        <v>0.83830000000000005</v>
      </c>
      <c r="Q103" s="1">
        <v>0.92420000000000002</v>
      </c>
      <c r="R103" s="6">
        <v>0.96509999999999996</v>
      </c>
      <c r="S103" s="1">
        <v>0.99580000000000002</v>
      </c>
      <c r="T103" s="1">
        <v>0.82840000000000003</v>
      </c>
      <c r="U103" s="1">
        <v>0.92700000000000005</v>
      </c>
      <c r="V103" s="1">
        <v>0.96299999999999997</v>
      </c>
      <c r="W103" s="1">
        <v>0.99309999999999998</v>
      </c>
      <c r="X103" s="1">
        <v>0.81106083459024603</v>
      </c>
      <c r="Y103" s="1">
        <v>0.85047762694821505</v>
      </c>
      <c r="Z103" s="1">
        <v>0.87521367521367499</v>
      </c>
      <c r="AA103" s="1">
        <v>0.89381598793363504</v>
      </c>
      <c r="AB103" s="1">
        <v>0.57198566610455304</v>
      </c>
      <c r="AC103" s="1">
        <v>0.63416947723440098</v>
      </c>
      <c r="AD103" s="1">
        <v>0.65609190556492403</v>
      </c>
      <c r="AE103" s="1">
        <v>0.67063659359190597</v>
      </c>
    </row>
    <row r="104" spans="1:31" x14ac:dyDescent="0.3">
      <c r="A104" t="s">
        <v>56</v>
      </c>
      <c r="B104">
        <v>30</v>
      </c>
      <c r="C104" t="s">
        <v>39</v>
      </c>
      <c r="D104">
        <v>0.77600000000000002</v>
      </c>
      <c r="E104">
        <v>0.85829999999999995</v>
      </c>
      <c r="F104">
        <v>0.9022</v>
      </c>
      <c r="G104">
        <v>0.94430000000000003</v>
      </c>
      <c r="H104">
        <v>0.81520000000000004</v>
      </c>
      <c r="I104">
        <v>0.89810000000000001</v>
      </c>
      <c r="J104">
        <v>0.93940000000000001</v>
      </c>
      <c r="K104">
        <v>0.9708</v>
      </c>
      <c r="L104">
        <v>0.83169999999999999</v>
      </c>
      <c r="M104">
        <v>0.92330000000000001</v>
      </c>
      <c r="N104">
        <v>0.96330000000000005</v>
      </c>
      <c r="O104">
        <v>0.99480000000000002</v>
      </c>
      <c r="P104">
        <v>0.82340000000000002</v>
      </c>
      <c r="Q104">
        <v>0.91700000000000004</v>
      </c>
      <c r="R104" s="5">
        <v>0.96120000000000005</v>
      </c>
      <c r="S104">
        <v>0.995</v>
      </c>
      <c r="T104">
        <v>0.8216</v>
      </c>
      <c r="U104">
        <v>0.91859999999999997</v>
      </c>
      <c r="V104">
        <v>0.96560000000000001</v>
      </c>
      <c r="W104">
        <v>0.99390000000000001</v>
      </c>
      <c r="X104">
        <v>0.86613936724068896</v>
      </c>
      <c r="Y104">
        <v>0.91820184221065304</v>
      </c>
      <c r="Z104">
        <v>0.94032839407288704</v>
      </c>
      <c r="AA104">
        <v>0.95774929915899099</v>
      </c>
      <c r="AB104">
        <v>0.72550000000000003</v>
      </c>
      <c r="AC104">
        <v>0.77859999999999996</v>
      </c>
      <c r="AD104">
        <v>0.79249999999999998</v>
      </c>
      <c r="AE104">
        <v>0.81340000000000001</v>
      </c>
    </row>
    <row r="105" spans="1:31" x14ac:dyDescent="0.3">
      <c r="A105" t="s">
        <v>56</v>
      </c>
      <c r="B105">
        <v>50</v>
      </c>
      <c r="C105" t="s">
        <v>39</v>
      </c>
      <c r="D105">
        <v>0.79139999999999999</v>
      </c>
      <c r="E105">
        <v>0.88700000000000001</v>
      </c>
      <c r="F105">
        <v>0.93130000000000002</v>
      </c>
      <c r="G105">
        <v>0.9738</v>
      </c>
      <c r="H105">
        <v>0.82</v>
      </c>
      <c r="I105">
        <v>0.91239999999999999</v>
      </c>
      <c r="J105">
        <v>0.95709999999999995</v>
      </c>
      <c r="K105">
        <v>0.98929999999999996</v>
      </c>
      <c r="L105">
        <v>0.81940000000000002</v>
      </c>
      <c r="M105">
        <v>0.91559999999999997</v>
      </c>
      <c r="N105">
        <v>0.96160000000000001</v>
      </c>
      <c r="O105">
        <v>0.99250000000000005</v>
      </c>
      <c r="P105">
        <v>0.8256</v>
      </c>
      <c r="Q105">
        <v>0.91749999999999998</v>
      </c>
      <c r="R105" s="5">
        <v>0.96220000000000006</v>
      </c>
      <c r="S105">
        <v>0.9929</v>
      </c>
      <c r="T105">
        <v>0.81379999999999997</v>
      </c>
      <c r="U105">
        <v>0.90820000000000001</v>
      </c>
      <c r="V105">
        <v>0.95660000000000001</v>
      </c>
      <c r="W105">
        <v>0.99099999999999999</v>
      </c>
      <c r="X105">
        <v>0.81734520356106799</v>
      </c>
      <c r="Y105">
        <v>0.919675902770831</v>
      </c>
      <c r="Z105">
        <v>0.95618685605681697</v>
      </c>
      <c r="AA105">
        <v>0.99149744923477001</v>
      </c>
      <c r="AB105">
        <v>0.82379999999999998</v>
      </c>
      <c r="AC105">
        <v>0.88200000000000001</v>
      </c>
      <c r="AD105">
        <v>0.90859999999999996</v>
      </c>
      <c r="AE105">
        <v>0.92720000000000002</v>
      </c>
    </row>
    <row r="106" spans="1:31" x14ac:dyDescent="0.3">
      <c r="A106" t="s">
        <v>57</v>
      </c>
      <c r="B106">
        <v>20</v>
      </c>
      <c r="C106" t="s">
        <v>39</v>
      </c>
      <c r="D106">
        <v>0.26889999999999997</v>
      </c>
      <c r="E106">
        <v>0.40949999999999998</v>
      </c>
      <c r="F106">
        <v>0.5494</v>
      </c>
      <c r="G106">
        <v>0.83930000000000005</v>
      </c>
      <c r="H106">
        <v>0.64490000000000003</v>
      </c>
      <c r="I106">
        <v>0.78869999999999996</v>
      </c>
      <c r="J106">
        <v>0.87560000000000004</v>
      </c>
      <c r="K106">
        <v>0.97350000000000003</v>
      </c>
      <c r="L106">
        <v>0.82879999999999998</v>
      </c>
      <c r="M106">
        <v>0.91739999999999999</v>
      </c>
      <c r="N106">
        <v>0.96</v>
      </c>
      <c r="O106">
        <v>0.99260000000000004</v>
      </c>
      <c r="P106">
        <v>0.82040000000000002</v>
      </c>
      <c r="Q106">
        <v>0.91190000000000004</v>
      </c>
      <c r="R106" s="5">
        <v>0.95569999999999999</v>
      </c>
      <c r="S106">
        <v>0.99339999999999995</v>
      </c>
      <c r="T106">
        <v>0.82969999999999999</v>
      </c>
      <c r="U106">
        <v>0.92279999999999995</v>
      </c>
      <c r="V106">
        <v>0.96440000000000003</v>
      </c>
      <c r="W106">
        <v>0.99270000000000003</v>
      </c>
      <c r="X106">
        <v>0.79379999999999995</v>
      </c>
      <c r="Y106">
        <v>0.85050000000000003</v>
      </c>
      <c r="Z106">
        <v>0.88300000000000001</v>
      </c>
      <c r="AA106">
        <v>0.90939999999999999</v>
      </c>
      <c r="AB106">
        <v>0.62620096076861498</v>
      </c>
      <c r="AC106">
        <v>0.68684947958366704</v>
      </c>
      <c r="AD106">
        <v>0.71507205764611703</v>
      </c>
      <c r="AE106">
        <v>0.74159327461969604</v>
      </c>
    </row>
    <row r="107" spans="1:31" x14ac:dyDescent="0.3">
      <c r="A107" t="s">
        <v>57</v>
      </c>
      <c r="B107">
        <v>30</v>
      </c>
      <c r="C107" t="s">
        <v>39</v>
      </c>
      <c r="D107">
        <v>0.18140000000000001</v>
      </c>
      <c r="E107">
        <v>0.2974</v>
      </c>
      <c r="F107">
        <v>0.41699999999999998</v>
      </c>
      <c r="G107">
        <v>0.68759999999999999</v>
      </c>
      <c r="H107">
        <v>0.60370000000000001</v>
      </c>
      <c r="I107">
        <v>0.74929999999999997</v>
      </c>
      <c r="J107">
        <v>0.8488</v>
      </c>
      <c r="K107">
        <v>0.95440000000000003</v>
      </c>
      <c r="L107">
        <v>0.82330000000000003</v>
      </c>
      <c r="M107">
        <v>0.9113</v>
      </c>
      <c r="N107">
        <v>0.95820000000000005</v>
      </c>
      <c r="O107">
        <v>0.99250000000000005</v>
      </c>
      <c r="P107">
        <v>0.81669999999999998</v>
      </c>
      <c r="Q107">
        <v>0.9113</v>
      </c>
      <c r="R107" s="5">
        <v>0.95620000000000005</v>
      </c>
      <c r="S107">
        <v>0.99280000000000002</v>
      </c>
      <c r="T107">
        <v>0.82750000000000001</v>
      </c>
      <c r="U107">
        <v>0.91949999999999998</v>
      </c>
      <c r="V107">
        <v>0.96419999999999995</v>
      </c>
      <c r="W107">
        <v>0.99370000000000003</v>
      </c>
      <c r="X107">
        <v>0.83789999999999998</v>
      </c>
      <c r="Y107">
        <v>0.90290000000000004</v>
      </c>
      <c r="Z107">
        <v>0.93659999999999999</v>
      </c>
      <c r="AA107">
        <v>0.96240000000000003</v>
      </c>
      <c r="AB107">
        <v>0.71930000000000005</v>
      </c>
      <c r="AC107">
        <v>0.7823</v>
      </c>
      <c r="AD107">
        <v>0.8095</v>
      </c>
      <c r="AE107">
        <v>0.83919999999999995</v>
      </c>
    </row>
    <row r="108" spans="1:31" x14ac:dyDescent="0.3">
      <c r="A108" t="s">
        <v>57</v>
      </c>
      <c r="B108">
        <v>50</v>
      </c>
      <c r="C108" t="s">
        <v>39</v>
      </c>
      <c r="D108">
        <v>0.1069</v>
      </c>
      <c r="E108">
        <v>0.18149999999999999</v>
      </c>
      <c r="F108">
        <v>0.27350000000000002</v>
      </c>
      <c r="G108">
        <v>0.49590000000000001</v>
      </c>
      <c r="H108">
        <v>0.5726</v>
      </c>
      <c r="I108">
        <v>0.71009999999999995</v>
      </c>
      <c r="J108">
        <v>0.81159999999999999</v>
      </c>
      <c r="K108">
        <v>0.93620000000000003</v>
      </c>
      <c r="L108">
        <v>0.81640000000000001</v>
      </c>
      <c r="M108">
        <v>0.90769999999999995</v>
      </c>
      <c r="N108">
        <v>0.9556</v>
      </c>
      <c r="O108">
        <v>0.99180000000000001</v>
      </c>
      <c r="P108">
        <v>0.8024</v>
      </c>
      <c r="Q108">
        <v>0.9052</v>
      </c>
      <c r="R108" s="5">
        <v>0.95240000000000002</v>
      </c>
      <c r="S108">
        <v>0.99029999999999996</v>
      </c>
      <c r="T108">
        <v>0.81399999999999995</v>
      </c>
      <c r="U108">
        <v>0.90959999999999996</v>
      </c>
      <c r="V108">
        <v>0.95609999999999995</v>
      </c>
      <c r="W108">
        <v>0.99299999999999999</v>
      </c>
      <c r="X108">
        <v>0.80700000000000005</v>
      </c>
      <c r="Y108">
        <v>0.9123</v>
      </c>
      <c r="Z108">
        <v>0.9556</v>
      </c>
      <c r="AA108">
        <v>0.98729999999999996</v>
      </c>
      <c r="AB108">
        <v>0.81859999999999999</v>
      </c>
      <c r="AC108">
        <v>0.88139999999999996</v>
      </c>
      <c r="AD108">
        <v>0.91200000000000003</v>
      </c>
      <c r="AE108">
        <v>0.93830000000000002</v>
      </c>
    </row>
    <row r="109" spans="1:31" x14ac:dyDescent="0.3">
      <c r="A109" t="s">
        <v>31</v>
      </c>
      <c r="B109">
        <v>20</v>
      </c>
      <c r="C109" t="s">
        <v>39</v>
      </c>
      <c r="D109">
        <v>0.67390000000000005</v>
      </c>
      <c r="E109">
        <v>0.75280000000000002</v>
      </c>
      <c r="F109">
        <v>0.79490000000000005</v>
      </c>
      <c r="G109">
        <v>0.83730000000000004</v>
      </c>
      <c r="H109">
        <v>0.78969999999999996</v>
      </c>
      <c r="I109">
        <v>0.8639</v>
      </c>
      <c r="J109">
        <v>0.90349999999999997</v>
      </c>
      <c r="K109">
        <v>0.93869999999999998</v>
      </c>
      <c r="L109">
        <v>0.82789999999999997</v>
      </c>
      <c r="M109">
        <v>0.92100000000000004</v>
      </c>
      <c r="N109">
        <v>0.96350000000000002</v>
      </c>
      <c r="O109">
        <v>0.99070000000000003</v>
      </c>
      <c r="P109">
        <v>0.84119999999999995</v>
      </c>
      <c r="Q109">
        <v>0.93230000000000002</v>
      </c>
      <c r="R109" s="5">
        <v>0.96970000000000001</v>
      </c>
      <c r="S109">
        <v>0.99609999999999999</v>
      </c>
      <c r="T109">
        <v>0.8407</v>
      </c>
      <c r="U109">
        <v>0.93189999999999995</v>
      </c>
      <c r="V109">
        <v>0.96830000000000005</v>
      </c>
      <c r="W109">
        <v>0.99119999999999997</v>
      </c>
      <c r="X109">
        <v>0.78859999999999997</v>
      </c>
      <c r="Y109">
        <v>0.86429999999999996</v>
      </c>
      <c r="Z109">
        <v>0.90069999999999995</v>
      </c>
      <c r="AA109">
        <v>0.93500000000000005</v>
      </c>
      <c r="AB109">
        <v>0.67410000000000003</v>
      </c>
      <c r="AC109">
        <v>0.75290000000000001</v>
      </c>
      <c r="AD109">
        <v>0.79369999999999996</v>
      </c>
      <c r="AE109">
        <v>0.83489999999999998</v>
      </c>
    </row>
    <row r="110" spans="1:31" x14ac:dyDescent="0.3">
      <c r="A110" t="s">
        <v>31</v>
      </c>
      <c r="B110">
        <v>30</v>
      </c>
      <c r="C110" t="s">
        <v>39</v>
      </c>
      <c r="D110">
        <v>0.73960000000000004</v>
      </c>
      <c r="E110">
        <v>0.82069999999999999</v>
      </c>
      <c r="F110">
        <v>0.86029999999999995</v>
      </c>
      <c r="G110">
        <v>0.90110000000000001</v>
      </c>
      <c r="H110">
        <v>0.8206</v>
      </c>
      <c r="I110">
        <v>0.89770000000000005</v>
      </c>
      <c r="J110">
        <v>0.93410000000000004</v>
      </c>
      <c r="K110">
        <v>0.96809999999999996</v>
      </c>
      <c r="L110">
        <v>0.83</v>
      </c>
      <c r="M110">
        <v>0.91849999999999998</v>
      </c>
      <c r="N110">
        <v>0.96560000000000001</v>
      </c>
      <c r="O110">
        <v>0.99390000000000001</v>
      </c>
      <c r="P110">
        <v>0.82440000000000002</v>
      </c>
      <c r="Q110">
        <v>0.91669999999999996</v>
      </c>
      <c r="R110" s="5">
        <v>0.96419999999999995</v>
      </c>
      <c r="S110">
        <v>0.99460000000000004</v>
      </c>
      <c r="T110">
        <v>0.82850000000000001</v>
      </c>
      <c r="U110">
        <v>0.91590000000000005</v>
      </c>
      <c r="V110">
        <v>0.95989999999999998</v>
      </c>
      <c r="W110">
        <v>0.99380000000000002</v>
      </c>
      <c r="X110">
        <v>0.8216</v>
      </c>
      <c r="Y110">
        <v>0.89770000000000005</v>
      </c>
      <c r="Z110">
        <v>0.93640000000000001</v>
      </c>
      <c r="AA110">
        <v>0.96850000000000003</v>
      </c>
      <c r="AB110">
        <v>0.74070000000000003</v>
      </c>
      <c r="AC110">
        <v>0.81569999999999998</v>
      </c>
      <c r="AD110">
        <v>0.85550000000000004</v>
      </c>
      <c r="AE110">
        <v>0.89780000000000004</v>
      </c>
    </row>
    <row r="111" spans="1:31" ht="15" thickBot="1" x14ac:dyDescent="0.35">
      <c r="A111" t="s">
        <v>31</v>
      </c>
      <c r="B111">
        <v>50</v>
      </c>
      <c r="C111" t="s">
        <v>39</v>
      </c>
      <c r="D111">
        <v>0.7944</v>
      </c>
      <c r="E111">
        <v>0.87450000000000006</v>
      </c>
      <c r="F111">
        <v>0.91779999999999995</v>
      </c>
      <c r="G111">
        <v>0.95430000000000004</v>
      </c>
      <c r="H111">
        <v>0.80830000000000002</v>
      </c>
      <c r="I111">
        <v>0.91300000000000003</v>
      </c>
      <c r="J111">
        <v>0.95550000000000002</v>
      </c>
      <c r="K111">
        <v>0.98729999999999996</v>
      </c>
      <c r="L111">
        <v>0.8206</v>
      </c>
      <c r="M111">
        <v>0.91159999999999997</v>
      </c>
      <c r="N111">
        <v>0.95720000000000005</v>
      </c>
      <c r="O111">
        <v>0.99319999999999997</v>
      </c>
      <c r="P111">
        <v>0.81889999999999996</v>
      </c>
      <c r="Q111">
        <v>0.91649999999999998</v>
      </c>
      <c r="R111" s="5">
        <v>0.96009999999999995</v>
      </c>
      <c r="S111">
        <v>0.99280000000000002</v>
      </c>
      <c r="T111">
        <v>0.81730000000000003</v>
      </c>
      <c r="U111">
        <v>0.9113</v>
      </c>
      <c r="V111">
        <v>0.95809999999999995</v>
      </c>
      <c r="W111">
        <v>0.99339999999999995</v>
      </c>
      <c r="X111">
        <v>0.80559999999999998</v>
      </c>
      <c r="Y111">
        <v>0.90390000000000004</v>
      </c>
      <c r="Z111">
        <v>0.95420000000000005</v>
      </c>
      <c r="AA111">
        <v>0.98680000000000001</v>
      </c>
      <c r="AB111">
        <v>0.79610000000000003</v>
      </c>
      <c r="AC111">
        <v>0.877</v>
      </c>
      <c r="AD111">
        <v>0.91600000000000004</v>
      </c>
      <c r="AE111">
        <v>0.95420000000000005</v>
      </c>
    </row>
    <row r="112" spans="1:31" ht="15" thickTop="1" x14ac:dyDescent="0.3">
      <c r="A112" s="1" t="s">
        <v>56</v>
      </c>
      <c r="B112" s="1">
        <v>20</v>
      </c>
      <c r="C112" s="1" t="s">
        <v>49</v>
      </c>
      <c r="D112" s="1">
        <v>0.37890000000000001</v>
      </c>
      <c r="E112" s="1">
        <v>0.5403</v>
      </c>
      <c r="F112" s="1">
        <v>0.68089999999999995</v>
      </c>
      <c r="G112" s="1">
        <v>0.9093</v>
      </c>
      <c r="H112" s="1">
        <v>0.68140000000000001</v>
      </c>
      <c r="I112" s="1">
        <v>0.81469999999999998</v>
      </c>
      <c r="J112" s="1">
        <v>0.89510000000000001</v>
      </c>
      <c r="K112" s="1">
        <v>0.98040000000000005</v>
      </c>
      <c r="L112" s="1">
        <v>0.83230000000000004</v>
      </c>
      <c r="M112" s="1">
        <v>0.92269999999999996</v>
      </c>
      <c r="N112" s="1">
        <v>0.96609999999999996</v>
      </c>
      <c r="O112" s="1">
        <v>0.99180000000000001</v>
      </c>
      <c r="P112" s="1">
        <v>0.8256</v>
      </c>
      <c r="Q112" s="1">
        <v>0.91620000000000001</v>
      </c>
      <c r="R112" s="6">
        <v>0.96460000000000001</v>
      </c>
      <c r="S112" s="1">
        <v>0.99360000000000004</v>
      </c>
      <c r="T112" s="1">
        <v>0.82469999999999999</v>
      </c>
      <c r="U112" s="1">
        <v>0.9204</v>
      </c>
      <c r="V112" s="1">
        <v>0.96279999999999999</v>
      </c>
      <c r="W112" s="1">
        <v>0.99070000000000003</v>
      </c>
      <c r="X112" s="1">
        <v>0.79359999999999997</v>
      </c>
      <c r="Y112" s="1">
        <v>0.86260000000000003</v>
      </c>
      <c r="Z112" s="1">
        <v>0.89629999999999999</v>
      </c>
      <c r="AA112" s="1">
        <v>0.92659999999999998</v>
      </c>
      <c r="AB112" s="1">
        <v>0.6421</v>
      </c>
      <c r="AC112" s="1">
        <v>0.70989999999999998</v>
      </c>
      <c r="AD112" s="1">
        <v>0.74619999999999997</v>
      </c>
      <c r="AE112" s="1">
        <v>0.77849999999999997</v>
      </c>
    </row>
    <row r="113" spans="1:31" x14ac:dyDescent="0.3">
      <c r="A113" t="s">
        <v>56</v>
      </c>
      <c r="B113">
        <v>30</v>
      </c>
      <c r="C113" t="s">
        <v>49</v>
      </c>
      <c r="D113">
        <v>0.30930000000000002</v>
      </c>
      <c r="E113">
        <v>0.4496</v>
      </c>
      <c r="F113">
        <v>0.58099999999999996</v>
      </c>
      <c r="G113">
        <v>0.82120000000000004</v>
      </c>
      <c r="H113">
        <v>0.65010000000000001</v>
      </c>
      <c r="I113">
        <v>0.78559999999999997</v>
      </c>
      <c r="J113">
        <v>0.873</v>
      </c>
      <c r="K113">
        <v>0.96579999999999999</v>
      </c>
      <c r="L113">
        <v>0.8306</v>
      </c>
      <c r="M113">
        <v>0.92249999999999999</v>
      </c>
      <c r="N113">
        <v>0.96020000000000005</v>
      </c>
      <c r="O113">
        <v>0.99539999999999995</v>
      </c>
      <c r="P113">
        <v>0.81540000000000001</v>
      </c>
      <c r="Q113">
        <v>0.91010000000000002</v>
      </c>
      <c r="R113" s="5">
        <v>0.9587</v>
      </c>
      <c r="S113">
        <v>0.99319999999999997</v>
      </c>
      <c r="T113">
        <v>0.82289999999999996</v>
      </c>
      <c r="U113">
        <v>0.91839999999999999</v>
      </c>
      <c r="V113">
        <v>0.96030000000000004</v>
      </c>
      <c r="W113">
        <v>0.99270000000000003</v>
      </c>
      <c r="X113">
        <v>0.83799999999999997</v>
      </c>
      <c r="Y113">
        <v>0.90580000000000005</v>
      </c>
      <c r="Z113">
        <v>0.93589999999999995</v>
      </c>
      <c r="AA113">
        <v>0.9647</v>
      </c>
      <c r="AB113">
        <v>0.73240000000000005</v>
      </c>
      <c r="AC113">
        <v>0.7994</v>
      </c>
      <c r="AD113">
        <v>0.83330000000000004</v>
      </c>
      <c r="AE113">
        <v>0.86729999999999996</v>
      </c>
    </row>
    <row r="114" spans="1:31" x14ac:dyDescent="0.3">
      <c r="A114" t="s">
        <v>56</v>
      </c>
      <c r="B114">
        <v>50</v>
      </c>
      <c r="C114" t="s">
        <v>49</v>
      </c>
      <c r="D114">
        <v>0.2293</v>
      </c>
      <c r="E114">
        <v>0.3503</v>
      </c>
      <c r="F114">
        <v>0.46429999999999999</v>
      </c>
      <c r="G114">
        <v>0.70709999999999995</v>
      </c>
      <c r="H114">
        <v>0.62070000000000003</v>
      </c>
      <c r="I114">
        <v>0.75619999999999998</v>
      </c>
      <c r="J114">
        <v>0.8478</v>
      </c>
      <c r="K114">
        <v>0.9556</v>
      </c>
      <c r="L114">
        <v>0.81520000000000004</v>
      </c>
      <c r="M114">
        <v>0.91190000000000004</v>
      </c>
      <c r="N114">
        <v>0.95960000000000001</v>
      </c>
      <c r="O114">
        <v>0.9929</v>
      </c>
      <c r="P114">
        <v>0.81669999999999998</v>
      </c>
      <c r="Q114">
        <v>0.90890000000000004</v>
      </c>
      <c r="R114" s="5">
        <v>0.95699999999999996</v>
      </c>
      <c r="S114">
        <v>0.99270000000000003</v>
      </c>
      <c r="T114">
        <v>0.80879999999999996</v>
      </c>
      <c r="U114">
        <v>0.9052</v>
      </c>
      <c r="V114">
        <v>0.95430000000000004</v>
      </c>
      <c r="W114">
        <v>0.98970000000000002</v>
      </c>
      <c r="X114">
        <v>0.8105</v>
      </c>
      <c r="Y114">
        <v>0.91220000000000001</v>
      </c>
      <c r="Z114">
        <v>0.95989999999999998</v>
      </c>
      <c r="AA114">
        <v>0.98980000000000001</v>
      </c>
      <c r="AB114">
        <v>0.81100000000000005</v>
      </c>
      <c r="AC114">
        <v>0.87680000000000002</v>
      </c>
      <c r="AD114">
        <v>0.91120000000000001</v>
      </c>
      <c r="AE114">
        <v>0.94359999999999999</v>
      </c>
    </row>
    <row r="115" spans="1:31" x14ac:dyDescent="0.3">
      <c r="A115" t="s">
        <v>57</v>
      </c>
      <c r="B115">
        <v>20</v>
      </c>
      <c r="C115" t="s">
        <v>49</v>
      </c>
      <c r="D115" s="3">
        <v>9.9999999999989E-5</v>
      </c>
      <c r="E115">
        <v>1.99999999999978E-4</v>
      </c>
      <c r="F115">
        <v>7.0000000000003404E-4</v>
      </c>
      <c r="G115">
        <v>6.4999999999999503E-3</v>
      </c>
      <c r="H115">
        <v>7.1000000000000004E-3</v>
      </c>
      <c r="I115">
        <v>2.1399999999999999E-2</v>
      </c>
      <c r="J115">
        <v>4.5100000000000001E-2</v>
      </c>
      <c r="K115">
        <v>0.18920000000000001</v>
      </c>
      <c r="L115">
        <v>0.60719999999999996</v>
      </c>
      <c r="M115">
        <v>0.75419999999999998</v>
      </c>
      <c r="N115">
        <v>0.84860000000000002</v>
      </c>
      <c r="O115">
        <v>0.95830000000000004</v>
      </c>
      <c r="P115">
        <v>0.65629999999999999</v>
      </c>
      <c r="Q115">
        <v>0.79649999999999999</v>
      </c>
      <c r="R115" s="5">
        <v>0.88170000000000004</v>
      </c>
      <c r="S115">
        <v>0.97060000000000002</v>
      </c>
      <c r="T115">
        <v>0.54610000000000003</v>
      </c>
      <c r="U115">
        <v>0.69650000000000001</v>
      </c>
      <c r="V115">
        <v>0.80800000000000005</v>
      </c>
      <c r="W115">
        <v>0.95699999999999996</v>
      </c>
      <c r="X115">
        <v>0.68500000000000005</v>
      </c>
      <c r="Y115">
        <v>0.81220000000000003</v>
      </c>
      <c r="Z115">
        <v>0.8931</v>
      </c>
      <c r="AA115">
        <v>0.97060000000000002</v>
      </c>
      <c r="AB115">
        <v>0.69040000000000001</v>
      </c>
      <c r="AC115">
        <v>0.80520000000000003</v>
      </c>
      <c r="AD115">
        <v>0.86880000000000002</v>
      </c>
      <c r="AE115">
        <v>0.92700000000000005</v>
      </c>
    </row>
    <row r="116" spans="1:31" x14ac:dyDescent="0.3">
      <c r="A116" t="s">
        <v>57</v>
      </c>
      <c r="B116">
        <v>30</v>
      </c>
      <c r="C116" t="s">
        <v>49</v>
      </c>
      <c r="D116">
        <v>0</v>
      </c>
      <c r="E116">
        <v>0</v>
      </c>
      <c r="F116">
        <v>0</v>
      </c>
      <c r="G116">
        <v>0</v>
      </c>
      <c r="H116">
        <v>1E-3</v>
      </c>
      <c r="I116">
        <v>3.7000000000000401E-3</v>
      </c>
      <c r="J116">
        <v>9.3999999999999605E-3</v>
      </c>
      <c r="K116">
        <v>5.0099999999999999E-2</v>
      </c>
      <c r="L116">
        <v>0.57540000000000002</v>
      </c>
      <c r="M116">
        <v>0.72260000000000002</v>
      </c>
      <c r="N116">
        <v>0.82889999999999997</v>
      </c>
      <c r="O116">
        <v>0.94589999999999996</v>
      </c>
      <c r="P116">
        <v>0.58989999999999998</v>
      </c>
      <c r="Q116">
        <v>0.7369</v>
      </c>
      <c r="R116" s="5">
        <v>0.83340000000000003</v>
      </c>
      <c r="S116">
        <v>0.95130000000000003</v>
      </c>
      <c r="T116">
        <v>0.5262</v>
      </c>
      <c r="U116">
        <v>0.67520000000000002</v>
      </c>
      <c r="V116">
        <v>0.78339999999999999</v>
      </c>
      <c r="W116">
        <v>0.93259999999999998</v>
      </c>
      <c r="X116">
        <v>0.69620000000000004</v>
      </c>
      <c r="Y116">
        <v>0.81699999999999995</v>
      </c>
      <c r="Z116">
        <v>0.89490000000000003</v>
      </c>
      <c r="AA116">
        <v>0.97219999999999995</v>
      </c>
      <c r="AB116">
        <v>0.70669999999999999</v>
      </c>
      <c r="AC116">
        <v>0.8155</v>
      </c>
      <c r="AD116">
        <v>0.88139999999999996</v>
      </c>
      <c r="AE116">
        <v>0.94740000000000002</v>
      </c>
    </row>
    <row r="117" spans="1:31" x14ac:dyDescent="0.3">
      <c r="A117" t="s">
        <v>57</v>
      </c>
      <c r="B117">
        <v>50</v>
      </c>
      <c r="C117" t="s">
        <v>49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1.99999999999978E-4</v>
      </c>
      <c r="J117">
        <v>8.0000000000002302E-4</v>
      </c>
      <c r="K117">
        <v>7.0000000000000097E-3</v>
      </c>
      <c r="L117">
        <v>0.55349999999999999</v>
      </c>
      <c r="M117">
        <v>0.7016</v>
      </c>
      <c r="N117">
        <v>0.80710000000000004</v>
      </c>
      <c r="O117">
        <v>0.93940000000000001</v>
      </c>
      <c r="P117">
        <v>0.50529999999999997</v>
      </c>
      <c r="Q117">
        <v>0.65869999999999995</v>
      </c>
      <c r="R117" s="5">
        <v>0.76959999999999995</v>
      </c>
      <c r="S117">
        <v>0.91810000000000003</v>
      </c>
      <c r="T117">
        <v>0.47970000000000002</v>
      </c>
      <c r="U117">
        <v>0.62780000000000002</v>
      </c>
      <c r="V117">
        <v>0.74160000000000004</v>
      </c>
      <c r="W117">
        <v>0.90310000000000001</v>
      </c>
      <c r="X117">
        <v>0.68620000000000003</v>
      </c>
      <c r="Y117">
        <v>0.81379999999999997</v>
      </c>
      <c r="Z117">
        <v>0.88949999999999996</v>
      </c>
      <c r="AA117">
        <v>0.96750000000000003</v>
      </c>
      <c r="AB117">
        <v>0.74809999999999999</v>
      </c>
      <c r="AC117">
        <v>0.85189999999999999</v>
      </c>
      <c r="AD117">
        <v>0.91249999999999998</v>
      </c>
      <c r="AE117">
        <v>0.96819999999999995</v>
      </c>
    </row>
    <row r="118" spans="1:31" x14ac:dyDescent="0.3">
      <c r="A118" t="s">
        <v>31</v>
      </c>
      <c r="B118">
        <v>20</v>
      </c>
      <c r="C118" t="s">
        <v>49</v>
      </c>
      <c r="D118">
        <v>0.37909999999999999</v>
      </c>
      <c r="E118">
        <v>0.53420000000000001</v>
      </c>
      <c r="F118">
        <v>0.68169999999999997</v>
      </c>
      <c r="G118">
        <v>0.92020000000000002</v>
      </c>
      <c r="H118">
        <v>0.48120000000000002</v>
      </c>
      <c r="I118">
        <v>0.64380000000000004</v>
      </c>
      <c r="J118">
        <v>0.76959999999999995</v>
      </c>
      <c r="K118">
        <v>0.94520000000000004</v>
      </c>
      <c r="L118">
        <v>0.70240000000000002</v>
      </c>
      <c r="M118">
        <v>0.8266</v>
      </c>
      <c r="N118">
        <v>0.90490000000000004</v>
      </c>
      <c r="O118">
        <v>0.98060000000000003</v>
      </c>
      <c r="P118">
        <v>0.83699999999999997</v>
      </c>
      <c r="Q118">
        <v>0.92700000000000005</v>
      </c>
      <c r="R118" s="5">
        <v>0.96940000000000004</v>
      </c>
      <c r="S118">
        <v>0.99370000000000003</v>
      </c>
      <c r="T118">
        <v>0.71130000000000004</v>
      </c>
      <c r="U118">
        <v>0.83889999999999998</v>
      </c>
      <c r="V118">
        <v>0.91110000000000002</v>
      </c>
      <c r="W118">
        <v>0.98270000000000002</v>
      </c>
      <c r="X118">
        <v>0.49149999999999999</v>
      </c>
      <c r="Y118">
        <v>0.64990000000000003</v>
      </c>
      <c r="Z118">
        <v>0.77290000000000003</v>
      </c>
      <c r="AA118">
        <v>0.94579999999999997</v>
      </c>
      <c r="AB118">
        <v>0.36930000000000002</v>
      </c>
      <c r="AC118">
        <v>0.53420000000000001</v>
      </c>
      <c r="AD118">
        <v>0.68569999999999998</v>
      </c>
      <c r="AE118">
        <v>0.9234</v>
      </c>
    </row>
    <row r="119" spans="1:31" x14ac:dyDescent="0.3">
      <c r="A119" t="s">
        <v>31</v>
      </c>
      <c r="B119">
        <v>30</v>
      </c>
      <c r="C119" t="s">
        <v>49</v>
      </c>
      <c r="D119">
        <v>0.34489999999999998</v>
      </c>
      <c r="E119">
        <v>0.50019999999999998</v>
      </c>
      <c r="F119">
        <v>0.62919999999999998</v>
      </c>
      <c r="G119">
        <v>0.85250000000000004</v>
      </c>
      <c r="H119">
        <v>0.4466</v>
      </c>
      <c r="I119">
        <v>0.59940000000000004</v>
      </c>
      <c r="J119">
        <v>0.7248</v>
      </c>
      <c r="K119">
        <v>0.90610000000000002</v>
      </c>
      <c r="L119">
        <v>0.68869999999999998</v>
      </c>
      <c r="M119">
        <v>0.81610000000000005</v>
      </c>
      <c r="N119">
        <v>0.89349999999999996</v>
      </c>
      <c r="O119">
        <v>0.9738</v>
      </c>
      <c r="P119">
        <v>0.82379999999999998</v>
      </c>
      <c r="Q119">
        <v>0.91890000000000005</v>
      </c>
      <c r="R119" s="5">
        <v>0.96350000000000002</v>
      </c>
      <c r="S119">
        <v>0.99370000000000003</v>
      </c>
      <c r="T119">
        <v>0.67569999999999997</v>
      </c>
      <c r="U119">
        <v>0.81</v>
      </c>
      <c r="V119">
        <v>0.88980000000000004</v>
      </c>
      <c r="W119">
        <v>0.97189999999999999</v>
      </c>
      <c r="X119">
        <v>0.4476</v>
      </c>
      <c r="Y119">
        <v>0.59630000000000005</v>
      </c>
      <c r="Z119">
        <v>0.72350000000000003</v>
      </c>
      <c r="AA119">
        <v>0.9002</v>
      </c>
      <c r="AB119">
        <v>0.35149999999999998</v>
      </c>
      <c r="AC119">
        <v>0.49130000000000001</v>
      </c>
      <c r="AD119">
        <v>0.62739999999999996</v>
      </c>
      <c r="AE119">
        <v>0.85089999999999999</v>
      </c>
    </row>
    <row r="120" spans="1:31" ht="15" thickBot="1" x14ac:dyDescent="0.35">
      <c r="A120" t="s">
        <v>31</v>
      </c>
      <c r="B120">
        <v>50</v>
      </c>
      <c r="C120" t="s">
        <v>49</v>
      </c>
      <c r="D120">
        <v>0.32550000000000001</v>
      </c>
      <c r="E120">
        <v>0.46039999999999998</v>
      </c>
      <c r="F120">
        <v>0.59060000000000001</v>
      </c>
      <c r="G120">
        <v>0.80049999999999999</v>
      </c>
      <c r="H120">
        <v>0.41239999999999999</v>
      </c>
      <c r="I120">
        <v>0.55420000000000003</v>
      </c>
      <c r="J120">
        <v>0.67959999999999998</v>
      </c>
      <c r="K120">
        <v>0.86739999999999995</v>
      </c>
      <c r="L120">
        <v>0.64470000000000005</v>
      </c>
      <c r="M120">
        <v>0.78169999999999995</v>
      </c>
      <c r="N120">
        <v>0.86739999999999995</v>
      </c>
      <c r="O120">
        <v>0.95899999999999996</v>
      </c>
      <c r="P120">
        <v>0.81759999999999999</v>
      </c>
      <c r="Q120">
        <v>0.91449999999999998</v>
      </c>
      <c r="R120" s="5">
        <v>0.95840000000000003</v>
      </c>
      <c r="S120">
        <v>0.99299999999999999</v>
      </c>
      <c r="T120">
        <v>0.65159999999999996</v>
      </c>
      <c r="U120">
        <v>0.78180000000000005</v>
      </c>
      <c r="V120">
        <v>0.86719999999999997</v>
      </c>
      <c r="W120">
        <v>0.96340000000000003</v>
      </c>
      <c r="X120">
        <v>0.41499999999999998</v>
      </c>
      <c r="Y120">
        <v>0.56040000000000001</v>
      </c>
      <c r="Z120">
        <v>0.68179999999999996</v>
      </c>
      <c r="AA120">
        <v>0.86460000000000004</v>
      </c>
      <c r="AB120">
        <v>0.31569999999999998</v>
      </c>
      <c r="AC120">
        <v>0.45090000000000002</v>
      </c>
      <c r="AD120">
        <v>0.58150000000000002</v>
      </c>
      <c r="AE120">
        <v>0.79610000000000003</v>
      </c>
    </row>
    <row r="121" spans="1:31" ht="15" thickTop="1" x14ac:dyDescent="0.3">
      <c r="A121" s="1" t="s">
        <v>56</v>
      </c>
      <c r="B121" s="1">
        <v>20</v>
      </c>
      <c r="C121" s="1" t="s">
        <v>77</v>
      </c>
      <c r="D121" s="1">
        <v>0.68979999999999997</v>
      </c>
      <c r="E121" s="1">
        <v>0.75380000000000003</v>
      </c>
      <c r="F121" s="1">
        <v>0.78900000000000003</v>
      </c>
      <c r="G121" s="1">
        <v>0.82210000000000005</v>
      </c>
      <c r="H121" s="1">
        <v>0.79820000000000002</v>
      </c>
      <c r="I121" s="1">
        <v>0.85660000000000003</v>
      </c>
      <c r="J121" s="1">
        <v>0.88560000000000005</v>
      </c>
      <c r="K121" s="1">
        <v>0.9153</v>
      </c>
      <c r="L121" s="1">
        <v>0.83340000000000003</v>
      </c>
      <c r="M121" s="1">
        <v>0.92810000000000004</v>
      </c>
      <c r="N121" s="1">
        <v>0.9647</v>
      </c>
      <c r="O121" s="1">
        <v>0.99350000000000005</v>
      </c>
      <c r="P121" s="1">
        <v>0.84740000000000004</v>
      </c>
      <c r="Q121" s="1">
        <v>0.92479999999999996</v>
      </c>
      <c r="R121" s="6">
        <v>0.96350000000000002</v>
      </c>
      <c r="S121" s="1">
        <v>0.99609999999999999</v>
      </c>
      <c r="T121" s="1">
        <v>0.82266305981364596</v>
      </c>
      <c r="U121" s="1">
        <v>0.92996693718064305</v>
      </c>
      <c r="V121" s="1">
        <v>0.96122633002705105</v>
      </c>
      <c r="W121" s="1">
        <v>0.99398857829876797</v>
      </c>
      <c r="X121" s="1">
        <v>0.81730082627766998</v>
      </c>
      <c r="Y121" s="1">
        <v>0.84433336733652997</v>
      </c>
      <c r="Z121" s="1">
        <v>0.87003978373967195</v>
      </c>
      <c r="AA121" s="1">
        <v>0.88483117413036805</v>
      </c>
      <c r="AB121" s="1">
        <v>0.52017885806007802</v>
      </c>
      <c r="AC121" s="1">
        <v>0.588511809218069</v>
      </c>
      <c r="AD121" s="1">
        <v>0.61052510891997203</v>
      </c>
      <c r="AE121" s="1">
        <v>0.62107314836046801</v>
      </c>
    </row>
    <row r="122" spans="1:31" x14ac:dyDescent="0.3">
      <c r="A122" t="s">
        <v>56</v>
      </c>
      <c r="B122">
        <v>30</v>
      </c>
      <c r="C122" t="s">
        <v>77</v>
      </c>
      <c r="D122">
        <v>0.74529999999999996</v>
      </c>
      <c r="E122">
        <v>0.81359999999999999</v>
      </c>
      <c r="F122">
        <v>0.84650000000000003</v>
      </c>
      <c r="G122">
        <v>0.87870000000000004</v>
      </c>
      <c r="H122">
        <v>0.83150000000000002</v>
      </c>
      <c r="I122">
        <v>0.9022</v>
      </c>
      <c r="J122">
        <v>0.93530000000000002</v>
      </c>
      <c r="K122">
        <v>0.95920000000000005</v>
      </c>
      <c r="L122">
        <v>0.83009999999999995</v>
      </c>
      <c r="M122">
        <v>0.92159999999999997</v>
      </c>
      <c r="N122">
        <v>0.96650000000000003</v>
      </c>
      <c r="O122">
        <v>0.99480000000000002</v>
      </c>
      <c r="P122">
        <v>0.82020000000000004</v>
      </c>
      <c r="Q122">
        <v>0.91290000000000004</v>
      </c>
      <c r="R122" s="5">
        <v>0.96020000000000005</v>
      </c>
      <c r="S122">
        <v>0.99529999999999996</v>
      </c>
      <c r="T122">
        <v>0.81610000000000005</v>
      </c>
      <c r="U122">
        <v>0.91920000000000002</v>
      </c>
      <c r="V122">
        <v>0.96679999999999999</v>
      </c>
      <c r="W122">
        <v>0.99450000000000005</v>
      </c>
      <c r="X122">
        <v>0.87645924271647502</v>
      </c>
      <c r="Y122">
        <v>0.92386559740127905</v>
      </c>
      <c r="Z122">
        <v>0.94406659222414002</v>
      </c>
      <c r="AA122">
        <v>0.95543599634554899</v>
      </c>
      <c r="AB122">
        <v>0.72550000000000003</v>
      </c>
      <c r="AC122">
        <v>0.77439999999999998</v>
      </c>
      <c r="AD122">
        <v>0.78169999999999995</v>
      </c>
      <c r="AE122">
        <v>0.79700000000000004</v>
      </c>
    </row>
    <row r="123" spans="1:31" x14ac:dyDescent="0.3">
      <c r="A123" t="s">
        <v>56</v>
      </c>
      <c r="B123">
        <v>50</v>
      </c>
      <c r="C123" t="s">
        <v>77</v>
      </c>
      <c r="D123">
        <v>0.81189999999999996</v>
      </c>
      <c r="E123">
        <v>0.88039999999999996</v>
      </c>
      <c r="F123">
        <v>0.91249999999999998</v>
      </c>
      <c r="G123">
        <v>0.94010000000000005</v>
      </c>
      <c r="H123">
        <v>0.82250000000000001</v>
      </c>
      <c r="I123">
        <v>0.91779999999999995</v>
      </c>
      <c r="J123">
        <v>0.96009999999999995</v>
      </c>
      <c r="K123">
        <v>0.99080000000000001</v>
      </c>
      <c r="L123">
        <v>0.81620000000000004</v>
      </c>
      <c r="M123">
        <v>0.9143</v>
      </c>
      <c r="N123">
        <v>0.96120000000000005</v>
      </c>
      <c r="O123">
        <v>0.99360000000000004</v>
      </c>
      <c r="P123">
        <v>0.82689999999999997</v>
      </c>
      <c r="Q123">
        <v>0.9204</v>
      </c>
      <c r="R123" s="5">
        <v>0.96430000000000005</v>
      </c>
      <c r="S123">
        <v>0.99280000000000002</v>
      </c>
      <c r="T123">
        <v>0.8115</v>
      </c>
      <c r="U123">
        <v>0.91090000000000004</v>
      </c>
      <c r="V123">
        <v>0.95750000000000002</v>
      </c>
      <c r="W123">
        <v>0.99199999999999999</v>
      </c>
      <c r="X123">
        <v>0.82165926524021005</v>
      </c>
      <c r="Y123">
        <v>0.92995559144126005</v>
      </c>
      <c r="Z123">
        <v>0.94882922890593502</v>
      </c>
      <c r="AA123">
        <v>0.99162293096487697</v>
      </c>
      <c r="AB123">
        <v>0.82320000000000004</v>
      </c>
      <c r="AC123">
        <v>0.88460000000000005</v>
      </c>
      <c r="AD123">
        <v>0.91010000000000002</v>
      </c>
      <c r="AE123">
        <v>0.92220000000000002</v>
      </c>
    </row>
    <row r="124" spans="1:31" x14ac:dyDescent="0.3">
      <c r="A124" t="s">
        <v>57</v>
      </c>
      <c r="B124">
        <v>20</v>
      </c>
      <c r="C124" s="11" t="s">
        <v>77</v>
      </c>
      <c r="D124">
        <v>0.62970000000000004</v>
      </c>
      <c r="E124">
        <v>0.76839999999999997</v>
      </c>
      <c r="F124">
        <v>0.86550000000000005</v>
      </c>
      <c r="G124">
        <v>0.97250000000000003</v>
      </c>
      <c r="H124">
        <v>0.8054</v>
      </c>
      <c r="I124">
        <v>0.89410000000000001</v>
      </c>
      <c r="J124">
        <v>0.94010000000000005</v>
      </c>
      <c r="K124">
        <v>0.97940000000000005</v>
      </c>
      <c r="L124">
        <v>0.82569999999999999</v>
      </c>
      <c r="M124">
        <v>0.91830000000000001</v>
      </c>
      <c r="N124">
        <v>0.96030000000000004</v>
      </c>
      <c r="O124">
        <v>0.99109999999999998</v>
      </c>
      <c r="P124">
        <v>0.82769999999999999</v>
      </c>
      <c r="Q124">
        <v>0.9173</v>
      </c>
      <c r="R124" s="5">
        <v>0.9607</v>
      </c>
      <c r="S124">
        <v>0.99370000000000003</v>
      </c>
      <c r="T124">
        <v>0.83030000000000004</v>
      </c>
      <c r="U124">
        <v>0.92830000000000001</v>
      </c>
      <c r="V124">
        <v>0.96389999999999998</v>
      </c>
      <c r="W124">
        <v>0.99390000000000001</v>
      </c>
      <c r="X124">
        <v>0.80360540811216796</v>
      </c>
      <c r="Y124">
        <v>0.846670005007511</v>
      </c>
      <c r="Z124">
        <v>0.87531296945418102</v>
      </c>
      <c r="AA124">
        <v>0.895343014521783</v>
      </c>
      <c r="AB124">
        <v>0.59393566892030303</v>
      </c>
      <c r="AC124">
        <v>0.65478385576726095</v>
      </c>
      <c r="AD124">
        <v>0.67670559311616496</v>
      </c>
      <c r="AE124">
        <v>0.69258348699037098</v>
      </c>
    </row>
    <row r="125" spans="1:31" x14ac:dyDescent="0.3">
      <c r="A125" t="s">
        <v>57</v>
      </c>
      <c r="B125">
        <v>30</v>
      </c>
      <c r="C125" s="11" t="s">
        <v>77</v>
      </c>
      <c r="D125">
        <v>0.70389999999999997</v>
      </c>
      <c r="E125">
        <v>0.82609999999999995</v>
      </c>
      <c r="F125">
        <v>0.89749999999999996</v>
      </c>
      <c r="G125">
        <v>0.97140000000000004</v>
      </c>
      <c r="H125">
        <v>0.81679999999999997</v>
      </c>
      <c r="I125">
        <v>0.90890000000000004</v>
      </c>
      <c r="J125">
        <v>0.9536</v>
      </c>
      <c r="K125">
        <v>0.98480000000000001</v>
      </c>
      <c r="L125">
        <v>0.82340000000000002</v>
      </c>
      <c r="M125">
        <v>0.91379999999999995</v>
      </c>
      <c r="N125">
        <v>0.95889999999999997</v>
      </c>
      <c r="O125">
        <v>0.99209999999999998</v>
      </c>
      <c r="P125">
        <v>0.82499999999999996</v>
      </c>
      <c r="Q125">
        <v>0.91810000000000003</v>
      </c>
      <c r="R125" s="5">
        <v>0.96279999999999999</v>
      </c>
      <c r="S125">
        <v>0.99370000000000003</v>
      </c>
      <c r="T125">
        <v>0.82750000000000001</v>
      </c>
      <c r="U125">
        <v>0.92130000000000001</v>
      </c>
      <c r="V125">
        <v>0.96519999999999995</v>
      </c>
      <c r="W125">
        <v>0.99460000000000004</v>
      </c>
      <c r="X125">
        <v>0.85639843671710603</v>
      </c>
      <c r="Y125">
        <v>0.91411965126766204</v>
      </c>
      <c r="Z125">
        <v>0.93957310351738699</v>
      </c>
      <c r="AA125">
        <v>0.95721014129672299</v>
      </c>
      <c r="AB125">
        <v>0.71699999999999997</v>
      </c>
      <c r="AC125">
        <v>0.77170000000000005</v>
      </c>
      <c r="AD125">
        <v>0.78769999999999996</v>
      </c>
      <c r="AE125">
        <v>0.80910000000000004</v>
      </c>
    </row>
    <row r="126" spans="1:31" x14ac:dyDescent="0.3">
      <c r="A126" t="s">
        <v>57</v>
      </c>
      <c r="B126">
        <v>50</v>
      </c>
      <c r="C126" s="11" t="s">
        <v>77</v>
      </c>
      <c r="D126">
        <v>0.7661</v>
      </c>
      <c r="E126">
        <v>0.86860000000000004</v>
      </c>
      <c r="F126">
        <v>0.92669999999999997</v>
      </c>
      <c r="G126">
        <v>0.9778</v>
      </c>
      <c r="H126">
        <v>0.81740000000000002</v>
      </c>
      <c r="I126">
        <v>0.91469999999999996</v>
      </c>
      <c r="J126">
        <v>0.96</v>
      </c>
      <c r="K126">
        <v>0.99009999999999998</v>
      </c>
      <c r="L126">
        <v>0.81799999999999995</v>
      </c>
      <c r="M126">
        <v>0.91379999999999995</v>
      </c>
      <c r="N126">
        <v>0.95920000000000005</v>
      </c>
      <c r="O126">
        <v>0.99299999999999999</v>
      </c>
      <c r="P126">
        <v>0.81710000000000005</v>
      </c>
      <c r="Q126">
        <v>0.91290000000000004</v>
      </c>
      <c r="R126" s="5">
        <v>0.95850000000000002</v>
      </c>
      <c r="S126">
        <v>0.99229999999999996</v>
      </c>
      <c r="T126">
        <v>0.81320000000000003</v>
      </c>
      <c r="U126">
        <v>0.9123</v>
      </c>
      <c r="V126">
        <v>0.95979999999999999</v>
      </c>
      <c r="W126">
        <v>0.99339999999999995</v>
      </c>
      <c r="X126">
        <v>0.807488237060767</v>
      </c>
      <c r="Y126">
        <v>0.92291520672740002</v>
      </c>
      <c r="Z126">
        <v>0.95234758234057504</v>
      </c>
      <c r="AA126">
        <v>0.98948843728100899</v>
      </c>
      <c r="AB126">
        <v>0.83030000000000004</v>
      </c>
      <c r="AC126">
        <v>0.8881</v>
      </c>
      <c r="AD126">
        <v>0.91249999999999998</v>
      </c>
      <c r="AE126">
        <v>0.92820000000000003</v>
      </c>
    </row>
    <row r="127" spans="1:31" x14ac:dyDescent="0.3">
      <c r="A127" t="s">
        <v>31</v>
      </c>
      <c r="B127">
        <v>20</v>
      </c>
      <c r="C127" t="s">
        <v>77</v>
      </c>
      <c r="D127">
        <v>0.638483089853912</v>
      </c>
      <c r="E127">
        <v>0.70242145287172297</v>
      </c>
      <c r="F127">
        <v>0.73253952371422804</v>
      </c>
      <c r="G127">
        <v>0.76055633380027998</v>
      </c>
      <c r="H127">
        <v>0.79830000000000001</v>
      </c>
      <c r="I127">
        <v>0.85680000000000001</v>
      </c>
      <c r="J127">
        <v>0.88580000000000003</v>
      </c>
      <c r="K127">
        <v>0.91349999999999998</v>
      </c>
      <c r="L127">
        <v>0.82720000000000005</v>
      </c>
      <c r="M127">
        <v>0.92349999999999999</v>
      </c>
      <c r="N127">
        <v>0.96409999999999996</v>
      </c>
      <c r="O127">
        <v>0.9919</v>
      </c>
      <c r="P127">
        <v>0.84360000000000002</v>
      </c>
      <c r="Q127">
        <v>0.93130000000000002</v>
      </c>
      <c r="R127" s="5">
        <v>0.97060000000000002</v>
      </c>
      <c r="S127">
        <v>0.99660000000000004</v>
      </c>
      <c r="T127">
        <v>0.84299999999999997</v>
      </c>
      <c r="U127">
        <v>0.93410000000000004</v>
      </c>
      <c r="V127">
        <v>0.96940000000000004</v>
      </c>
      <c r="W127">
        <v>0.99209999999999998</v>
      </c>
      <c r="X127">
        <v>0.79730000000000001</v>
      </c>
      <c r="Y127">
        <v>0.8548</v>
      </c>
      <c r="Z127">
        <v>0.88439999999999996</v>
      </c>
      <c r="AA127">
        <v>0.91239999999999999</v>
      </c>
      <c r="AB127">
        <v>0.63390712570055996</v>
      </c>
      <c r="AC127">
        <v>0.69595676541232998</v>
      </c>
      <c r="AD127">
        <v>0.72518014411529197</v>
      </c>
      <c r="AE127">
        <v>0.75420336269015198</v>
      </c>
    </row>
    <row r="128" spans="1:31" x14ac:dyDescent="0.3">
      <c r="A128" t="s">
        <v>31</v>
      </c>
      <c r="B128">
        <v>30</v>
      </c>
      <c r="C128" t="s">
        <v>77</v>
      </c>
      <c r="D128">
        <v>0.72889999999999999</v>
      </c>
      <c r="E128">
        <v>0.79169999999999996</v>
      </c>
      <c r="F128">
        <v>0.81740000000000002</v>
      </c>
      <c r="G128">
        <v>0.84599999999999997</v>
      </c>
      <c r="H128">
        <v>0.8448</v>
      </c>
      <c r="I128">
        <v>0.90849999999999997</v>
      </c>
      <c r="J128">
        <v>0.9365</v>
      </c>
      <c r="K128">
        <v>0.95820000000000005</v>
      </c>
      <c r="L128">
        <v>0.82889999999999997</v>
      </c>
      <c r="M128">
        <v>0.92010000000000003</v>
      </c>
      <c r="N128">
        <v>0.9667</v>
      </c>
      <c r="O128">
        <v>0.99409999999999998</v>
      </c>
      <c r="P128">
        <v>0.82389999999999997</v>
      </c>
      <c r="Q128">
        <v>0.91910000000000003</v>
      </c>
      <c r="R128" s="5">
        <v>0.96189999999999998</v>
      </c>
      <c r="S128">
        <v>0.99490000000000001</v>
      </c>
      <c r="T128">
        <v>0.82620000000000005</v>
      </c>
      <c r="U128">
        <v>0.9173</v>
      </c>
      <c r="V128">
        <v>0.96150000000000002</v>
      </c>
      <c r="W128">
        <v>0.995</v>
      </c>
      <c r="X128">
        <v>0.845484548454845</v>
      </c>
      <c r="Y128">
        <v>0.908090809080908</v>
      </c>
      <c r="Z128">
        <v>0.936793679367937</v>
      </c>
      <c r="AA128">
        <v>0.96049604960496004</v>
      </c>
      <c r="AB128">
        <v>0.72540000000000004</v>
      </c>
      <c r="AC128">
        <v>0.78369999999999995</v>
      </c>
      <c r="AD128">
        <v>0.81089999999999995</v>
      </c>
      <c r="AE128">
        <v>0.84</v>
      </c>
    </row>
    <row r="129" spans="1:31" ht="15" thickBot="1" x14ac:dyDescent="0.35">
      <c r="A129" t="s">
        <v>31</v>
      </c>
      <c r="B129">
        <v>50</v>
      </c>
      <c r="C129" t="s">
        <v>77</v>
      </c>
      <c r="D129">
        <v>0.82130000000000003</v>
      </c>
      <c r="E129">
        <v>0.88</v>
      </c>
      <c r="F129">
        <v>0.90959999999999996</v>
      </c>
      <c r="G129">
        <v>0.93330000000000002</v>
      </c>
      <c r="H129">
        <v>0.80918091809180903</v>
      </c>
      <c r="I129">
        <v>0.91999199919992003</v>
      </c>
      <c r="J129">
        <v>0.95879587958795898</v>
      </c>
      <c r="K129">
        <v>0.98959895989599</v>
      </c>
      <c r="L129">
        <v>0.82010000000000005</v>
      </c>
      <c r="M129">
        <v>0.91279999999999994</v>
      </c>
      <c r="N129">
        <v>0.96079999999999999</v>
      </c>
      <c r="O129">
        <v>0.99399999999999999</v>
      </c>
      <c r="P129">
        <v>0.81740000000000002</v>
      </c>
      <c r="Q129">
        <v>0.91490000000000005</v>
      </c>
      <c r="R129" s="5">
        <v>0.96179999999999999</v>
      </c>
      <c r="S129">
        <v>0.99360000000000004</v>
      </c>
      <c r="T129">
        <v>0.81869999999999998</v>
      </c>
      <c r="U129">
        <v>0.91220000000000001</v>
      </c>
      <c r="V129">
        <v>0.95789999999999997</v>
      </c>
      <c r="W129">
        <v>0.99360000000000004</v>
      </c>
      <c r="X129">
        <v>0.80379999999999996</v>
      </c>
      <c r="Y129">
        <v>0.91320000000000001</v>
      </c>
      <c r="Z129">
        <v>0.9546</v>
      </c>
      <c r="AA129">
        <v>0.99019999999999997</v>
      </c>
      <c r="AB129">
        <v>0.82379999999999998</v>
      </c>
      <c r="AC129">
        <v>0.88109999999999999</v>
      </c>
      <c r="AD129">
        <v>0.91</v>
      </c>
      <c r="AE129">
        <v>0.93159999999999998</v>
      </c>
    </row>
    <row r="130" spans="1:31" ht="15" thickTop="1" x14ac:dyDescent="0.3">
      <c r="A130" s="1" t="s">
        <v>56</v>
      </c>
      <c r="B130" s="1">
        <v>20</v>
      </c>
      <c r="C130" s="1" t="s">
        <v>54</v>
      </c>
      <c r="D130" s="1">
        <v>0.15010000000000001</v>
      </c>
      <c r="E130" s="1">
        <v>0.24879999999999999</v>
      </c>
      <c r="F130" s="1">
        <v>0.37540000000000001</v>
      </c>
      <c r="G130" s="1">
        <v>0.70369999999999999</v>
      </c>
      <c r="H130" s="1">
        <v>0.47570000000000001</v>
      </c>
      <c r="I130" s="1">
        <v>0.63959999999999995</v>
      </c>
      <c r="J130" s="1">
        <v>0.76359999999999995</v>
      </c>
      <c r="K130" s="1">
        <v>0.93869999999999998</v>
      </c>
      <c r="L130" s="1">
        <v>0.82509999999999994</v>
      </c>
      <c r="M130" s="1">
        <v>0.91700000000000004</v>
      </c>
      <c r="N130" s="1">
        <v>0.96240000000000003</v>
      </c>
      <c r="O130" s="1">
        <v>0.99260000000000004</v>
      </c>
      <c r="P130" s="1">
        <v>0.81179999999999997</v>
      </c>
      <c r="Q130" s="1">
        <v>0.90820000000000001</v>
      </c>
      <c r="R130" s="6">
        <v>0.95860000000000001</v>
      </c>
      <c r="S130" s="1">
        <v>0.9929</v>
      </c>
      <c r="T130" s="1">
        <v>0.81079999999999997</v>
      </c>
      <c r="U130" s="1">
        <v>0.91139999999999999</v>
      </c>
      <c r="V130" s="1">
        <v>0.95720000000000005</v>
      </c>
      <c r="W130" s="1">
        <v>0.9899</v>
      </c>
      <c r="X130" s="1">
        <v>0.78990000000000005</v>
      </c>
      <c r="Y130" s="1">
        <v>0.86639999999999995</v>
      </c>
      <c r="Z130" s="1">
        <v>0.90710000000000002</v>
      </c>
      <c r="AA130" s="1">
        <v>0.94020000000000004</v>
      </c>
      <c r="AB130" s="1">
        <v>0.66349999999999998</v>
      </c>
      <c r="AC130" s="1">
        <v>0.73899999999999999</v>
      </c>
      <c r="AD130" s="1">
        <v>0.78269999999999995</v>
      </c>
      <c r="AE130" s="1">
        <v>0.81869999999999998</v>
      </c>
    </row>
    <row r="131" spans="1:31" x14ac:dyDescent="0.3">
      <c r="A131" t="s">
        <v>56</v>
      </c>
      <c r="B131">
        <v>30</v>
      </c>
      <c r="C131" t="s">
        <v>54</v>
      </c>
      <c r="D131">
        <v>8.7099999999999997E-2</v>
      </c>
      <c r="E131">
        <v>0.1573</v>
      </c>
      <c r="F131">
        <v>0.247</v>
      </c>
      <c r="G131">
        <v>0.49509999999999998</v>
      </c>
      <c r="H131">
        <v>0.41970000000000002</v>
      </c>
      <c r="I131">
        <v>0.57130000000000003</v>
      </c>
      <c r="J131">
        <v>0.70179999999999998</v>
      </c>
      <c r="K131">
        <v>0.88949999999999996</v>
      </c>
      <c r="L131">
        <v>0.82240000000000002</v>
      </c>
      <c r="M131">
        <v>0.91720000000000002</v>
      </c>
      <c r="N131">
        <v>0.95909999999999995</v>
      </c>
      <c r="O131">
        <v>0.99370000000000003</v>
      </c>
      <c r="P131">
        <v>0.79830000000000001</v>
      </c>
      <c r="Q131">
        <v>0.90080000000000005</v>
      </c>
      <c r="R131" s="5">
        <v>0.95250000000000001</v>
      </c>
      <c r="S131">
        <v>0.99039999999999995</v>
      </c>
      <c r="T131">
        <v>0.81140000000000001</v>
      </c>
      <c r="U131">
        <v>0.90880000000000005</v>
      </c>
      <c r="V131">
        <v>0.95520000000000005</v>
      </c>
      <c r="W131">
        <v>0.99160000000000004</v>
      </c>
      <c r="X131">
        <v>0.82420000000000004</v>
      </c>
      <c r="Y131">
        <v>0.89890000000000003</v>
      </c>
      <c r="Z131">
        <v>0.93559999999999999</v>
      </c>
      <c r="AA131">
        <v>0.96940000000000004</v>
      </c>
      <c r="AB131">
        <v>0.73750000000000004</v>
      </c>
      <c r="AC131">
        <v>0.81379999999999997</v>
      </c>
      <c r="AD131">
        <v>0.85199999999999998</v>
      </c>
      <c r="AE131">
        <v>0.89239999999999997</v>
      </c>
    </row>
    <row r="132" spans="1:31" x14ac:dyDescent="0.3">
      <c r="A132" t="s">
        <v>56</v>
      </c>
      <c r="B132">
        <v>50</v>
      </c>
      <c r="C132" t="s">
        <v>54</v>
      </c>
      <c r="D132">
        <v>3.9600000000000003E-2</v>
      </c>
      <c r="E132">
        <v>7.8600000000000003E-2</v>
      </c>
      <c r="F132">
        <v>0.1298</v>
      </c>
      <c r="G132">
        <v>0.3029</v>
      </c>
      <c r="H132">
        <v>0.35049999999999998</v>
      </c>
      <c r="I132">
        <v>0.4909</v>
      </c>
      <c r="J132">
        <v>0.62250000000000005</v>
      </c>
      <c r="K132">
        <v>0.83169999999999999</v>
      </c>
      <c r="L132">
        <v>0.80820000000000003</v>
      </c>
      <c r="M132">
        <v>0.9103</v>
      </c>
      <c r="N132">
        <v>0.9577</v>
      </c>
      <c r="O132">
        <v>0.99229999999999996</v>
      </c>
      <c r="P132">
        <v>0.79569999999999996</v>
      </c>
      <c r="Q132">
        <v>0.89449999999999996</v>
      </c>
      <c r="R132" s="5">
        <v>0.94650000000000001</v>
      </c>
      <c r="S132">
        <v>0.99</v>
      </c>
      <c r="T132">
        <v>0.79149999999999998</v>
      </c>
      <c r="U132">
        <v>0.89559999999999995</v>
      </c>
      <c r="V132">
        <v>0.94840000000000002</v>
      </c>
      <c r="W132">
        <v>0.98829999999999996</v>
      </c>
      <c r="X132">
        <v>0.80679999999999996</v>
      </c>
      <c r="Y132">
        <v>0.90600000000000003</v>
      </c>
      <c r="Z132">
        <v>0.95499999999999996</v>
      </c>
      <c r="AA132">
        <v>0.98850000000000005</v>
      </c>
      <c r="AB132">
        <v>0.80059999999999998</v>
      </c>
      <c r="AC132">
        <v>0.87280000000000002</v>
      </c>
      <c r="AD132">
        <v>0.91639999999999999</v>
      </c>
      <c r="AE132">
        <v>0.95269999999999999</v>
      </c>
    </row>
    <row r="133" spans="1:31" x14ac:dyDescent="0.3">
      <c r="A133" t="s">
        <v>57</v>
      </c>
      <c r="B133">
        <v>20</v>
      </c>
      <c r="C133" t="s">
        <v>54</v>
      </c>
      <c r="D133">
        <v>0</v>
      </c>
      <c r="E133">
        <v>0</v>
      </c>
      <c r="F133">
        <v>0</v>
      </c>
      <c r="G133" s="3">
        <v>9.9999999999989E-5</v>
      </c>
      <c r="H133">
        <v>0</v>
      </c>
      <c r="I133">
        <v>4.9999999999994504E-4</v>
      </c>
      <c r="J133">
        <v>2.29999999999997E-3</v>
      </c>
      <c r="K133">
        <v>2.52E-2</v>
      </c>
      <c r="L133">
        <v>0.35560000000000003</v>
      </c>
      <c r="M133">
        <v>0.51129999999999998</v>
      </c>
      <c r="N133">
        <v>0.64959999999999996</v>
      </c>
      <c r="O133">
        <v>0.86870000000000003</v>
      </c>
      <c r="P133">
        <v>0.58709999999999996</v>
      </c>
      <c r="Q133">
        <v>0.74070000000000003</v>
      </c>
      <c r="R133" s="5">
        <v>0.83879999999999999</v>
      </c>
      <c r="S133">
        <v>0.95820000000000005</v>
      </c>
      <c r="T133">
        <v>0.2019</v>
      </c>
      <c r="U133">
        <v>0.32619999999999999</v>
      </c>
      <c r="V133">
        <v>0.45629999999999998</v>
      </c>
      <c r="W133">
        <v>0.75749999999999995</v>
      </c>
      <c r="X133">
        <v>0.35799999999999998</v>
      </c>
      <c r="Y133">
        <v>0.51910000000000001</v>
      </c>
      <c r="Z133">
        <v>0.66100000000000003</v>
      </c>
      <c r="AA133">
        <v>0.90629999999999999</v>
      </c>
      <c r="AB133">
        <v>0.53839999999999999</v>
      </c>
      <c r="AC133">
        <v>0.69979999999999998</v>
      </c>
      <c r="AD133">
        <v>0.82340000000000002</v>
      </c>
      <c r="AE133">
        <v>0.96630000000000005</v>
      </c>
    </row>
    <row r="134" spans="1:31" x14ac:dyDescent="0.3">
      <c r="A134" t="s">
        <v>57</v>
      </c>
      <c r="B134">
        <v>30</v>
      </c>
      <c r="C134" t="s">
        <v>54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s="3">
        <v>9.9999999999989E-5</v>
      </c>
      <c r="K134">
        <v>1.29999999999997E-3</v>
      </c>
      <c r="L134">
        <v>0.28710000000000002</v>
      </c>
      <c r="M134">
        <v>0.43159999999999998</v>
      </c>
      <c r="N134">
        <v>0.56689999999999996</v>
      </c>
      <c r="O134">
        <v>0.80659999999999998</v>
      </c>
      <c r="P134">
        <v>0.49490000000000001</v>
      </c>
      <c r="Q134">
        <v>0.65249999999999997</v>
      </c>
      <c r="R134" s="5">
        <v>0.7671</v>
      </c>
      <c r="S134">
        <v>0.92259999999999998</v>
      </c>
      <c r="T134">
        <v>0.15939999999999999</v>
      </c>
      <c r="U134">
        <v>0.2707</v>
      </c>
      <c r="V134">
        <v>0.39290000000000003</v>
      </c>
      <c r="W134">
        <v>0.66039999999999999</v>
      </c>
      <c r="X134">
        <v>0.36820000000000003</v>
      </c>
      <c r="Y134">
        <v>0.51259999999999994</v>
      </c>
      <c r="Z134">
        <v>0.64700000000000002</v>
      </c>
      <c r="AA134">
        <v>0.85799999999999998</v>
      </c>
      <c r="AB134">
        <v>0.55420000000000003</v>
      </c>
      <c r="AC134">
        <v>0.69899999999999995</v>
      </c>
      <c r="AD134">
        <v>0.80289999999999995</v>
      </c>
      <c r="AE134">
        <v>0.94369999999999998</v>
      </c>
    </row>
    <row r="135" spans="1:31" x14ac:dyDescent="0.3">
      <c r="A135" t="s">
        <v>57</v>
      </c>
      <c r="B135">
        <v>50</v>
      </c>
      <c r="C135" t="s">
        <v>54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0.21920000000000001</v>
      </c>
      <c r="M135">
        <v>0.34860000000000002</v>
      </c>
      <c r="N135">
        <v>0.4788</v>
      </c>
      <c r="O135">
        <v>0.73140000000000005</v>
      </c>
      <c r="P135">
        <v>0.37169999999999997</v>
      </c>
      <c r="Q135">
        <v>0.52539999999999998</v>
      </c>
      <c r="R135" s="5">
        <v>0.65639999999999998</v>
      </c>
      <c r="S135">
        <v>0.85160000000000002</v>
      </c>
      <c r="T135">
        <v>0.12280000000000001</v>
      </c>
      <c r="U135">
        <v>0.2109</v>
      </c>
      <c r="V135">
        <v>0.31009999999999999</v>
      </c>
      <c r="W135">
        <v>0.55549999999999999</v>
      </c>
      <c r="X135">
        <v>0.36730000000000002</v>
      </c>
      <c r="Y135">
        <v>0.50670000000000004</v>
      </c>
      <c r="Z135">
        <v>0.63019999999999998</v>
      </c>
      <c r="AA135">
        <v>0.83320000000000005</v>
      </c>
      <c r="AB135">
        <v>0.56940000000000002</v>
      </c>
      <c r="AC135">
        <v>0.71230000000000004</v>
      </c>
      <c r="AD135">
        <v>0.80989999999999995</v>
      </c>
      <c r="AE135">
        <v>0.93810000000000004</v>
      </c>
    </row>
    <row r="136" spans="1:31" x14ac:dyDescent="0.3">
      <c r="A136" t="s">
        <v>31</v>
      </c>
      <c r="B136">
        <v>20</v>
      </c>
      <c r="C136" t="s">
        <v>54</v>
      </c>
      <c r="D136">
        <v>4.2599999999999999E-2</v>
      </c>
      <c r="E136">
        <v>9.3700000000000006E-2</v>
      </c>
      <c r="F136">
        <v>0.17280000000000001</v>
      </c>
      <c r="G136">
        <v>0.4849</v>
      </c>
      <c r="H136">
        <v>0.13150000000000001</v>
      </c>
      <c r="I136">
        <v>0.2319</v>
      </c>
      <c r="J136">
        <v>0.35909999999999997</v>
      </c>
      <c r="K136">
        <v>0.68359999999999999</v>
      </c>
      <c r="L136">
        <v>0.50790000000000002</v>
      </c>
      <c r="M136">
        <v>0.65580000000000005</v>
      </c>
      <c r="N136">
        <v>0.77929999999999999</v>
      </c>
      <c r="O136">
        <v>0.93489999999999995</v>
      </c>
      <c r="P136">
        <v>0.83609999999999995</v>
      </c>
      <c r="Q136">
        <v>0.92430000000000001</v>
      </c>
      <c r="R136" s="5">
        <v>0.96750000000000003</v>
      </c>
      <c r="S136">
        <v>0.99329999999999996</v>
      </c>
      <c r="T136">
        <v>0.504</v>
      </c>
      <c r="U136">
        <v>0.66090000000000004</v>
      </c>
      <c r="V136">
        <v>0.79069999999999996</v>
      </c>
      <c r="W136">
        <v>0.94240000000000002</v>
      </c>
      <c r="X136">
        <v>0.1348</v>
      </c>
      <c r="Y136">
        <v>0.2384</v>
      </c>
      <c r="Z136">
        <v>0.36230000000000001</v>
      </c>
      <c r="AA136">
        <v>0.69179999999999997</v>
      </c>
      <c r="AB136">
        <v>4.49000000000001E-2</v>
      </c>
      <c r="AC136">
        <v>9.64E-2</v>
      </c>
      <c r="AD136">
        <v>0.16869999999999999</v>
      </c>
      <c r="AE136">
        <v>0.48420000000000002</v>
      </c>
    </row>
    <row r="137" spans="1:31" x14ac:dyDescent="0.3">
      <c r="A137" t="s">
        <v>31</v>
      </c>
      <c r="B137">
        <v>30</v>
      </c>
      <c r="C137" t="s">
        <v>54</v>
      </c>
      <c r="D137">
        <v>3.3399999999999999E-2</v>
      </c>
      <c r="E137">
        <v>6.5999999999999906E-2</v>
      </c>
      <c r="F137">
        <v>0.1174</v>
      </c>
      <c r="G137">
        <v>0.31430000000000002</v>
      </c>
      <c r="H137">
        <v>9.8300000000000096E-2</v>
      </c>
      <c r="I137">
        <v>0.1774</v>
      </c>
      <c r="J137">
        <v>0.27210000000000001</v>
      </c>
      <c r="K137">
        <v>0.54069999999999996</v>
      </c>
      <c r="L137">
        <v>0.45169999999999999</v>
      </c>
      <c r="M137">
        <v>0.61560000000000004</v>
      </c>
      <c r="N137">
        <v>0.74070000000000003</v>
      </c>
      <c r="O137">
        <v>0.90610000000000002</v>
      </c>
      <c r="P137">
        <v>0.82499999999999996</v>
      </c>
      <c r="Q137">
        <v>0.91810000000000003</v>
      </c>
      <c r="R137" s="5">
        <v>0.96140000000000003</v>
      </c>
      <c r="S137">
        <v>0.99350000000000005</v>
      </c>
      <c r="T137">
        <v>0.44640000000000002</v>
      </c>
      <c r="U137">
        <v>0.60260000000000002</v>
      </c>
      <c r="V137">
        <v>0.72760000000000002</v>
      </c>
      <c r="W137">
        <v>0.90500000000000003</v>
      </c>
      <c r="X137">
        <v>0.10290000000000001</v>
      </c>
      <c r="Y137">
        <v>0.18759999999999999</v>
      </c>
      <c r="Z137">
        <v>0.28170000000000001</v>
      </c>
      <c r="AA137">
        <v>0.53890000000000005</v>
      </c>
      <c r="AB137">
        <v>3.4800000000000102E-2</v>
      </c>
      <c r="AC137">
        <v>7.2900000000000006E-2</v>
      </c>
      <c r="AD137">
        <v>0.12889999999999999</v>
      </c>
      <c r="AE137">
        <v>0.31929999999999997</v>
      </c>
    </row>
    <row r="138" spans="1:31" ht="15" thickBot="1" x14ac:dyDescent="0.35">
      <c r="A138" t="s">
        <v>31</v>
      </c>
      <c r="B138">
        <v>50</v>
      </c>
      <c r="C138" t="s">
        <v>54</v>
      </c>
      <c r="D138">
        <v>2.29E-2</v>
      </c>
      <c r="E138">
        <v>4.9900000000000097E-2</v>
      </c>
      <c r="F138">
        <v>8.7400000000000005E-2</v>
      </c>
      <c r="G138">
        <v>0.23130000000000001</v>
      </c>
      <c r="H138">
        <v>7.4100000000000096E-2</v>
      </c>
      <c r="I138">
        <v>0.1386</v>
      </c>
      <c r="J138">
        <v>0.21740000000000001</v>
      </c>
      <c r="K138">
        <v>0.42959999999999998</v>
      </c>
      <c r="L138">
        <v>0.40139999999999998</v>
      </c>
      <c r="M138">
        <v>0.55089999999999995</v>
      </c>
      <c r="N138">
        <v>0.67279999999999995</v>
      </c>
      <c r="O138">
        <v>0.86260000000000003</v>
      </c>
      <c r="P138">
        <v>0.8155</v>
      </c>
      <c r="Q138">
        <v>0.91339999999999999</v>
      </c>
      <c r="R138" s="5">
        <v>0.95789999999999997</v>
      </c>
      <c r="S138">
        <v>0.99280000000000002</v>
      </c>
      <c r="T138">
        <v>0.40079999999999999</v>
      </c>
      <c r="U138">
        <v>0.54969999999999997</v>
      </c>
      <c r="V138">
        <v>0.67469999999999997</v>
      </c>
      <c r="W138">
        <v>0.86240000000000006</v>
      </c>
      <c r="X138">
        <v>7.6499999999999999E-2</v>
      </c>
      <c r="Y138">
        <v>0.1399</v>
      </c>
      <c r="Z138">
        <v>0.21790000000000001</v>
      </c>
      <c r="AA138">
        <v>0.43940000000000001</v>
      </c>
      <c r="AB138">
        <v>2.2100000000000002E-2</v>
      </c>
      <c r="AC138">
        <v>4.8500000000000001E-2</v>
      </c>
      <c r="AD138">
        <v>8.7499999999999994E-2</v>
      </c>
      <c r="AE138">
        <v>0.21890000000000001</v>
      </c>
    </row>
    <row r="139" spans="1:31" ht="15" thickTop="1" x14ac:dyDescent="0.3">
      <c r="A139" s="1" t="s">
        <v>56</v>
      </c>
      <c r="B139" s="1">
        <v>20</v>
      </c>
      <c r="C139" s="1" t="s">
        <v>82</v>
      </c>
      <c r="D139" s="1">
        <v>0.7157</v>
      </c>
      <c r="E139" s="1">
        <v>0.79159999999999997</v>
      </c>
      <c r="F139" s="1">
        <v>0.82809999999999995</v>
      </c>
      <c r="G139" s="1">
        <v>0.86370000000000002</v>
      </c>
      <c r="H139" s="1">
        <v>0.79979999999999996</v>
      </c>
      <c r="I139" s="1">
        <v>0.8639</v>
      </c>
      <c r="J139" s="1">
        <v>0.89639999999999997</v>
      </c>
      <c r="K139" s="1">
        <v>0.92759999999999998</v>
      </c>
      <c r="L139" s="1">
        <v>0.8347</v>
      </c>
      <c r="M139" s="1">
        <v>0.92600000000000005</v>
      </c>
      <c r="N139" s="1">
        <v>0.96589999999999998</v>
      </c>
      <c r="O139" s="1">
        <v>0.99299999999999999</v>
      </c>
      <c r="P139" s="1">
        <v>0.84260000000000002</v>
      </c>
      <c r="Q139" s="1">
        <v>0.92469999999999997</v>
      </c>
      <c r="R139" s="6">
        <v>0.9637</v>
      </c>
      <c r="S139" s="1">
        <v>0.996</v>
      </c>
      <c r="T139" s="1">
        <v>0.825447634290287</v>
      </c>
      <c r="U139" s="1">
        <v>0.92897869360808205</v>
      </c>
      <c r="V139" s="1">
        <v>0.96218865659697905</v>
      </c>
      <c r="W139" s="1">
        <v>0.993498049414824</v>
      </c>
      <c r="X139" s="1">
        <v>0.81539550880032396</v>
      </c>
      <c r="Y139" s="1">
        <v>0.84735990289298002</v>
      </c>
      <c r="Z139" s="1">
        <v>0.87224357677523801</v>
      </c>
      <c r="AA139" s="1">
        <v>0.88933845842605697</v>
      </c>
      <c r="AB139" s="1">
        <v>0.54827774740295199</v>
      </c>
      <c r="AC139" s="1">
        <v>0.61487151448879196</v>
      </c>
      <c r="AD139" s="1">
        <v>0.63488244942591598</v>
      </c>
      <c r="AE139" s="1">
        <v>0.646692181519956</v>
      </c>
    </row>
    <row r="140" spans="1:31" x14ac:dyDescent="0.3">
      <c r="A140" t="s">
        <v>56</v>
      </c>
      <c r="B140">
        <v>30</v>
      </c>
      <c r="C140" t="s">
        <v>82</v>
      </c>
      <c r="D140">
        <v>0.75690000000000002</v>
      </c>
      <c r="E140">
        <v>0.83069999999999999</v>
      </c>
      <c r="F140">
        <v>0.86619999999999997</v>
      </c>
      <c r="G140">
        <v>0.90039999999999998</v>
      </c>
      <c r="H140">
        <v>0.82350000000000001</v>
      </c>
      <c r="I140">
        <v>0.89929999999999999</v>
      </c>
      <c r="J140">
        <v>0.93530000000000002</v>
      </c>
      <c r="K140">
        <v>0.96220000000000006</v>
      </c>
      <c r="L140">
        <v>0.83030000000000004</v>
      </c>
      <c r="M140">
        <v>0.92269999999999996</v>
      </c>
      <c r="N140">
        <v>0.96489999999999998</v>
      </c>
      <c r="O140">
        <v>0.995</v>
      </c>
      <c r="P140">
        <v>0.82020000000000004</v>
      </c>
      <c r="Q140">
        <v>0.91500000000000004</v>
      </c>
      <c r="R140" s="5">
        <v>0.96099999999999997</v>
      </c>
      <c r="S140">
        <v>0.99509999999999998</v>
      </c>
      <c r="T140">
        <v>0.81830000000000003</v>
      </c>
      <c r="U140">
        <v>0.92010000000000003</v>
      </c>
      <c r="V140">
        <v>0.9657</v>
      </c>
      <c r="W140">
        <v>0.99419999999999997</v>
      </c>
      <c r="X140">
        <v>0.873522578038186</v>
      </c>
      <c r="Y140">
        <v>0.92221436508738297</v>
      </c>
      <c r="Z140">
        <v>0.94322658854429697</v>
      </c>
      <c r="AA140">
        <v>0.95605616728962495</v>
      </c>
      <c r="AB140">
        <v>0.72540000000000004</v>
      </c>
      <c r="AC140">
        <v>0.77600000000000002</v>
      </c>
      <c r="AD140">
        <v>0.78510000000000002</v>
      </c>
      <c r="AE140">
        <v>0.80110000000000003</v>
      </c>
    </row>
    <row r="141" spans="1:31" x14ac:dyDescent="0.3">
      <c r="A141" t="s">
        <v>56</v>
      </c>
      <c r="B141">
        <v>50</v>
      </c>
      <c r="C141" t="s">
        <v>82</v>
      </c>
      <c r="D141">
        <v>0.80630000000000002</v>
      </c>
      <c r="E141">
        <v>0.88100000000000001</v>
      </c>
      <c r="F141">
        <v>0.91669999999999996</v>
      </c>
      <c r="G141">
        <v>0.94720000000000004</v>
      </c>
      <c r="H141">
        <v>0.82269999999999999</v>
      </c>
      <c r="I141">
        <v>0.91620000000000001</v>
      </c>
      <c r="J141">
        <v>0.95989999999999998</v>
      </c>
      <c r="K141">
        <v>0.98980000000000001</v>
      </c>
      <c r="L141">
        <v>0.81830000000000003</v>
      </c>
      <c r="M141">
        <v>0.91520000000000001</v>
      </c>
      <c r="N141">
        <v>0.96120000000000005</v>
      </c>
      <c r="O141">
        <v>0.99299999999999999</v>
      </c>
      <c r="P141">
        <v>0.82740000000000002</v>
      </c>
      <c r="Q141">
        <v>0.91910000000000003</v>
      </c>
      <c r="R141" s="5">
        <v>0.96319999999999995</v>
      </c>
      <c r="S141">
        <v>0.99299999999999999</v>
      </c>
      <c r="T141">
        <v>0.81140000000000001</v>
      </c>
      <c r="U141">
        <v>0.91010000000000002</v>
      </c>
      <c r="V141">
        <v>0.95679999999999998</v>
      </c>
      <c r="W141">
        <v>0.99150000000000005</v>
      </c>
      <c r="X141">
        <v>0.82114066908504602</v>
      </c>
      <c r="Y141">
        <v>0.92744860943168095</v>
      </c>
      <c r="Z141">
        <v>0.95012091898428097</v>
      </c>
      <c r="AA141">
        <v>0.991636436920597</v>
      </c>
      <c r="AB141">
        <v>0.82420000000000004</v>
      </c>
      <c r="AC141">
        <v>0.88360000000000005</v>
      </c>
      <c r="AD141">
        <v>0.90949999999999998</v>
      </c>
      <c r="AE141">
        <v>0.92300000000000004</v>
      </c>
    </row>
    <row r="142" spans="1:31" x14ac:dyDescent="0.3">
      <c r="A142" t="s">
        <v>57</v>
      </c>
      <c r="B142">
        <v>20</v>
      </c>
      <c r="C142" t="s">
        <v>82</v>
      </c>
      <c r="D142">
        <v>0.45939999999999998</v>
      </c>
      <c r="E142">
        <v>0.62080000000000002</v>
      </c>
      <c r="F142">
        <v>0.74870000000000003</v>
      </c>
      <c r="G142">
        <v>0.93820000000000003</v>
      </c>
      <c r="H142">
        <v>0.75580000000000003</v>
      </c>
      <c r="I142">
        <v>0.86650000000000005</v>
      </c>
      <c r="J142">
        <v>0.9274</v>
      </c>
      <c r="K142">
        <v>0.98329999999999995</v>
      </c>
      <c r="L142">
        <v>0.82599999999999996</v>
      </c>
      <c r="M142">
        <v>0.91700000000000004</v>
      </c>
      <c r="N142">
        <v>0.95820000000000005</v>
      </c>
      <c r="O142">
        <v>0.99129999999999996</v>
      </c>
      <c r="P142">
        <v>0.82330000000000003</v>
      </c>
      <c r="Q142">
        <v>0.91459999999999997</v>
      </c>
      <c r="R142" s="5">
        <v>0.96009999999999995</v>
      </c>
      <c r="S142">
        <v>0.99390000000000001</v>
      </c>
      <c r="T142">
        <v>0.82909999999999995</v>
      </c>
      <c r="U142">
        <v>0.92510000000000003</v>
      </c>
      <c r="V142">
        <v>0.96560000000000001</v>
      </c>
      <c r="W142">
        <v>0.99329999999999996</v>
      </c>
      <c r="X142">
        <v>0.79885977195439095</v>
      </c>
      <c r="Y142">
        <v>0.85037007401480302</v>
      </c>
      <c r="Z142">
        <v>0.87857571514302901</v>
      </c>
      <c r="AA142">
        <v>0.90128025605120998</v>
      </c>
      <c r="AB142">
        <v>0.61268882175226602</v>
      </c>
      <c r="AC142">
        <v>0.67270896273917402</v>
      </c>
      <c r="AD142">
        <v>0.69486404833836901</v>
      </c>
      <c r="AE142">
        <v>0.71732124874118797</v>
      </c>
    </row>
    <row r="143" spans="1:31" x14ac:dyDescent="0.3">
      <c r="A143" t="s">
        <v>57</v>
      </c>
      <c r="B143">
        <v>30</v>
      </c>
      <c r="C143" t="s">
        <v>82</v>
      </c>
      <c r="D143">
        <v>0.5575</v>
      </c>
      <c r="E143">
        <v>0.7036</v>
      </c>
      <c r="F143">
        <v>0.80710000000000004</v>
      </c>
      <c r="G143">
        <v>0.94289999999999996</v>
      </c>
      <c r="H143">
        <v>0.79179999999999995</v>
      </c>
      <c r="I143">
        <v>0.89419999999999999</v>
      </c>
      <c r="J143">
        <v>0.94399999999999995</v>
      </c>
      <c r="K143">
        <v>0.98729999999999996</v>
      </c>
      <c r="L143">
        <v>0.82440000000000002</v>
      </c>
      <c r="M143">
        <v>0.91139999999999999</v>
      </c>
      <c r="N143">
        <v>0.95930000000000004</v>
      </c>
      <c r="O143">
        <v>0.9919</v>
      </c>
      <c r="P143">
        <v>0.82550000000000001</v>
      </c>
      <c r="Q143">
        <v>0.91759999999999997</v>
      </c>
      <c r="R143" s="5">
        <v>0.9607</v>
      </c>
      <c r="S143">
        <v>0.99380000000000002</v>
      </c>
      <c r="T143">
        <v>0.82850000000000001</v>
      </c>
      <c r="U143">
        <v>0.92169999999999996</v>
      </c>
      <c r="V143">
        <v>0.9647</v>
      </c>
      <c r="W143">
        <v>0.99419999999999997</v>
      </c>
      <c r="X143">
        <v>0.85088508850885103</v>
      </c>
      <c r="Y143">
        <v>0.91059105910591098</v>
      </c>
      <c r="Z143">
        <v>0.93779377937793795</v>
      </c>
      <c r="AA143">
        <v>0.95819581958195799</v>
      </c>
      <c r="AB143">
        <v>0.7177</v>
      </c>
      <c r="AC143">
        <v>0.77490000000000003</v>
      </c>
      <c r="AD143">
        <v>0.79410000000000003</v>
      </c>
      <c r="AE143">
        <v>0.81820000000000004</v>
      </c>
    </row>
    <row r="144" spans="1:31" x14ac:dyDescent="0.3">
      <c r="A144" t="s">
        <v>57</v>
      </c>
      <c r="B144">
        <v>50</v>
      </c>
      <c r="C144" t="s">
        <v>82</v>
      </c>
      <c r="D144">
        <v>0.67420000000000002</v>
      </c>
      <c r="E144">
        <v>0.79700000000000004</v>
      </c>
      <c r="F144">
        <v>0.87819999999999998</v>
      </c>
      <c r="G144">
        <v>0.96509999999999996</v>
      </c>
      <c r="H144">
        <v>0.81430000000000002</v>
      </c>
      <c r="I144">
        <v>0.90969999999999995</v>
      </c>
      <c r="J144">
        <v>0.95950000000000002</v>
      </c>
      <c r="K144">
        <v>0.99109999999999998</v>
      </c>
      <c r="L144">
        <v>0.81840000000000002</v>
      </c>
      <c r="M144">
        <v>0.91180000000000005</v>
      </c>
      <c r="N144">
        <v>0.95840000000000003</v>
      </c>
      <c r="O144">
        <v>0.9929</v>
      </c>
      <c r="P144">
        <v>0.81699999999999995</v>
      </c>
      <c r="Q144">
        <v>0.9123</v>
      </c>
      <c r="R144" s="5">
        <v>0.95850000000000002</v>
      </c>
      <c r="S144">
        <v>0.9919</v>
      </c>
      <c r="T144">
        <v>0.81389999999999996</v>
      </c>
      <c r="U144">
        <v>0.91159999999999997</v>
      </c>
      <c r="V144">
        <v>0.95979999999999999</v>
      </c>
      <c r="W144">
        <v>0.99299999999999999</v>
      </c>
      <c r="X144">
        <v>0.80686137227445498</v>
      </c>
      <c r="Y144">
        <v>0.92038407681536305</v>
      </c>
      <c r="Z144">
        <v>0.95359071814362895</v>
      </c>
      <c r="AA144">
        <v>0.98949789957991596</v>
      </c>
      <c r="AB144">
        <v>0.8286</v>
      </c>
      <c r="AC144">
        <v>0.88680000000000003</v>
      </c>
      <c r="AD144">
        <v>0.91220000000000001</v>
      </c>
      <c r="AE144">
        <v>0.93010000000000004</v>
      </c>
    </row>
    <row r="145" spans="1:31" x14ac:dyDescent="0.3">
      <c r="A145" t="s">
        <v>31</v>
      </c>
      <c r="B145">
        <v>20</v>
      </c>
      <c r="C145" t="s">
        <v>82</v>
      </c>
      <c r="D145">
        <v>0.6583</v>
      </c>
      <c r="E145">
        <v>0.72489999999999999</v>
      </c>
      <c r="F145">
        <v>0.7591</v>
      </c>
      <c r="G145">
        <v>0.79649999999999999</v>
      </c>
      <c r="H145">
        <v>0.79369999999999996</v>
      </c>
      <c r="I145">
        <v>0.86019999999999996</v>
      </c>
      <c r="J145">
        <v>0.89280000000000004</v>
      </c>
      <c r="K145">
        <v>0.92530000000000001</v>
      </c>
      <c r="L145">
        <v>0.82850000000000001</v>
      </c>
      <c r="M145">
        <v>0.92169999999999996</v>
      </c>
      <c r="N145">
        <v>0.96379999999999999</v>
      </c>
      <c r="O145">
        <v>0.99129999999999996</v>
      </c>
      <c r="P145">
        <v>0.84409999999999996</v>
      </c>
      <c r="Q145">
        <v>0.93169999999999997</v>
      </c>
      <c r="R145" s="5">
        <v>0.96950000000000003</v>
      </c>
      <c r="S145">
        <v>0.99619999999999997</v>
      </c>
      <c r="T145">
        <v>0.84319999999999995</v>
      </c>
      <c r="U145">
        <v>0.93420000000000003</v>
      </c>
      <c r="V145">
        <v>0.96960000000000002</v>
      </c>
      <c r="W145">
        <v>0.9919</v>
      </c>
      <c r="X145">
        <v>0.79190000000000005</v>
      </c>
      <c r="Y145">
        <v>0.85650000000000004</v>
      </c>
      <c r="Z145">
        <v>0.89159999999999995</v>
      </c>
      <c r="AA145">
        <v>0.92210000000000003</v>
      </c>
      <c r="AB145">
        <v>0.65546554655465505</v>
      </c>
      <c r="AC145">
        <v>0.72217221722172198</v>
      </c>
      <c r="AD145">
        <v>0.75577557755775604</v>
      </c>
      <c r="AE145">
        <v>0.79297929792979305</v>
      </c>
    </row>
    <row r="146" spans="1:31" x14ac:dyDescent="0.3">
      <c r="A146" t="s">
        <v>31</v>
      </c>
      <c r="B146">
        <v>30</v>
      </c>
      <c r="C146" t="s">
        <v>82</v>
      </c>
      <c r="D146">
        <v>0.73329999999999995</v>
      </c>
      <c r="E146">
        <v>0.79990000000000006</v>
      </c>
      <c r="F146">
        <v>0.83179999999999998</v>
      </c>
      <c r="G146">
        <v>0.86380000000000001</v>
      </c>
      <c r="H146">
        <v>0.83560000000000001</v>
      </c>
      <c r="I146">
        <v>0.90539999999999998</v>
      </c>
      <c r="J146">
        <v>0.93459999999999999</v>
      </c>
      <c r="K146">
        <v>0.96060000000000001</v>
      </c>
      <c r="L146">
        <v>0.83079999999999998</v>
      </c>
      <c r="M146">
        <v>0.91969999999999996</v>
      </c>
      <c r="N146">
        <v>0.96719999999999995</v>
      </c>
      <c r="O146">
        <v>0.99409999999999998</v>
      </c>
      <c r="P146">
        <v>0.82340000000000002</v>
      </c>
      <c r="Q146">
        <v>0.91800000000000004</v>
      </c>
      <c r="R146" s="5">
        <v>0.96340000000000003</v>
      </c>
      <c r="S146">
        <v>0.99450000000000005</v>
      </c>
      <c r="T146">
        <v>0.82640000000000002</v>
      </c>
      <c r="U146">
        <v>0.91759999999999997</v>
      </c>
      <c r="V146">
        <v>0.96079999999999999</v>
      </c>
      <c r="W146">
        <v>0.99439999999999995</v>
      </c>
      <c r="X146">
        <v>0.83919999999999995</v>
      </c>
      <c r="Y146">
        <v>0.90349999999999997</v>
      </c>
      <c r="Z146">
        <v>0.93610000000000004</v>
      </c>
      <c r="AA146">
        <v>0.96220000000000006</v>
      </c>
      <c r="AB146">
        <v>0.72940000000000005</v>
      </c>
      <c r="AC146">
        <v>0.79269999999999996</v>
      </c>
      <c r="AD146">
        <v>0.82440000000000002</v>
      </c>
      <c r="AE146">
        <v>0.85809999999999997</v>
      </c>
    </row>
    <row r="147" spans="1:31" ht="15" thickBot="1" x14ac:dyDescent="0.35">
      <c r="A147" t="s">
        <v>31</v>
      </c>
      <c r="B147">
        <v>50</v>
      </c>
      <c r="C147" t="s">
        <v>82</v>
      </c>
      <c r="D147">
        <v>0.81610000000000005</v>
      </c>
      <c r="E147">
        <v>0.87919999999999998</v>
      </c>
      <c r="F147">
        <v>0.91069999999999995</v>
      </c>
      <c r="G147">
        <v>0.93620000000000003</v>
      </c>
      <c r="H147">
        <v>0.81089999999999995</v>
      </c>
      <c r="I147">
        <v>0.91759999999999997</v>
      </c>
      <c r="J147">
        <v>0.9587</v>
      </c>
      <c r="K147">
        <v>0.98929999999999996</v>
      </c>
      <c r="L147">
        <v>0.82110000000000005</v>
      </c>
      <c r="M147">
        <v>0.91349999999999998</v>
      </c>
      <c r="N147">
        <v>0.96009999999999995</v>
      </c>
      <c r="O147">
        <v>0.99360000000000004</v>
      </c>
      <c r="P147">
        <v>0.81830000000000003</v>
      </c>
      <c r="Q147">
        <v>0.91500000000000004</v>
      </c>
      <c r="R147" s="5">
        <v>0.96050000000000002</v>
      </c>
      <c r="S147">
        <v>0.99350000000000005</v>
      </c>
      <c r="T147">
        <v>0.81950000000000001</v>
      </c>
      <c r="U147">
        <v>0.91210000000000002</v>
      </c>
      <c r="V147">
        <v>0.95779999999999998</v>
      </c>
      <c r="W147">
        <v>0.99339999999999995</v>
      </c>
      <c r="X147">
        <v>0.80349999999999999</v>
      </c>
      <c r="Y147">
        <v>0.91059999999999997</v>
      </c>
      <c r="Z147">
        <v>0.95650000000000002</v>
      </c>
      <c r="AA147">
        <v>0.98939999999999995</v>
      </c>
      <c r="AB147">
        <v>0.81830000000000003</v>
      </c>
      <c r="AC147">
        <v>0.88029999999999997</v>
      </c>
      <c r="AD147">
        <v>0.91100000000000003</v>
      </c>
      <c r="AE147">
        <v>0.93379999999999996</v>
      </c>
    </row>
    <row r="148" spans="1:31" ht="15" thickTop="1" x14ac:dyDescent="0.3">
      <c r="A148" s="1" t="s">
        <v>56</v>
      </c>
      <c r="B148" s="1">
        <v>20</v>
      </c>
      <c r="C148" s="1" t="s">
        <v>40</v>
      </c>
      <c r="D148" s="1">
        <v>0.58424485699949802</v>
      </c>
      <c r="E148" s="1">
        <v>0.71309583542398403</v>
      </c>
      <c r="F148" s="1">
        <v>0.804816859006523</v>
      </c>
      <c r="G148" s="1">
        <v>0.92343201204214798</v>
      </c>
      <c r="H148" s="1">
        <v>0.74165078728312095</v>
      </c>
      <c r="I148" s="1">
        <v>0.84394744759803397</v>
      </c>
      <c r="J148" s="1">
        <v>0.90512486210009002</v>
      </c>
      <c r="K148" s="1">
        <v>0.962892387924982</v>
      </c>
      <c r="L148" s="1">
        <v>0.78775755151030202</v>
      </c>
      <c r="M148" s="1">
        <v>0.88917783556711305</v>
      </c>
      <c r="N148" s="1">
        <v>0.94238847769553902</v>
      </c>
      <c r="O148" s="1">
        <v>0.98359671934386905</v>
      </c>
      <c r="P148" s="1">
        <v>0.79300000000000004</v>
      </c>
      <c r="Q148" s="1">
        <v>0.88870000000000005</v>
      </c>
      <c r="R148" s="6">
        <v>0.94379999999999997</v>
      </c>
      <c r="S148" s="1">
        <v>0.98780000000000001</v>
      </c>
      <c r="T148" s="1">
        <v>0.78524229074889895</v>
      </c>
      <c r="U148" s="1">
        <v>0.89066880256307601</v>
      </c>
      <c r="V148" s="1">
        <v>0.94233079695634803</v>
      </c>
      <c r="W148" s="1">
        <v>0.98618342010412496</v>
      </c>
      <c r="X148" s="1">
        <v>0.79580434324267302</v>
      </c>
      <c r="Y148" s="1">
        <v>0.87297069365380597</v>
      </c>
      <c r="Z148" s="1">
        <v>0.91187012439384396</v>
      </c>
      <c r="AA148" s="1">
        <v>0.95108581066835296</v>
      </c>
      <c r="AB148" s="1">
        <v>0.74421266853218004</v>
      </c>
      <c r="AC148" s="1">
        <v>0.81798524548460905</v>
      </c>
      <c r="AD148" s="1">
        <v>0.86568303230730104</v>
      </c>
      <c r="AE148" s="1">
        <v>0.91325362503179897</v>
      </c>
    </row>
    <row r="149" spans="1:31" x14ac:dyDescent="0.3">
      <c r="A149" t="s">
        <v>56</v>
      </c>
      <c r="B149">
        <v>30</v>
      </c>
      <c r="C149" t="s">
        <v>40</v>
      </c>
      <c r="D149">
        <v>0.58231646329265896</v>
      </c>
      <c r="E149">
        <v>0.71634326865373099</v>
      </c>
      <c r="F149">
        <v>0.80806161232246398</v>
      </c>
      <c r="G149">
        <v>0.92618523704740996</v>
      </c>
      <c r="H149">
        <v>0.74644928985797199</v>
      </c>
      <c r="I149">
        <v>0.85377075415083004</v>
      </c>
      <c r="J149">
        <v>0.91238247649529902</v>
      </c>
      <c r="K149">
        <v>0.969293858771754</v>
      </c>
      <c r="L149">
        <v>0.79679999999999995</v>
      </c>
      <c r="M149">
        <v>0.89839999999999998</v>
      </c>
      <c r="N149">
        <v>0.94740000000000002</v>
      </c>
      <c r="O149">
        <v>0.98980000000000001</v>
      </c>
      <c r="P149">
        <v>0.7903</v>
      </c>
      <c r="Q149">
        <v>0.89100000000000001</v>
      </c>
      <c r="R149" s="5">
        <v>0.94389999999999996</v>
      </c>
      <c r="S149">
        <v>0.99050000000000005</v>
      </c>
      <c r="T149">
        <v>0.79115823164632904</v>
      </c>
      <c r="U149">
        <v>0.89427885577115396</v>
      </c>
      <c r="V149">
        <v>0.94488897779555903</v>
      </c>
      <c r="W149">
        <v>0.98869773954790996</v>
      </c>
      <c r="X149">
        <v>0.79563451776649696</v>
      </c>
      <c r="Y149">
        <v>0.90588832487309601</v>
      </c>
      <c r="Z149">
        <v>0.93695431472081203</v>
      </c>
      <c r="AA149">
        <v>0.96873096446700502</v>
      </c>
      <c r="AB149">
        <v>0.78238111148234801</v>
      </c>
      <c r="AC149">
        <v>0.84563982626127598</v>
      </c>
      <c r="AD149">
        <v>0.88862902327653404</v>
      </c>
      <c r="AE149">
        <v>0.92760886512974705</v>
      </c>
    </row>
    <row r="150" spans="1:31" x14ac:dyDescent="0.3">
      <c r="A150" t="s">
        <v>56</v>
      </c>
      <c r="B150">
        <v>50</v>
      </c>
      <c r="C150" t="s">
        <v>40</v>
      </c>
      <c r="D150">
        <v>0.56020000000000003</v>
      </c>
      <c r="E150">
        <v>0.69810000000000005</v>
      </c>
      <c r="F150">
        <v>0.79420000000000002</v>
      </c>
      <c r="G150">
        <v>0.92120000000000002</v>
      </c>
      <c r="H150">
        <v>0.75609999999999999</v>
      </c>
      <c r="I150">
        <v>0.86870000000000003</v>
      </c>
      <c r="J150">
        <v>0.92500000000000004</v>
      </c>
      <c r="K150">
        <v>0.98</v>
      </c>
      <c r="L150">
        <v>0.79379999999999995</v>
      </c>
      <c r="M150">
        <v>0.89739999999999998</v>
      </c>
      <c r="N150">
        <v>0.94810000000000005</v>
      </c>
      <c r="O150">
        <v>0.98880000000000001</v>
      </c>
      <c r="P150">
        <v>0.80330000000000001</v>
      </c>
      <c r="Q150">
        <v>0.90069999999999995</v>
      </c>
      <c r="R150" s="5">
        <v>0.95040000000000002</v>
      </c>
      <c r="S150">
        <v>0.99039999999999995</v>
      </c>
      <c r="T150">
        <v>0.79079999999999995</v>
      </c>
      <c r="U150">
        <v>0.8901</v>
      </c>
      <c r="V150">
        <v>0.94469999999999998</v>
      </c>
      <c r="W150">
        <v>0.98609999999999998</v>
      </c>
      <c r="X150">
        <v>0.78785149604723304</v>
      </c>
      <c r="Y150">
        <v>0.895326728710097</v>
      </c>
      <c r="Z150">
        <v>0.943460422295607</v>
      </c>
      <c r="AA150">
        <v>0.98809166416491501</v>
      </c>
      <c r="AB150">
        <v>0.81703437660338596</v>
      </c>
      <c r="AC150">
        <v>0.88578758337608998</v>
      </c>
      <c r="AD150">
        <v>0.92211390456644404</v>
      </c>
      <c r="AE150">
        <v>0.95371985633658296</v>
      </c>
    </row>
    <row r="151" spans="1:31" x14ac:dyDescent="0.3">
      <c r="A151" t="s">
        <v>57</v>
      </c>
      <c r="B151">
        <v>20</v>
      </c>
      <c r="C151" t="s">
        <v>40</v>
      </c>
      <c r="D151">
        <v>4.1004100410041398E-3</v>
      </c>
      <c r="E151">
        <v>9.3009300930092503E-3</v>
      </c>
      <c r="F151">
        <v>1.6001600160015901E-2</v>
      </c>
      <c r="G151">
        <v>5.31053105310531E-2</v>
      </c>
      <c r="H151">
        <v>0.1004</v>
      </c>
      <c r="I151">
        <v>0.1769</v>
      </c>
      <c r="J151">
        <v>0.25650000000000001</v>
      </c>
      <c r="K151">
        <v>0.46510000000000001</v>
      </c>
      <c r="L151">
        <v>0.74639999999999995</v>
      </c>
      <c r="M151">
        <v>0.85260000000000002</v>
      </c>
      <c r="N151">
        <v>0.91639999999999999</v>
      </c>
      <c r="O151">
        <v>0.97699999999999998</v>
      </c>
      <c r="P151">
        <v>0.70169999999999999</v>
      </c>
      <c r="Q151">
        <v>0.81810000000000005</v>
      </c>
      <c r="R151" s="5">
        <v>0.8911</v>
      </c>
      <c r="S151">
        <v>0.96530000000000005</v>
      </c>
      <c r="T151">
        <v>0.72217221722172198</v>
      </c>
      <c r="U151">
        <v>0.83928392839283905</v>
      </c>
      <c r="V151">
        <v>0.908090809080908</v>
      </c>
      <c r="W151">
        <v>0.97349734973497304</v>
      </c>
      <c r="X151">
        <v>0.73271236205325496</v>
      </c>
      <c r="Y151">
        <v>0.82585805406499901</v>
      </c>
      <c r="Z151">
        <v>0.88032803482838895</v>
      </c>
      <c r="AA151">
        <v>0.94117647058823495</v>
      </c>
      <c r="AB151">
        <v>0.66767208876440798</v>
      </c>
      <c r="AC151">
        <v>0.76526984810944698</v>
      </c>
      <c r="AD151">
        <v>0.82010126036841502</v>
      </c>
      <c r="AE151">
        <v>0.88290423354518999</v>
      </c>
    </row>
    <row r="152" spans="1:31" x14ac:dyDescent="0.3">
      <c r="A152" t="s">
        <v>57</v>
      </c>
      <c r="B152">
        <v>30</v>
      </c>
      <c r="C152" t="s">
        <v>40</v>
      </c>
      <c r="D152">
        <v>3.99999999999956E-4</v>
      </c>
      <c r="E152">
        <v>2.4999999999999502E-3</v>
      </c>
      <c r="F152">
        <v>4.8000000000000299E-3</v>
      </c>
      <c r="G152">
        <v>1.7299999999999999E-2</v>
      </c>
      <c r="H152">
        <v>5.5E-2</v>
      </c>
      <c r="I152">
        <v>0.1024</v>
      </c>
      <c r="J152">
        <v>0.17460000000000001</v>
      </c>
      <c r="K152">
        <v>0.35620000000000002</v>
      </c>
      <c r="L152">
        <v>0.75680000000000003</v>
      </c>
      <c r="M152">
        <v>0.86909999999999998</v>
      </c>
      <c r="N152">
        <v>0.92390000000000005</v>
      </c>
      <c r="O152">
        <v>0.98019999999999996</v>
      </c>
      <c r="P152">
        <v>0.67689999999999995</v>
      </c>
      <c r="Q152">
        <v>0.80559999999999998</v>
      </c>
      <c r="R152" s="5">
        <v>0.8841</v>
      </c>
      <c r="S152">
        <v>0.96489999999999998</v>
      </c>
      <c r="T152">
        <v>0.73680000000000001</v>
      </c>
      <c r="U152">
        <v>0.84850000000000003</v>
      </c>
      <c r="V152">
        <v>0.91259999999999997</v>
      </c>
      <c r="W152">
        <v>0.97699999999999998</v>
      </c>
      <c r="X152">
        <v>0.76014021031547296</v>
      </c>
      <c r="Y152">
        <v>0.85908863294942395</v>
      </c>
      <c r="Z152">
        <v>0.91096644967451201</v>
      </c>
      <c r="AA152">
        <v>0.96254381572358505</v>
      </c>
      <c r="AB152">
        <v>0.70799999999999996</v>
      </c>
      <c r="AC152">
        <v>0.791897435897436</v>
      </c>
      <c r="AD152">
        <v>0.84656410256410297</v>
      </c>
      <c r="AE152">
        <v>0.90543589743589703</v>
      </c>
    </row>
    <row r="153" spans="1:31" x14ac:dyDescent="0.3">
      <c r="A153" t="s">
        <v>57</v>
      </c>
      <c r="B153">
        <v>50</v>
      </c>
      <c r="C153" t="s">
        <v>40</v>
      </c>
      <c r="D153" s="3">
        <v>9.9999999999989E-5</v>
      </c>
      <c r="E153" s="3">
        <v>9.9999999999989E-5</v>
      </c>
      <c r="F153">
        <v>3.99999999999956E-4</v>
      </c>
      <c r="G153">
        <v>2E-3</v>
      </c>
      <c r="H153">
        <v>2.3900000000000001E-2</v>
      </c>
      <c r="I153">
        <v>4.8599999999999997E-2</v>
      </c>
      <c r="J153">
        <v>8.9300000000000004E-2</v>
      </c>
      <c r="K153">
        <v>0.21920000000000001</v>
      </c>
      <c r="L153">
        <v>0.76839999999999997</v>
      </c>
      <c r="M153">
        <v>0.88129999999999997</v>
      </c>
      <c r="N153">
        <v>0.93700000000000006</v>
      </c>
      <c r="O153">
        <v>0.98440000000000005</v>
      </c>
      <c r="P153">
        <v>0.66059999999999997</v>
      </c>
      <c r="Q153">
        <v>0.78810000000000002</v>
      </c>
      <c r="R153" s="5">
        <v>0.86650000000000005</v>
      </c>
      <c r="S153">
        <v>0.95889999999999997</v>
      </c>
      <c r="T153">
        <v>0.72540000000000004</v>
      </c>
      <c r="U153">
        <v>0.84</v>
      </c>
      <c r="V153">
        <v>0.90900000000000003</v>
      </c>
      <c r="W153">
        <v>0.97409999999999997</v>
      </c>
      <c r="X153">
        <v>0.76570000000000005</v>
      </c>
      <c r="Y153">
        <v>0.87139999999999995</v>
      </c>
      <c r="Z153">
        <v>0.93049999999999999</v>
      </c>
      <c r="AA153">
        <v>0.97850000000000004</v>
      </c>
      <c r="AB153">
        <v>0.77428743476515405</v>
      </c>
      <c r="AC153">
        <v>0.85668406262545205</v>
      </c>
      <c r="AD153">
        <v>0.90505820955439598</v>
      </c>
      <c r="AE153">
        <v>0.95052187876354899</v>
      </c>
    </row>
    <row r="154" spans="1:31" x14ac:dyDescent="0.3">
      <c r="A154" t="s">
        <v>31</v>
      </c>
      <c r="B154">
        <v>20</v>
      </c>
      <c r="C154" t="s">
        <v>40</v>
      </c>
      <c r="D154">
        <v>0.61372312638135396</v>
      </c>
      <c r="E154">
        <v>0.73578460920233102</v>
      </c>
      <c r="F154">
        <v>0.81826401446654595</v>
      </c>
      <c r="G154">
        <v>0.92274462527627099</v>
      </c>
      <c r="H154">
        <v>0.67330796956347605</v>
      </c>
      <c r="I154">
        <v>0.79575490588706499</v>
      </c>
      <c r="J154">
        <v>0.87274729675610696</v>
      </c>
      <c r="K154">
        <v>0.95124148978774503</v>
      </c>
      <c r="L154">
        <v>0.75047504750475003</v>
      </c>
      <c r="M154">
        <v>0.86328632863286303</v>
      </c>
      <c r="N154">
        <v>0.921792179217922</v>
      </c>
      <c r="O154">
        <v>0.97669766976697703</v>
      </c>
      <c r="P154">
        <v>0.79559999999999997</v>
      </c>
      <c r="Q154">
        <v>0.89859999999999995</v>
      </c>
      <c r="R154" s="5">
        <v>0.9486</v>
      </c>
      <c r="S154">
        <v>0.98870000000000002</v>
      </c>
      <c r="T154">
        <v>0.76507650765076496</v>
      </c>
      <c r="U154">
        <v>0.872887288728873</v>
      </c>
      <c r="V154">
        <v>0.93099309930993102</v>
      </c>
      <c r="W154">
        <v>0.97969796979697998</v>
      </c>
      <c r="X154">
        <v>0.67877877877877901</v>
      </c>
      <c r="Y154">
        <v>0.79669669669669696</v>
      </c>
      <c r="Z154">
        <v>0.86666666666666703</v>
      </c>
      <c r="AA154">
        <v>0.95115115115115101</v>
      </c>
      <c r="AB154">
        <v>0.61915770429188899</v>
      </c>
      <c r="AC154">
        <v>0.74851743893858702</v>
      </c>
      <c r="AD154">
        <v>0.82862599256206604</v>
      </c>
      <c r="AE154">
        <v>0.91958990853352096</v>
      </c>
    </row>
    <row r="155" spans="1:31" x14ac:dyDescent="0.3">
      <c r="A155" t="s">
        <v>31</v>
      </c>
      <c r="B155">
        <v>30</v>
      </c>
      <c r="C155" t="s">
        <v>40</v>
      </c>
      <c r="D155">
        <v>0.63887498748874005</v>
      </c>
      <c r="E155">
        <v>0.75928335501951805</v>
      </c>
      <c r="F155">
        <v>0.83875487939145199</v>
      </c>
      <c r="G155">
        <v>0.93414072665398895</v>
      </c>
      <c r="H155">
        <v>0.69369999999999998</v>
      </c>
      <c r="I155">
        <v>0.81189999999999996</v>
      </c>
      <c r="J155">
        <v>0.88300000000000001</v>
      </c>
      <c r="K155">
        <v>0.96040000000000003</v>
      </c>
      <c r="L155">
        <v>0.76759999999999995</v>
      </c>
      <c r="M155">
        <v>0.87239999999999995</v>
      </c>
      <c r="N155">
        <v>0.93049999999999999</v>
      </c>
      <c r="O155">
        <v>0.98160000000000003</v>
      </c>
      <c r="P155">
        <v>0.79330000000000001</v>
      </c>
      <c r="Q155">
        <v>0.89370000000000005</v>
      </c>
      <c r="R155" s="5">
        <v>0.94730000000000003</v>
      </c>
      <c r="S155">
        <v>0.9889</v>
      </c>
      <c r="T155">
        <v>0.75409999999999999</v>
      </c>
      <c r="U155">
        <v>0.86499999999999999</v>
      </c>
      <c r="V155">
        <v>0.92600000000000005</v>
      </c>
      <c r="W155">
        <v>0.98099999999999998</v>
      </c>
      <c r="X155">
        <v>0.69093818763752801</v>
      </c>
      <c r="Y155">
        <v>0.81026205241048199</v>
      </c>
      <c r="Z155">
        <v>0.88157631526305302</v>
      </c>
      <c r="AA155">
        <v>0.95769153830766196</v>
      </c>
      <c r="AB155">
        <v>0.63602683488535094</v>
      </c>
      <c r="AC155">
        <v>0.75768499048763405</v>
      </c>
      <c r="AD155">
        <v>0.83738860518674296</v>
      </c>
      <c r="AE155">
        <v>0.93711825372984903</v>
      </c>
    </row>
    <row r="156" spans="1:31" ht="15" thickBot="1" x14ac:dyDescent="0.35">
      <c r="A156" t="s">
        <v>31</v>
      </c>
      <c r="B156">
        <v>50</v>
      </c>
      <c r="C156" t="s">
        <v>40</v>
      </c>
      <c r="D156">
        <v>0.66163232646529302</v>
      </c>
      <c r="E156">
        <v>0.77825565113022599</v>
      </c>
      <c r="F156">
        <v>0.85837167433486705</v>
      </c>
      <c r="G156">
        <v>0.95249049809962005</v>
      </c>
      <c r="H156">
        <v>0.69740000000000002</v>
      </c>
      <c r="I156">
        <v>0.81869999999999998</v>
      </c>
      <c r="J156">
        <v>0.88770000000000004</v>
      </c>
      <c r="K156">
        <v>0.9647</v>
      </c>
      <c r="L156">
        <v>0.76070000000000004</v>
      </c>
      <c r="M156">
        <v>0.86560000000000004</v>
      </c>
      <c r="N156">
        <v>0.92390000000000005</v>
      </c>
      <c r="O156">
        <v>0.97989999999999999</v>
      </c>
      <c r="P156">
        <v>0.7944</v>
      </c>
      <c r="Q156">
        <v>0.89980000000000004</v>
      </c>
      <c r="R156" s="5">
        <v>0.9486</v>
      </c>
      <c r="S156">
        <v>0.98970000000000002</v>
      </c>
      <c r="T156">
        <v>0.7601</v>
      </c>
      <c r="U156">
        <v>0.86470000000000002</v>
      </c>
      <c r="V156">
        <v>0.92959999999999998</v>
      </c>
      <c r="W156">
        <v>0.98370000000000002</v>
      </c>
      <c r="X156">
        <v>0.69140000000000001</v>
      </c>
      <c r="Y156">
        <v>0.81210000000000004</v>
      </c>
      <c r="Z156">
        <v>0.88670000000000004</v>
      </c>
      <c r="AA156">
        <v>0.96479999999999999</v>
      </c>
      <c r="AB156">
        <v>0.65900000000000003</v>
      </c>
      <c r="AC156">
        <v>0.77980000000000005</v>
      </c>
      <c r="AD156">
        <v>0.8599</v>
      </c>
      <c r="AE156">
        <v>0.9486</v>
      </c>
    </row>
    <row r="157" spans="1:31" ht="15" thickTop="1" x14ac:dyDescent="0.3">
      <c r="A157" s="1" t="s">
        <v>56</v>
      </c>
      <c r="B157" s="1">
        <v>20</v>
      </c>
      <c r="C157" s="1" t="s">
        <v>63</v>
      </c>
      <c r="D157" s="1">
        <v>0.73704368641532003</v>
      </c>
      <c r="E157" s="1">
        <v>0.82178336325553603</v>
      </c>
      <c r="F157" s="1">
        <v>0.86092160383004201</v>
      </c>
      <c r="G157" s="1">
        <v>0.90963494913225595</v>
      </c>
      <c r="H157" s="1">
        <v>0.81290736189763901</v>
      </c>
      <c r="I157" s="1">
        <v>0.88032909498878098</v>
      </c>
      <c r="J157" s="1">
        <v>0.91890159205043298</v>
      </c>
      <c r="K157" s="1">
        <v>0.95533710866545596</v>
      </c>
      <c r="L157" s="1">
        <v>0.79557291666666696</v>
      </c>
      <c r="M157" s="1">
        <v>0.88912259615384603</v>
      </c>
      <c r="N157" s="1">
        <v>0.94931891025641002</v>
      </c>
      <c r="O157" s="1">
        <v>0.98998397435897401</v>
      </c>
      <c r="P157" s="1">
        <v>0.77967967967967999</v>
      </c>
      <c r="Q157" s="1">
        <v>0.88798798798798795</v>
      </c>
      <c r="R157" s="6">
        <v>0.94874874874874904</v>
      </c>
      <c r="S157" s="1">
        <v>0.98778778778778797</v>
      </c>
      <c r="T157" s="1">
        <v>0.79619124797406804</v>
      </c>
      <c r="U157" s="1">
        <v>0.87732982171799001</v>
      </c>
      <c r="V157" s="1">
        <v>0.95380875202593196</v>
      </c>
      <c r="W157" s="1">
        <v>0.99321312803889805</v>
      </c>
      <c r="X157" s="1">
        <v>0.83938595486309997</v>
      </c>
      <c r="Y157" s="1">
        <v>0.92805590560201601</v>
      </c>
      <c r="Z157" s="1">
        <v>0.96253866422270595</v>
      </c>
      <c r="AA157" s="1">
        <v>0.98029556650246297</v>
      </c>
      <c r="AB157" s="1">
        <v>0.78596347219372098</v>
      </c>
      <c r="AC157" s="1">
        <v>0.821465216499077</v>
      </c>
      <c r="AD157" s="1">
        <v>0.92776523702031599</v>
      </c>
      <c r="AE157" s="1">
        <v>0.96655037964293</v>
      </c>
    </row>
    <row r="158" spans="1:31" x14ac:dyDescent="0.3">
      <c r="A158" t="s">
        <v>56</v>
      </c>
      <c r="B158">
        <v>30</v>
      </c>
      <c r="C158" t="s">
        <v>63</v>
      </c>
      <c r="D158">
        <v>0.77829252150893402</v>
      </c>
      <c r="E158">
        <v>0.84877564526803395</v>
      </c>
      <c r="F158">
        <v>0.88958746966688695</v>
      </c>
      <c r="G158">
        <v>0.930509596293845</v>
      </c>
      <c r="H158">
        <v>0.77962981899989803</v>
      </c>
      <c r="I158">
        <v>0.908170569587892</v>
      </c>
      <c r="J158">
        <v>0.94150731158605205</v>
      </c>
      <c r="K158">
        <v>0.97238981490950005</v>
      </c>
      <c r="L158">
        <v>0.79845969193838795</v>
      </c>
      <c r="M158">
        <v>0.90218043608721699</v>
      </c>
      <c r="N158">
        <v>0.94498899779956003</v>
      </c>
      <c r="O158">
        <v>0.99049809961992397</v>
      </c>
      <c r="P158">
        <v>0.79347608565139105</v>
      </c>
      <c r="Q158">
        <v>0.89293576145687403</v>
      </c>
      <c r="R158" s="5">
        <v>0.94836902141284796</v>
      </c>
      <c r="S158">
        <v>0.98949369621773098</v>
      </c>
      <c r="T158">
        <v>0.793417366946779</v>
      </c>
      <c r="U158">
        <v>0.90326130452180897</v>
      </c>
      <c r="V158">
        <v>0.94167667066826699</v>
      </c>
      <c r="W158">
        <v>0.98769507803121204</v>
      </c>
      <c r="X158">
        <v>0.78230500582072204</v>
      </c>
      <c r="Y158">
        <v>0.95544502063710401</v>
      </c>
      <c r="Z158">
        <v>0.96518150068790298</v>
      </c>
      <c r="AA158">
        <v>0.98687691819240098</v>
      </c>
      <c r="AB158">
        <v>0.89580228514654703</v>
      </c>
      <c r="AC158">
        <v>0.91145057128663698</v>
      </c>
      <c r="AD158">
        <v>0.96224540486835597</v>
      </c>
      <c r="AE158">
        <v>0.98273720814704402</v>
      </c>
    </row>
    <row r="159" spans="1:31" x14ac:dyDescent="0.3">
      <c r="A159" t="s">
        <v>56</v>
      </c>
      <c r="B159">
        <v>50</v>
      </c>
      <c r="C159" t="s">
        <v>63</v>
      </c>
      <c r="D159">
        <v>0.81680412371134004</v>
      </c>
      <c r="E159">
        <v>0.89113402061855695</v>
      </c>
      <c r="F159">
        <v>0.92659793814433</v>
      </c>
      <c r="G159">
        <v>0.95855670103092805</v>
      </c>
      <c r="H159">
        <v>0.793504410585405</v>
      </c>
      <c r="I159">
        <v>0.90577385725741799</v>
      </c>
      <c r="J159">
        <v>0.94566960705693703</v>
      </c>
      <c r="K159">
        <v>0.99107858861266995</v>
      </c>
      <c r="L159">
        <v>0.79830000000000001</v>
      </c>
      <c r="M159">
        <v>0.90029999999999999</v>
      </c>
      <c r="N159">
        <v>0.95250000000000001</v>
      </c>
      <c r="O159">
        <v>0.98919999999999997</v>
      </c>
      <c r="P159">
        <v>0.80740370185092503</v>
      </c>
      <c r="Q159">
        <v>0.90265132566283102</v>
      </c>
      <c r="R159" s="5">
        <v>0.95077538769384695</v>
      </c>
      <c r="S159">
        <v>0.99049524762381203</v>
      </c>
      <c r="T159">
        <v>0.79790000000000005</v>
      </c>
      <c r="U159">
        <v>0.89539999999999997</v>
      </c>
      <c r="V159">
        <v>0.94630000000000003</v>
      </c>
      <c r="W159">
        <v>0.98529999999999995</v>
      </c>
      <c r="X159">
        <v>0.77558934585161798</v>
      </c>
      <c r="Y159">
        <v>0.90754158587611</v>
      </c>
      <c r="Z159">
        <v>0.94336156750688804</v>
      </c>
      <c r="AA159">
        <v>0.99520359220328602</v>
      </c>
      <c r="AB159">
        <v>0.874650912996778</v>
      </c>
      <c r="AC159">
        <v>0.94758324382384496</v>
      </c>
      <c r="AD159">
        <v>0.97529538131041904</v>
      </c>
      <c r="AE159">
        <v>0.988721804511278</v>
      </c>
    </row>
    <row r="160" spans="1:31" x14ac:dyDescent="0.3">
      <c r="A160" t="s">
        <v>57</v>
      </c>
      <c r="B160">
        <v>20</v>
      </c>
      <c r="C160" s="11" t="s">
        <v>63</v>
      </c>
      <c r="D160">
        <v>0.68522635408245802</v>
      </c>
      <c r="E160">
        <v>0.798504446240905</v>
      </c>
      <c r="F160">
        <v>0.86873484236054999</v>
      </c>
      <c r="G160">
        <v>0.94573565076798705</v>
      </c>
      <c r="H160">
        <v>0.77376751688678302</v>
      </c>
      <c r="I160">
        <v>0.86601471922572804</v>
      </c>
      <c r="J160">
        <v>0.91491077729609804</v>
      </c>
      <c r="K160">
        <v>0.95947172093961097</v>
      </c>
      <c r="L160">
        <v>0.78479239619809904</v>
      </c>
      <c r="M160">
        <v>0.88564282141070505</v>
      </c>
      <c r="N160">
        <v>0.93906953476738397</v>
      </c>
      <c r="O160">
        <v>0.98509254627313703</v>
      </c>
      <c r="P160">
        <v>0.78200000000000003</v>
      </c>
      <c r="Q160">
        <v>0.88429999999999997</v>
      </c>
      <c r="R160" s="5">
        <v>0.94069999999999998</v>
      </c>
      <c r="S160">
        <v>0.98529999999999995</v>
      </c>
      <c r="T160">
        <v>0.79088632949424098</v>
      </c>
      <c r="U160">
        <v>0.888032048072108</v>
      </c>
      <c r="V160">
        <v>0.94672008012018005</v>
      </c>
      <c r="W160">
        <v>0.99098647971957898</v>
      </c>
      <c r="X160">
        <v>0.83192623861364101</v>
      </c>
      <c r="Y160">
        <v>0.909242390579871</v>
      </c>
      <c r="Z160">
        <v>0.94523439235725404</v>
      </c>
      <c r="AA160">
        <v>0.96989557876027599</v>
      </c>
      <c r="AB160">
        <v>0.8</v>
      </c>
      <c r="AC160">
        <v>0.84843260188087799</v>
      </c>
      <c r="AD160">
        <v>0.91489028213166101</v>
      </c>
      <c r="AE160">
        <v>0.95125391849529795</v>
      </c>
    </row>
    <row r="161" spans="1:31" x14ac:dyDescent="0.3">
      <c r="A161" t="s">
        <v>57</v>
      </c>
      <c r="B161">
        <v>30</v>
      </c>
      <c r="C161" s="11" t="s">
        <v>63</v>
      </c>
      <c r="D161">
        <v>0.74281695800683101</v>
      </c>
      <c r="E161">
        <v>0.84066706851517004</v>
      </c>
      <c r="F161">
        <v>0.89793048020896105</v>
      </c>
      <c r="G161">
        <v>0.95197910387783802</v>
      </c>
      <c r="H161">
        <v>0.78243013122307903</v>
      </c>
      <c r="I161">
        <v>0.88310127216267698</v>
      </c>
      <c r="J161">
        <v>0.932885906040268</v>
      </c>
      <c r="K161">
        <v>0.97205248923169396</v>
      </c>
      <c r="L161">
        <v>0.79300000000000004</v>
      </c>
      <c r="M161">
        <v>0.88890000000000002</v>
      </c>
      <c r="N161">
        <v>0.94130000000000003</v>
      </c>
      <c r="O161">
        <v>0.98709999999999998</v>
      </c>
      <c r="P161">
        <v>0.79400000000000004</v>
      </c>
      <c r="Q161">
        <v>0.89419999999999999</v>
      </c>
      <c r="R161" s="5">
        <v>0.94889999999999997</v>
      </c>
      <c r="S161">
        <v>0.98899999999999999</v>
      </c>
      <c r="T161">
        <v>0.79449999999999998</v>
      </c>
      <c r="U161">
        <v>0.90100000000000002</v>
      </c>
      <c r="V161">
        <v>0.94679999999999997</v>
      </c>
      <c r="W161">
        <v>0.98729999999999996</v>
      </c>
      <c r="X161">
        <v>0.773739256497877</v>
      </c>
      <c r="Y161">
        <v>0.931034482758621</v>
      </c>
      <c r="Z161">
        <v>0.95184840012426197</v>
      </c>
      <c r="AA161">
        <v>0.979703841772807</v>
      </c>
      <c r="AB161">
        <v>0.85953827460510301</v>
      </c>
      <c r="AC161">
        <v>0.88955042527339001</v>
      </c>
      <c r="AD161">
        <v>0.93912515188335399</v>
      </c>
      <c r="AE161">
        <v>0.96549210206561398</v>
      </c>
    </row>
    <row r="162" spans="1:31" x14ac:dyDescent="0.3">
      <c r="A162" t="s">
        <v>57</v>
      </c>
      <c r="B162">
        <v>50</v>
      </c>
      <c r="C162" s="11" t="s">
        <v>63</v>
      </c>
      <c r="D162">
        <v>0.77413862179487203</v>
      </c>
      <c r="E162">
        <v>0.87229567307692302</v>
      </c>
      <c r="F162">
        <v>0.92047275641025605</v>
      </c>
      <c r="G162">
        <v>0.96834935897435903</v>
      </c>
      <c r="H162">
        <v>0.79190000000000005</v>
      </c>
      <c r="I162">
        <v>0.89249999999999996</v>
      </c>
      <c r="J162">
        <v>0.94569999999999999</v>
      </c>
      <c r="K162">
        <v>0.98550000000000004</v>
      </c>
      <c r="L162">
        <v>0.7984</v>
      </c>
      <c r="M162">
        <v>0.89890000000000003</v>
      </c>
      <c r="N162">
        <v>0.94699999999999995</v>
      </c>
      <c r="O162">
        <v>0.9899</v>
      </c>
      <c r="P162">
        <v>0.79700000000000004</v>
      </c>
      <c r="Q162">
        <v>0.89790000000000003</v>
      </c>
      <c r="R162" s="5">
        <v>0.94899999999999995</v>
      </c>
      <c r="S162">
        <v>0.98919999999999997</v>
      </c>
      <c r="T162">
        <v>0.79559999999999997</v>
      </c>
      <c r="U162">
        <v>0.89559999999999995</v>
      </c>
      <c r="V162">
        <v>0.94830000000000003</v>
      </c>
      <c r="W162">
        <v>0.98909999999999998</v>
      </c>
      <c r="X162">
        <v>0.77975169072373096</v>
      </c>
      <c r="Y162">
        <v>0.90854951044715904</v>
      </c>
      <c r="Z162">
        <v>0.94206116887049596</v>
      </c>
      <c r="AA162">
        <v>0.99343898253759999</v>
      </c>
      <c r="AB162">
        <v>0.86929284349118696</v>
      </c>
      <c r="AC162">
        <v>0.93724782331705203</v>
      </c>
      <c r="AD162">
        <v>0.96527925249522195</v>
      </c>
      <c r="AE162">
        <v>0.981843278827777</v>
      </c>
    </row>
    <row r="163" spans="1:31" x14ac:dyDescent="0.3">
      <c r="A163" t="s">
        <v>31</v>
      </c>
      <c r="B163">
        <v>20</v>
      </c>
      <c r="C163" t="s">
        <v>63</v>
      </c>
      <c r="D163">
        <v>0.76166075417159396</v>
      </c>
      <c r="E163">
        <v>0.83221652870844798</v>
      </c>
      <c r="F163">
        <v>0.88424648535015105</v>
      </c>
      <c r="G163">
        <v>0.92826172644856098</v>
      </c>
      <c r="H163">
        <v>0.81178483584643402</v>
      </c>
      <c r="I163">
        <v>0.88493209282429697</v>
      </c>
      <c r="J163">
        <v>0.92375147043096995</v>
      </c>
      <c r="K163">
        <v>0.95326703026414294</v>
      </c>
      <c r="L163">
        <v>0.78374048858630396</v>
      </c>
      <c r="M163">
        <v>0.88786543852623101</v>
      </c>
      <c r="N163">
        <v>0.94413295955146204</v>
      </c>
      <c r="O163">
        <v>0.98908690428514201</v>
      </c>
      <c r="P163">
        <v>0.79600000000000004</v>
      </c>
      <c r="Q163">
        <v>0.89870000000000005</v>
      </c>
      <c r="R163" s="5">
        <v>0.95079999999999998</v>
      </c>
      <c r="S163">
        <v>0.98899999999999999</v>
      </c>
      <c r="T163">
        <v>0.80294530154277699</v>
      </c>
      <c r="U163">
        <v>0.89921859346824295</v>
      </c>
      <c r="V163">
        <v>0.95211380484872798</v>
      </c>
      <c r="W163">
        <v>0.98877980364656404</v>
      </c>
      <c r="X163">
        <v>0.81608083413952504</v>
      </c>
      <c r="Y163">
        <v>0.88702569063742898</v>
      </c>
      <c r="Z163">
        <v>0.92497043964312597</v>
      </c>
      <c r="AA163">
        <v>0.95786305492851798</v>
      </c>
      <c r="AB163">
        <v>0.76437994722955105</v>
      </c>
      <c r="AC163">
        <v>0.828627968337731</v>
      </c>
      <c r="AD163">
        <v>0.88007915567282302</v>
      </c>
      <c r="AE163">
        <v>0.92176781002638497</v>
      </c>
    </row>
    <row r="164" spans="1:31" x14ac:dyDescent="0.3">
      <c r="A164" t="s">
        <v>31</v>
      </c>
      <c r="B164">
        <v>30</v>
      </c>
      <c r="C164" t="s">
        <v>63</v>
      </c>
      <c r="D164">
        <v>0.81143775838309595</v>
      </c>
      <c r="E164">
        <v>0.86632981166743195</v>
      </c>
      <c r="F164">
        <v>0.90939366100137797</v>
      </c>
      <c r="G164">
        <v>0.94304088194763402</v>
      </c>
      <c r="H164">
        <v>0.78420944978523199</v>
      </c>
      <c r="I164">
        <v>0.91542237676416405</v>
      </c>
      <c r="J164">
        <v>0.94375127838003703</v>
      </c>
      <c r="K164">
        <v>0.97208017999590901</v>
      </c>
      <c r="L164">
        <v>0.79687968796879705</v>
      </c>
      <c r="M164">
        <v>0.900890089008901</v>
      </c>
      <c r="N164">
        <v>0.94479447944794503</v>
      </c>
      <c r="O164">
        <v>0.98849884988498804</v>
      </c>
      <c r="P164">
        <v>0.79049999999999998</v>
      </c>
      <c r="Q164">
        <v>0.89629999999999999</v>
      </c>
      <c r="R164" s="5">
        <v>0.94640000000000002</v>
      </c>
      <c r="S164">
        <v>0.99</v>
      </c>
      <c r="T164">
        <v>0.79327932793279299</v>
      </c>
      <c r="U164">
        <v>0.89588958895889603</v>
      </c>
      <c r="V164">
        <v>0.94339433943394302</v>
      </c>
      <c r="W164">
        <v>0.98779877987798803</v>
      </c>
      <c r="X164">
        <v>0.78004094165813698</v>
      </c>
      <c r="Y164">
        <v>0.918116683725691</v>
      </c>
      <c r="Z164">
        <v>0.94575230296826995</v>
      </c>
      <c r="AA164">
        <v>0.97645854657113595</v>
      </c>
      <c r="AB164">
        <v>0.81263717223056497</v>
      </c>
      <c r="AC164">
        <v>0.86138385121866701</v>
      </c>
      <c r="AD164">
        <v>0.90435485734087995</v>
      </c>
      <c r="AE164">
        <v>0.93981748873743798</v>
      </c>
    </row>
    <row r="165" spans="1:31" ht="15" thickBot="1" x14ac:dyDescent="0.35">
      <c r="A165" t="s">
        <v>31</v>
      </c>
      <c r="B165">
        <v>50</v>
      </c>
      <c r="C165" t="s">
        <v>63</v>
      </c>
      <c r="D165">
        <v>0.84547646503826401</v>
      </c>
      <c r="E165">
        <v>0.91256945172449899</v>
      </c>
      <c r="F165">
        <v>0.94590627948422301</v>
      </c>
      <c r="G165">
        <v>0.97001782157458805</v>
      </c>
      <c r="H165">
        <v>0.78081091930951396</v>
      </c>
      <c r="I165">
        <v>0.90566037735849103</v>
      </c>
      <c r="J165">
        <v>0.94560417503010796</v>
      </c>
      <c r="K165">
        <v>0.991971095945403</v>
      </c>
      <c r="L165">
        <v>0.79920000000000002</v>
      </c>
      <c r="M165">
        <v>0.89780000000000004</v>
      </c>
      <c r="N165">
        <v>0.94979999999999998</v>
      </c>
      <c r="O165">
        <v>0.99039999999999995</v>
      </c>
      <c r="P165">
        <v>0.79820000000000002</v>
      </c>
      <c r="Q165">
        <v>0.8972</v>
      </c>
      <c r="R165" s="5">
        <v>0.95079999999999998</v>
      </c>
      <c r="S165">
        <v>0.99139999999999995</v>
      </c>
      <c r="T165">
        <v>0.79690000000000005</v>
      </c>
      <c r="U165">
        <v>0.89600000000000002</v>
      </c>
      <c r="V165">
        <v>0.94650000000000001</v>
      </c>
      <c r="W165">
        <v>0.99019999999999997</v>
      </c>
      <c r="X165">
        <v>0.77899277688603497</v>
      </c>
      <c r="Y165">
        <v>0.89967897271268105</v>
      </c>
      <c r="Z165">
        <v>0.93930577849117203</v>
      </c>
      <c r="AA165">
        <v>0.99107142857142905</v>
      </c>
      <c r="AB165">
        <v>0.84764601027576802</v>
      </c>
      <c r="AC165">
        <v>0.91559190521128198</v>
      </c>
      <c r="AD165">
        <v>0.94453182342455699</v>
      </c>
      <c r="AE165">
        <v>0.97011638880150997</v>
      </c>
    </row>
    <row r="166" spans="1:31" ht="15" thickTop="1" x14ac:dyDescent="0.3">
      <c r="A166" s="1" t="s">
        <v>56</v>
      </c>
      <c r="B166" s="1">
        <v>20</v>
      </c>
      <c r="C166" s="1" t="s">
        <v>35</v>
      </c>
      <c r="D166" s="1">
        <v>0.71573233114103796</v>
      </c>
      <c r="E166" s="1">
        <v>0.81125378431986594</v>
      </c>
      <c r="F166" s="1">
        <v>0.86564359536486102</v>
      </c>
      <c r="G166" s="1">
        <v>0.92253888714897203</v>
      </c>
      <c r="H166" s="1">
        <v>0.77056188925081404</v>
      </c>
      <c r="I166" s="1">
        <v>0.85230048859934904</v>
      </c>
      <c r="J166" s="1">
        <v>0.899837133550489</v>
      </c>
      <c r="K166" s="1">
        <v>0.94513436482084701</v>
      </c>
      <c r="L166" s="1">
        <v>0.78967380428256995</v>
      </c>
      <c r="M166" s="1">
        <v>0.89273564138483097</v>
      </c>
      <c r="N166" s="1">
        <v>0.94426655993596198</v>
      </c>
      <c r="O166" s="1">
        <v>0.98549129477686603</v>
      </c>
      <c r="P166" s="1">
        <v>0.79220000000000002</v>
      </c>
      <c r="Q166" s="1">
        <v>0.8911</v>
      </c>
      <c r="R166" s="6">
        <v>0.9446</v>
      </c>
      <c r="S166" s="1">
        <v>0.98839999999999995</v>
      </c>
      <c r="T166" s="1">
        <v>0.79252280244562501</v>
      </c>
      <c r="U166" s="1">
        <v>0.88894457251678904</v>
      </c>
      <c r="V166" s="1">
        <v>0.94687781898366197</v>
      </c>
      <c r="W166" s="1">
        <v>0.99047809962914701</v>
      </c>
      <c r="X166" s="1">
        <v>0.82498359221176998</v>
      </c>
      <c r="Y166" s="1">
        <v>0.90122511485451795</v>
      </c>
      <c r="Z166" s="1">
        <v>0.93743163421570797</v>
      </c>
      <c r="AA166" s="1">
        <v>0.96466856267775103</v>
      </c>
      <c r="AB166" s="1">
        <v>0.78825116139667295</v>
      </c>
      <c r="AC166" s="1">
        <v>0.84205005245017195</v>
      </c>
      <c r="AD166" s="1">
        <v>0.90678855087666699</v>
      </c>
      <c r="AE166" s="1">
        <v>0.94590139367600801</v>
      </c>
    </row>
    <row r="167" spans="1:31" x14ac:dyDescent="0.3">
      <c r="A167" t="s">
        <v>56</v>
      </c>
      <c r="B167">
        <v>30</v>
      </c>
      <c r="C167" t="s">
        <v>35</v>
      </c>
      <c r="D167">
        <v>0.73813123677048698</v>
      </c>
      <c r="E167">
        <v>0.83197258340893099</v>
      </c>
      <c r="F167">
        <v>0.88489063602459395</v>
      </c>
      <c r="G167">
        <v>0.93881665154722305</v>
      </c>
      <c r="H167">
        <v>0.77583784868553096</v>
      </c>
      <c r="I167">
        <v>0.87447320891029501</v>
      </c>
      <c r="J167">
        <v>0.92143287176399802</v>
      </c>
      <c r="K167">
        <v>0.96718844069837495</v>
      </c>
      <c r="L167">
        <v>0.79969999999999997</v>
      </c>
      <c r="M167">
        <v>0.89829999999999999</v>
      </c>
      <c r="N167">
        <v>0.9476</v>
      </c>
      <c r="O167">
        <v>0.99050000000000005</v>
      </c>
      <c r="P167">
        <v>0.79349999999999998</v>
      </c>
      <c r="Q167">
        <v>0.89129999999999998</v>
      </c>
      <c r="R167" s="5">
        <v>0.9466</v>
      </c>
      <c r="S167">
        <v>0.99039999999999995</v>
      </c>
      <c r="T167">
        <v>0.79063719115734699</v>
      </c>
      <c r="U167">
        <v>0.896568970691207</v>
      </c>
      <c r="V167">
        <v>0.94538361508452495</v>
      </c>
      <c r="W167">
        <v>0.98929678903671103</v>
      </c>
      <c r="X167">
        <v>0.79093612221880405</v>
      </c>
      <c r="Y167">
        <v>0.92843227724802602</v>
      </c>
      <c r="Z167">
        <v>0.94852865784886697</v>
      </c>
      <c r="AA167">
        <v>0.97559725212755</v>
      </c>
      <c r="AB167">
        <v>0.83952223273415305</v>
      </c>
      <c r="AC167">
        <v>0.88209555345316903</v>
      </c>
      <c r="AD167">
        <v>0.926206244087039</v>
      </c>
      <c r="AE167">
        <v>0.95577105014191099</v>
      </c>
    </row>
    <row r="168" spans="1:31" x14ac:dyDescent="0.3">
      <c r="A168" t="s">
        <v>56</v>
      </c>
      <c r="B168">
        <v>50</v>
      </c>
      <c r="C168" t="s">
        <v>35</v>
      </c>
      <c r="D168">
        <v>0.76362908872661805</v>
      </c>
      <c r="E168">
        <v>0.86505951785535695</v>
      </c>
      <c r="F168">
        <v>0.91277383214964503</v>
      </c>
      <c r="G168">
        <v>0.96669000700210095</v>
      </c>
      <c r="H168">
        <v>0.79339999999999999</v>
      </c>
      <c r="I168">
        <v>0.89159999999999995</v>
      </c>
      <c r="J168">
        <v>0.9425</v>
      </c>
      <c r="K168">
        <v>0.98340000000000005</v>
      </c>
      <c r="L168">
        <v>0.79669999999999996</v>
      </c>
      <c r="M168">
        <v>0.89659999999999995</v>
      </c>
      <c r="N168">
        <v>0.95140000000000002</v>
      </c>
      <c r="O168">
        <v>0.98919999999999997</v>
      </c>
      <c r="P168">
        <v>0.80659999999999998</v>
      </c>
      <c r="Q168">
        <v>0.90369999999999995</v>
      </c>
      <c r="R168" s="5">
        <v>0.9516</v>
      </c>
      <c r="S168">
        <v>0.99029999999999996</v>
      </c>
      <c r="T168">
        <v>0.79149999999999998</v>
      </c>
      <c r="U168">
        <v>0.89290000000000003</v>
      </c>
      <c r="V168">
        <v>0.94389999999999996</v>
      </c>
      <c r="W168">
        <v>0.98699999999999999</v>
      </c>
      <c r="X168">
        <v>0.78841335070662499</v>
      </c>
      <c r="Y168">
        <v>0.90107246667334895</v>
      </c>
      <c r="Z168">
        <v>0.94276836724466295</v>
      </c>
      <c r="AA168">
        <v>0.99127994387090301</v>
      </c>
      <c r="AB168">
        <v>0.84554123441265805</v>
      </c>
      <c r="AC168">
        <v>0.91333962066436103</v>
      </c>
      <c r="AD168">
        <v>0.94456669810332206</v>
      </c>
      <c r="AE168">
        <v>0.96793461175730899</v>
      </c>
    </row>
    <row r="169" spans="1:31" x14ac:dyDescent="0.3">
      <c r="A169" t="s">
        <v>57</v>
      </c>
      <c r="B169">
        <v>20</v>
      </c>
      <c r="C169" t="s">
        <v>35</v>
      </c>
      <c r="D169">
        <v>0.21959999999999999</v>
      </c>
      <c r="E169">
        <v>0.32279999999999998</v>
      </c>
      <c r="F169">
        <v>0.42870000000000003</v>
      </c>
      <c r="G169">
        <v>0.64490000000000003</v>
      </c>
      <c r="H169">
        <v>0.58325832583258297</v>
      </c>
      <c r="I169">
        <v>0.72007200720071995</v>
      </c>
      <c r="J169">
        <v>0.81458145814581495</v>
      </c>
      <c r="K169">
        <v>0.92999299929992996</v>
      </c>
      <c r="L169">
        <v>0.784835450635191</v>
      </c>
      <c r="M169">
        <v>0.88466539961988599</v>
      </c>
      <c r="N169">
        <v>0.93558067420226099</v>
      </c>
      <c r="O169">
        <v>0.98439531859557905</v>
      </c>
      <c r="P169">
        <v>0.77729999999999999</v>
      </c>
      <c r="Q169">
        <v>0.88200000000000001</v>
      </c>
      <c r="R169" s="5">
        <v>0.93379999999999996</v>
      </c>
      <c r="S169">
        <v>0.98380000000000001</v>
      </c>
      <c r="T169">
        <v>0.78156894136481903</v>
      </c>
      <c r="U169">
        <v>0.88873323994396602</v>
      </c>
      <c r="V169">
        <v>0.94256553932359399</v>
      </c>
      <c r="W169">
        <v>0.98559135481288795</v>
      </c>
      <c r="X169">
        <v>0.78934116659672704</v>
      </c>
      <c r="Y169">
        <v>0.86361728913134705</v>
      </c>
      <c r="Z169">
        <v>0.90463701216953396</v>
      </c>
      <c r="AA169">
        <v>0.943978178766261</v>
      </c>
      <c r="AB169">
        <v>0.74142447299488601</v>
      </c>
      <c r="AC169">
        <v>0.814020207059998</v>
      </c>
      <c r="AD169">
        <v>0.86254209804166104</v>
      </c>
      <c r="AE169">
        <v>0.90969190470250705</v>
      </c>
    </row>
    <row r="170" spans="1:31" x14ac:dyDescent="0.3">
      <c r="A170" t="s">
        <v>57</v>
      </c>
      <c r="B170">
        <v>30</v>
      </c>
      <c r="C170" t="s">
        <v>35</v>
      </c>
      <c r="D170">
        <v>0.15029999999999999</v>
      </c>
      <c r="E170">
        <v>0.2407</v>
      </c>
      <c r="F170">
        <v>0.34129999999999999</v>
      </c>
      <c r="G170">
        <v>0.5585</v>
      </c>
      <c r="H170">
        <v>0.5605</v>
      </c>
      <c r="I170">
        <v>0.69720000000000004</v>
      </c>
      <c r="J170">
        <v>0.79700000000000004</v>
      </c>
      <c r="K170">
        <v>0.92020000000000002</v>
      </c>
      <c r="L170">
        <v>0.79249999999999998</v>
      </c>
      <c r="M170">
        <v>0.88570000000000004</v>
      </c>
      <c r="N170">
        <v>0.94010000000000005</v>
      </c>
      <c r="O170">
        <v>0.98699999999999999</v>
      </c>
      <c r="P170">
        <v>0.78490000000000004</v>
      </c>
      <c r="Q170">
        <v>0.88839999999999997</v>
      </c>
      <c r="R170" s="5">
        <v>0.94040000000000001</v>
      </c>
      <c r="S170">
        <v>0.98729999999999996</v>
      </c>
      <c r="T170">
        <v>0.79190000000000005</v>
      </c>
      <c r="U170">
        <v>0.89470000000000005</v>
      </c>
      <c r="V170">
        <v>0.94650000000000001</v>
      </c>
      <c r="W170">
        <v>0.98899999999999999</v>
      </c>
      <c r="X170">
        <v>0.782652648604933</v>
      </c>
      <c r="Y170">
        <v>0.89041649818034796</v>
      </c>
      <c r="Z170">
        <v>0.929943388596846</v>
      </c>
      <c r="AA170">
        <v>0.96492114840275001</v>
      </c>
      <c r="AB170">
        <v>0.77036462373933301</v>
      </c>
      <c r="AC170">
        <v>0.83353651778787496</v>
      </c>
      <c r="AD170">
        <v>0.87964091765488195</v>
      </c>
      <c r="AE170">
        <v>0.92064723484428701</v>
      </c>
    </row>
    <row r="171" spans="1:31" x14ac:dyDescent="0.3">
      <c r="A171" t="s">
        <v>57</v>
      </c>
      <c r="B171">
        <v>50</v>
      </c>
      <c r="C171" t="s">
        <v>35</v>
      </c>
      <c r="D171">
        <v>9.4600000000000004E-2</v>
      </c>
      <c r="E171">
        <v>0.15709999999999999</v>
      </c>
      <c r="F171">
        <v>0.23380000000000001</v>
      </c>
      <c r="G171">
        <v>0.42509999999999998</v>
      </c>
      <c r="H171">
        <v>0.54290000000000005</v>
      </c>
      <c r="I171">
        <v>0.67659999999999998</v>
      </c>
      <c r="J171">
        <v>0.77700000000000002</v>
      </c>
      <c r="K171">
        <v>0.91169999999999995</v>
      </c>
      <c r="L171">
        <v>0.79400000000000004</v>
      </c>
      <c r="M171">
        <v>0.8931</v>
      </c>
      <c r="N171">
        <v>0.94430000000000003</v>
      </c>
      <c r="O171">
        <v>0.9889</v>
      </c>
      <c r="P171">
        <v>0.78</v>
      </c>
      <c r="Q171">
        <v>0.88939999999999997</v>
      </c>
      <c r="R171" s="5">
        <v>0.94269999999999998</v>
      </c>
      <c r="S171">
        <v>0.98560000000000003</v>
      </c>
      <c r="T171">
        <v>0.79100000000000004</v>
      </c>
      <c r="U171">
        <v>0.89100000000000001</v>
      </c>
      <c r="V171">
        <v>0.94440000000000002</v>
      </c>
      <c r="W171">
        <v>0.98970000000000002</v>
      </c>
      <c r="X171">
        <v>0.780226384854252</v>
      </c>
      <c r="Y171">
        <v>0.89241710908544503</v>
      </c>
      <c r="Z171">
        <v>0.94079935891014699</v>
      </c>
      <c r="AA171">
        <v>0.98577581889211696</v>
      </c>
      <c r="AB171">
        <v>0.81522738886050095</v>
      </c>
      <c r="AC171">
        <v>0.88461931527848703</v>
      </c>
      <c r="AD171">
        <v>0.92079713847726097</v>
      </c>
      <c r="AE171">
        <v>0.95319366377107795</v>
      </c>
    </row>
    <row r="172" spans="1:31" x14ac:dyDescent="0.3">
      <c r="A172" t="s">
        <v>31</v>
      </c>
      <c r="B172">
        <v>20</v>
      </c>
      <c r="C172" t="s">
        <v>35</v>
      </c>
      <c r="D172">
        <v>0.68708446866484996</v>
      </c>
      <c r="E172">
        <v>0.77460490463215304</v>
      </c>
      <c r="F172">
        <v>0.82920980926430499</v>
      </c>
      <c r="G172">
        <v>0.89253405994550405</v>
      </c>
      <c r="H172">
        <v>0.75695222573087495</v>
      </c>
      <c r="I172">
        <v>0.84374045023938105</v>
      </c>
      <c r="J172">
        <v>0.89161658347764094</v>
      </c>
      <c r="K172">
        <v>0.94315982479372495</v>
      </c>
      <c r="L172">
        <v>0.77955591118223599</v>
      </c>
      <c r="M172">
        <v>0.88527705541108204</v>
      </c>
      <c r="N172">
        <v>0.93888777755551101</v>
      </c>
      <c r="O172">
        <v>0.98369673934787005</v>
      </c>
      <c r="P172">
        <v>0.79820000000000002</v>
      </c>
      <c r="Q172">
        <v>0.89990000000000003</v>
      </c>
      <c r="R172" s="5">
        <v>0.95099999999999996</v>
      </c>
      <c r="S172">
        <v>0.98960000000000004</v>
      </c>
      <c r="T172">
        <v>0.79457674604762896</v>
      </c>
      <c r="U172">
        <v>0.90274164498699205</v>
      </c>
      <c r="V172">
        <v>0.94786872123274002</v>
      </c>
      <c r="W172">
        <v>0.98439063438062802</v>
      </c>
      <c r="X172">
        <v>0.75524546750865795</v>
      </c>
      <c r="Y172">
        <v>0.84283968221633698</v>
      </c>
      <c r="Z172">
        <v>0.88979425544917501</v>
      </c>
      <c r="AA172">
        <v>0.93990629456101005</v>
      </c>
      <c r="AB172">
        <v>0.67988268520530104</v>
      </c>
      <c r="AC172">
        <v>0.77264827286552296</v>
      </c>
      <c r="AD172">
        <v>0.82478818162068201</v>
      </c>
      <c r="AE172">
        <v>0.887138822507061</v>
      </c>
    </row>
    <row r="173" spans="1:31" x14ac:dyDescent="0.3">
      <c r="A173" t="s">
        <v>31</v>
      </c>
      <c r="B173">
        <v>30</v>
      </c>
      <c r="C173" t="s">
        <v>35</v>
      </c>
      <c r="D173">
        <v>0.72246242536545202</v>
      </c>
      <c r="E173">
        <v>0.81037677578752298</v>
      </c>
      <c r="F173">
        <v>0.86102532427424305</v>
      </c>
      <c r="G173">
        <v>0.91537986411365002</v>
      </c>
      <c r="H173">
        <v>0.78289671785606796</v>
      </c>
      <c r="I173">
        <v>0.87383318277627198</v>
      </c>
      <c r="J173">
        <v>0.91970290073271099</v>
      </c>
      <c r="K173">
        <v>0.96316370571113097</v>
      </c>
      <c r="L173">
        <v>0.7984</v>
      </c>
      <c r="M173">
        <v>0.89459999999999995</v>
      </c>
      <c r="N173">
        <v>0.94769999999999999</v>
      </c>
      <c r="O173">
        <v>0.98819999999999997</v>
      </c>
      <c r="P173">
        <v>0.79279999999999995</v>
      </c>
      <c r="Q173">
        <v>0.89380000000000004</v>
      </c>
      <c r="R173" s="5">
        <v>0.94630000000000003</v>
      </c>
      <c r="S173">
        <v>0.98939999999999995</v>
      </c>
      <c r="T173">
        <v>0.79100000000000004</v>
      </c>
      <c r="U173">
        <v>0.89180000000000004</v>
      </c>
      <c r="V173">
        <v>0.94199999999999995</v>
      </c>
      <c r="W173">
        <v>0.98809999999999998</v>
      </c>
      <c r="X173">
        <v>0.78086729572375002</v>
      </c>
      <c r="Y173">
        <v>0.874824332463361</v>
      </c>
      <c r="Z173">
        <v>0.92049789198956</v>
      </c>
      <c r="AA173">
        <v>0.96396305962658102</v>
      </c>
      <c r="AB173">
        <v>0.72438016528925597</v>
      </c>
      <c r="AC173">
        <v>0.807747933884298</v>
      </c>
      <c r="AD173">
        <v>0.85867768595041305</v>
      </c>
      <c r="AE173">
        <v>0.91353305785123995</v>
      </c>
    </row>
    <row r="174" spans="1:31" ht="15" thickBot="1" x14ac:dyDescent="0.35">
      <c r="A174" t="s">
        <v>31</v>
      </c>
      <c r="B174">
        <v>50</v>
      </c>
      <c r="C174" t="s">
        <v>35</v>
      </c>
      <c r="D174">
        <v>0.76928485335476104</v>
      </c>
      <c r="E174">
        <v>0.85606669345118502</v>
      </c>
      <c r="F174">
        <v>0.90598633989554</v>
      </c>
      <c r="G174">
        <v>0.95118521494576103</v>
      </c>
      <c r="H174">
        <v>0.77815563112622499</v>
      </c>
      <c r="I174">
        <v>0.88867773554710905</v>
      </c>
      <c r="J174">
        <v>0.94178835767153402</v>
      </c>
      <c r="K174">
        <v>0.98449689937987594</v>
      </c>
      <c r="L174">
        <v>0.79759999999999998</v>
      </c>
      <c r="M174">
        <v>0.89649999999999996</v>
      </c>
      <c r="N174">
        <v>0.94479999999999997</v>
      </c>
      <c r="O174">
        <v>0.99029999999999996</v>
      </c>
      <c r="P174">
        <v>0.79830000000000001</v>
      </c>
      <c r="Q174">
        <v>0.89970000000000006</v>
      </c>
      <c r="R174" s="5">
        <v>0.94989999999999997</v>
      </c>
      <c r="S174">
        <v>0.99070000000000003</v>
      </c>
      <c r="T174">
        <v>0.79310000000000003</v>
      </c>
      <c r="U174">
        <v>0.89380000000000004</v>
      </c>
      <c r="V174">
        <v>0.94589999999999996</v>
      </c>
      <c r="W174">
        <v>0.98950000000000005</v>
      </c>
      <c r="X174">
        <v>0.77959999999999996</v>
      </c>
      <c r="Y174">
        <v>0.88390000000000002</v>
      </c>
      <c r="Z174">
        <v>0.93630000000000002</v>
      </c>
      <c r="AA174">
        <v>0.98180000000000001</v>
      </c>
      <c r="AB174">
        <v>0.77035846972587596</v>
      </c>
      <c r="AC174">
        <v>0.85711416808916596</v>
      </c>
      <c r="AD174">
        <v>0.90420724972386801</v>
      </c>
      <c r="AE174">
        <v>0.94969374435184295</v>
      </c>
    </row>
    <row r="175" spans="1:31" ht="15" thickTop="1" x14ac:dyDescent="0.3">
      <c r="A175" s="1" t="s">
        <v>56</v>
      </c>
      <c r="B175" s="1">
        <v>20</v>
      </c>
      <c r="C175" s="1" t="s">
        <v>45</v>
      </c>
      <c r="D175" s="1">
        <v>0.31133113311331101</v>
      </c>
      <c r="E175" s="1">
        <v>0.441644164416442</v>
      </c>
      <c r="F175" s="1">
        <v>0.55635563556355605</v>
      </c>
      <c r="G175" s="1">
        <v>0.75477547754775498</v>
      </c>
      <c r="H175" s="1">
        <v>0.61378413524057196</v>
      </c>
      <c r="I175" s="1">
        <v>0.74872461738521601</v>
      </c>
      <c r="J175" s="1">
        <v>0.83785135540662203</v>
      </c>
      <c r="K175" s="1">
        <v>0.94148244473342002</v>
      </c>
      <c r="L175" s="1">
        <v>0.78587858785878595</v>
      </c>
      <c r="M175" s="1">
        <v>0.88558855885588605</v>
      </c>
      <c r="N175" s="1">
        <v>0.94169416941694195</v>
      </c>
      <c r="O175" s="1">
        <v>0.98489848984898498</v>
      </c>
      <c r="P175" s="1">
        <v>0.78269999999999995</v>
      </c>
      <c r="Q175" s="1">
        <v>0.88390000000000002</v>
      </c>
      <c r="R175" s="6">
        <v>0.94110000000000005</v>
      </c>
      <c r="S175" s="1">
        <v>0.98670000000000002</v>
      </c>
      <c r="T175" s="1">
        <v>0.77881152460984404</v>
      </c>
      <c r="U175" s="1">
        <v>0.88355342136854698</v>
      </c>
      <c r="V175" s="1">
        <v>0.93957583033213299</v>
      </c>
      <c r="W175" s="1">
        <v>0.98289315726290505</v>
      </c>
      <c r="X175" s="1">
        <v>0.77337051957442404</v>
      </c>
      <c r="Y175" s="1">
        <v>0.85487036463175303</v>
      </c>
      <c r="Z175" s="1">
        <v>0.90104328065282502</v>
      </c>
      <c r="AA175" s="1">
        <v>0.94463381882037001</v>
      </c>
      <c r="AB175" s="1">
        <v>0.70522607163828499</v>
      </c>
      <c r="AC175" s="1">
        <v>0.79025249559600697</v>
      </c>
      <c r="AD175" s="1">
        <v>0.841103934233705</v>
      </c>
      <c r="AE175" s="1">
        <v>0.89747504403992995</v>
      </c>
    </row>
    <row r="176" spans="1:31" x14ac:dyDescent="0.3">
      <c r="A176" t="s">
        <v>56</v>
      </c>
      <c r="B176">
        <v>30</v>
      </c>
      <c r="C176" t="s">
        <v>45</v>
      </c>
      <c r="D176">
        <v>0.27010000000000001</v>
      </c>
      <c r="E176">
        <v>0.38290000000000002</v>
      </c>
      <c r="F176">
        <v>0.49690000000000001</v>
      </c>
      <c r="G176">
        <v>0.71340000000000003</v>
      </c>
      <c r="H176">
        <v>0.60799999999999998</v>
      </c>
      <c r="I176">
        <v>0.73529999999999995</v>
      </c>
      <c r="J176">
        <v>0.82799999999999996</v>
      </c>
      <c r="K176">
        <v>0.93520000000000003</v>
      </c>
      <c r="L176">
        <v>0.79800000000000004</v>
      </c>
      <c r="M176">
        <v>0.89580000000000004</v>
      </c>
      <c r="N176">
        <v>0.94610000000000005</v>
      </c>
      <c r="O176">
        <v>0.98950000000000005</v>
      </c>
      <c r="P176">
        <v>0.78469999999999995</v>
      </c>
      <c r="Q176">
        <v>0.88619999999999999</v>
      </c>
      <c r="R176" s="5">
        <v>0.94089999999999996</v>
      </c>
      <c r="S176">
        <v>0.98740000000000006</v>
      </c>
      <c r="T176">
        <v>0.78897889788978903</v>
      </c>
      <c r="U176">
        <v>0.893089308930893</v>
      </c>
      <c r="V176">
        <v>0.943294329432943</v>
      </c>
      <c r="W176">
        <v>0.98649864986498603</v>
      </c>
      <c r="X176">
        <v>0.79286362261868804</v>
      </c>
      <c r="Y176">
        <v>0.88942646910593703</v>
      </c>
      <c r="Z176">
        <v>0.92793065215200099</v>
      </c>
      <c r="AA176">
        <v>0.96462050196552795</v>
      </c>
      <c r="AB176">
        <v>0.74858425045410804</v>
      </c>
      <c r="AC176">
        <v>0.82401966022010897</v>
      </c>
      <c r="AD176">
        <v>0.86857570253232197</v>
      </c>
      <c r="AE176">
        <v>0.91601666844748397</v>
      </c>
    </row>
    <row r="177" spans="1:31" x14ac:dyDescent="0.3">
      <c r="A177" t="s">
        <v>56</v>
      </c>
      <c r="B177">
        <v>50</v>
      </c>
      <c r="C177" t="s">
        <v>45</v>
      </c>
      <c r="D177">
        <v>0.20610000000000001</v>
      </c>
      <c r="E177">
        <v>0.31190000000000001</v>
      </c>
      <c r="F177">
        <v>0.41260000000000002</v>
      </c>
      <c r="G177">
        <v>0.63839999999999997</v>
      </c>
      <c r="H177">
        <v>0.58879999999999999</v>
      </c>
      <c r="I177">
        <v>0.72489999999999999</v>
      </c>
      <c r="J177">
        <v>0.81869999999999998</v>
      </c>
      <c r="K177">
        <v>0.93779999999999997</v>
      </c>
      <c r="L177">
        <v>0.79200000000000004</v>
      </c>
      <c r="M177">
        <v>0.89529999999999998</v>
      </c>
      <c r="N177">
        <v>0.94779999999999998</v>
      </c>
      <c r="O177">
        <v>0.98880000000000001</v>
      </c>
      <c r="P177">
        <v>0.79749999999999999</v>
      </c>
      <c r="Q177">
        <v>0.89390000000000003</v>
      </c>
      <c r="R177" s="5">
        <v>0.94420000000000004</v>
      </c>
      <c r="S177">
        <v>0.98909999999999998</v>
      </c>
      <c r="T177">
        <v>0.78469999999999995</v>
      </c>
      <c r="U177">
        <v>0.88700000000000001</v>
      </c>
      <c r="V177">
        <v>0.94120000000000004</v>
      </c>
      <c r="W177">
        <v>0.98599999999999999</v>
      </c>
      <c r="X177">
        <v>0.78385677135427101</v>
      </c>
      <c r="Y177">
        <v>0.88847769553910805</v>
      </c>
      <c r="Z177">
        <v>0.94208841768353702</v>
      </c>
      <c r="AA177">
        <v>0.98589717943588695</v>
      </c>
      <c r="AB177">
        <v>0.79531867463775496</v>
      </c>
      <c r="AC177">
        <v>0.86979430540074998</v>
      </c>
      <c r="AD177">
        <v>0.90981862397405999</v>
      </c>
      <c r="AE177">
        <v>0.949234978214611</v>
      </c>
    </row>
    <row r="178" spans="1:31" x14ac:dyDescent="0.3">
      <c r="A178" t="s">
        <v>57</v>
      </c>
      <c r="B178">
        <v>20</v>
      </c>
      <c r="C178" t="s">
        <v>45</v>
      </c>
      <c r="D178">
        <v>0</v>
      </c>
      <c r="E178">
        <v>2.0056157240277999E-4</v>
      </c>
      <c r="F178">
        <v>3.0084235860405899E-4</v>
      </c>
      <c r="G178">
        <v>1.30365022061774E-3</v>
      </c>
      <c r="H178">
        <v>3.9027319123385901E-3</v>
      </c>
      <c r="I178">
        <v>1.2408686080256101E-2</v>
      </c>
      <c r="J178">
        <v>2.6318422896027299E-2</v>
      </c>
      <c r="K178">
        <v>8.60602421695187E-2</v>
      </c>
      <c r="L178">
        <v>0.55375537553755405</v>
      </c>
      <c r="M178">
        <v>0.69036903690369</v>
      </c>
      <c r="N178">
        <v>0.79347934793479302</v>
      </c>
      <c r="O178">
        <v>0.92169216921692199</v>
      </c>
      <c r="P178">
        <v>0.59809999999999997</v>
      </c>
      <c r="Q178">
        <v>0.7379</v>
      </c>
      <c r="R178" s="5">
        <v>0.82669999999999999</v>
      </c>
      <c r="S178">
        <v>0.93830000000000002</v>
      </c>
      <c r="T178">
        <v>0.48370000000000002</v>
      </c>
      <c r="U178">
        <v>0.61890000000000001</v>
      </c>
      <c r="V178">
        <v>0.72699999999999998</v>
      </c>
      <c r="W178">
        <v>0.88329999999999997</v>
      </c>
      <c r="X178">
        <v>0.61285800120168199</v>
      </c>
      <c r="Y178">
        <v>0.74283997596635298</v>
      </c>
      <c r="Z178">
        <v>0.82645703985579799</v>
      </c>
      <c r="AA178">
        <v>0.92880032044862804</v>
      </c>
      <c r="AB178">
        <v>0.62810503903477599</v>
      </c>
      <c r="AC178">
        <v>0.74612186961370797</v>
      </c>
      <c r="AD178">
        <v>0.82155530771570495</v>
      </c>
      <c r="AE178">
        <v>0.90682348169927995</v>
      </c>
    </row>
    <row r="179" spans="1:31" x14ac:dyDescent="0.3">
      <c r="A179" t="s">
        <v>57</v>
      </c>
      <c r="B179">
        <v>30</v>
      </c>
      <c r="C179" t="s">
        <v>45</v>
      </c>
      <c r="D179">
        <v>0</v>
      </c>
      <c r="E179">
        <v>0</v>
      </c>
      <c r="F179">
        <v>0</v>
      </c>
      <c r="G179">
        <v>0</v>
      </c>
      <c r="H179">
        <v>7.0000000000003404E-4</v>
      </c>
      <c r="I179">
        <v>2.1999999999999802E-3</v>
      </c>
      <c r="J179">
        <v>5.80000000000003E-3</v>
      </c>
      <c r="K179">
        <v>2.7E-2</v>
      </c>
      <c r="L179">
        <v>0.53480000000000005</v>
      </c>
      <c r="M179">
        <v>0.67810000000000004</v>
      </c>
      <c r="N179">
        <v>0.78069999999999995</v>
      </c>
      <c r="O179">
        <v>0.91790000000000005</v>
      </c>
      <c r="P179">
        <v>0.54749999999999999</v>
      </c>
      <c r="Q179">
        <v>0.69169999999999998</v>
      </c>
      <c r="R179" s="5">
        <v>0.79020000000000001</v>
      </c>
      <c r="S179">
        <v>0.92279999999999995</v>
      </c>
      <c r="T179">
        <v>0.48149999999999998</v>
      </c>
      <c r="U179">
        <v>0.62280000000000002</v>
      </c>
      <c r="V179">
        <v>0.72860000000000003</v>
      </c>
      <c r="W179">
        <v>0.88529999999999998</v>
      </c>
      <c r="X179">
        <v>0.64659999999999995</v>
      </c>
      <c r="Y179">
        <v>0.77039999999999997</v>
      </c>
      <c r="Z179">
        <v>0.85050000000000003</v>
      </c>
      <c r="AA179">
        <v>0.94669999999999999</v>
      </c>
      <c r="AB179">
        <v>0.65708831508087995</v>
      </c>
      <c r="AC179">
        <v>0.772229478549181</v>
      </c>
      <c r="AD179">
        <v>0.84366522656485499</v>
      </c>
      <c r="AE179">
        <v>0.92987039083693401</v>
      </c>
    </row>
    <row r="180" spans="1:31" x14ac:dyDescent="0.3">
      <c r="A180" t="s">
        <v>57</v>
      </c>
      <c r="B180">
        <v>50</v>
      </c>
      <c r="C180" t="s">
        <v>45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1.99999999999978E-4</v>
      </c>
      <c r="J180">
        <v>3.99999999999956E-4</v>
      </c>
      <c r="K180">
        <v>4.3999999999999604E-3</v>
      </c>
      <c r="L180">
        <v>0.52810000000000001</v>
      </c>
      <c r="M180">
        <v>0.66969999999999996</v>
      </c>
      <c r="N180">
        <v>0.77690000000000003</v>
      </c>
      <c r="O180">
        <v>0.91830000000000001</v>
      </c>
      <c r="P180">
        <v>0.4768</v>
      </c>
      <c r="Q180">
        <v>0.62539999999999996</v>
      </c>
      <c r="R180" s="5">
        <v>0.73599999999999999</v>
      </c>
      <c r="S180">
        <v>0.89280000000000004</v>
      </c>
      <c r="T180">
        <v>0.45140000000000002</v>
      </c>
      <c r="U180">
        <v>0.59340000000000004</v>
      </c>
      <c r="V180">
        <v>0.70269999999999999</v>
      </c>
      <c r="W180">
        <v>0.87139999999999995</v>
      </c>
      <c r="X180">
        <v>0.65159999999999996</v>
      </c>
      <c r="Y180">
        <v>0.78029999999999999</v>
      </c>
      <c r="Z180">
        <v>0.86319999999999997</v>
      </c>
      <c r="AA180">
        <v>0.95140000000000002</v>
      </c>
      <c r="AB180">
        <v>0.711013303991197</v>
      </c>
      <c r="AC180">
        <v>0.81984595378613601</v>
      </c>
      <c r="AD180">
        <v>0.88836650995298605</v>
      </c>
      <c r="AE180">
        <v>0.95738721616484901</v>
      </c>
    </row>
    <row r="181" spans="1:31" x14ac:dyDescent="0.3">
      <c r="A181" t="s">
        <v>31</v>
      </c>
      <c r="B181">
        <v>20</v>
      </c>
      <c r="C181" t="s">
        <v>45</v>
      </c>
      <c r="D181">
        <v>0.31143114311431103</v>
      </c>
      <c r="E181">
        <v>0.42814281428142797</v>
      </c>
      <c r="F181">
        <v>0.53705370537053698</v>
      </c>
      <c r="G181">
        <v>0.74047404740473999</v>
      </c>
      <c r="H181">
        <v>0.41349999999999998</v>
      </c>
      <c r="I181">
        <v>0.54859999999999998</v>
      </c>
      <c r="J181">
        <v>0.66100000000000003</v>
      </c>
      <c r="K181">
        <v>0.83930000000000005</v>
      </c>
      <c r="L181">
        <v>0.64096409640964103</v>
      </c>
      <c r="M181">
        <v>0.77177717771777199</v>
      </c>
      <c r="N181">
        <v>0.85288528852885304</v>
      </c>
      <c r="O181">
        <v>0.95049504950495001</v>
      </c>
      <c r="P181">
        <v>0.79239999999999999</v>
      </c>
      <c r="Q181">
        <v>0.89370000000000005</v>
      </c>
      <c r="R181" s="5">
        <v>0.94650000000000001</v>
      </c>
      <c r="S181">
        <v>0.98729999999999996</v>
      </c>
      <c r="T181">
        <v>0.65180000000000005</v>
      </c>
      <c r="U181">
        <v>0.78500000000000003</v>
      </c>
      <c r="V181">
        <v>0.86280000000000001</v>
      </c>
      <c r="W181">
        <v>0.95640000000000003</v>
      </c>
      <c r="X181">
        <v>0.42164216421642198</v>
      </c>
      <c r="Y181">
        <v>0.55815581558155802</v>
      </c>
      <c r="Z181">
        <v>0.67246724672467195</v>
      </c>
      <c r="AA181">
        <v>0.841584158415842</v>
      </c>
      <c r="AB181">
        <v>0.29949999999999999</v>
      </c>
      <c r="AC181">
        <v>0.42480000000000001</v>
      </c>
      <c r="AD181">
        <v>0.53779999999999994</v>
      </c>
      <c r="AE181">
        <v>0.74390000000000001</v>
      </c>
    </row>
    <row r="182" spans="1:31" x14ac:dyDescent="0.3">
      <c r="A182" t="s">
        <v>31</v>
      </c>
      <c r="B182">
        <v>30</v>
      </c>
      <c r="C182" t="s">
        <v>45</v>
      </c>
      <c r="D182">
        <v>0.29389999999999999</v>
      </c>
      <c r="E182">
        <v>0.4199</v>
      </c>
      <c r="F182">
        <v>0.5373</v>
      </c>
      <c r="G182">
        <v>0.73760000000000003</v>
      </c>
      <c r="H182">
        <v>0.39589999999999997</v>
      </c>
      <c r="I182">
        <v>0.53480000000000005</v>
      </c>
      <c r="J182">
        <v>0.65059999999999996</v>
      </c>
      <c r="K182">
        <v>0.83399999999999996</v>
      </c>
      <c r="L182">
        <v>0.64890000000000003</v>
      </c>
      <c r="M182">
        <v>0.77759999999999996</v>
      </c>
      <c r="N182">
        <v>0.85780000000000001</v>
      </c>
      <c r="O182">
        <v>0.95289999999999997</v>
      </c>
      <c r="P182">
        <v>0.79069999999999996</v>
      </c>
      <c r="Q182">
        <v>0.89580000000000004</v>
      </c>
      <c r="R182" s="5">
        <v>0.94589999999999996</v>
      </c>
      <c r="S182">
        <v>0.98860000000000003</v>
      </c>
      <c r="T182">
        <v>0.63519999999999999</v>
      </c>
      <c r="U182">
        <v>0.76649999999999996</v>
      </c>
      <c r="V182">
        <v>0.85289999999999999</v>
      </c>
      <c r="W182">
        <v>0.95099999999999996</v>
      </c>
      <c r="X182">
        <v>0.40010000000000001</v>
      </c>
      <c r="Y182">
        <v>0.52859999999999996</v>
      </c>
      <c r="Z182">
        <v>0.64890000000000003</v>
      </c>
      <c r="AA182">
        <v>0.83250000000000002</v>
      </c>
      <c r="AB182">
        <v>0.30270000000000002</v>
      </c>
      <c r="AC182">
        <v>0.41799999999999998</v>
      </c>
      <c r="AD182">
        <v>0.52880000000000005</v>
      </c>
      <c r="AE182">
        <v>0.73419999999999996</v>
      </c>
    </row>
    <row r="183" spans="1:31" ht="15" thickBot="1" x14ac:dyDescent="0.35">
      <c r="A183" t="s">
        <v>31</v>
      </c>
      <c r="B183">
        <v>50</v>
      </c>
      <c r="C183" t="s">
        <v>45</v>
      </c>
      <c r="D183">
        <v>0.29330000000000001</v>
      </c>
      <c r="E183">
        <v>0.41089999999999999</v>
      </c>
      <c r="F183">
        <v>0.52849999999999997</v>
      </c>
      <c r="G183">
        <v>0.72940000000000005</v>
      </c>
      <c r="H183">
        <v>0.37790000000000001</v>
      </c>
      <c r="I183">
        <v>0.51149999999999995</v>
      </c>
      <c r="J183">
        <v>0.63</v>
      </c>
      <c r="K183">
        <v>0.8216</v>
      </c>
      <c r="L183">
        <v>0.61909999999999998</v>
      </c>
      <c r="M183">
        <v>0.74990000000000001</v>
      </c>
      <c r="N183">
        <v>0.8417</v>
      </c>
      <c r="O183">
        <v>0.94259999999999999</v>
      </c>
      <c r="P183">
        <v>0.79530000000000001</v>
      </c>
      <c r="Q183">
        <v>0.89870000000000005</v>
      </c>
      <c r="R183" s="5">
        <v>0.94710000000000005</v>
      </c>
      <c r="S183">
        <v>0.98970000000000002</v>
      </c>
      <c r="T183">
        <v>0.62409999999999999</v>
      </c>
      <c r="U183">
        <v>0.75549999999999995</v>
      </c>
      <c r="V183">
        <v>0.84330000000000005</v>
      </c>
      <c r="W183">
        <v>0.94789999999999996</v>
      </c>
      <c r="X183">
        <v>0.38190000000000002</v>
      </c>
      <c r="Y183">
        <v>0.51990000000000003</v>
      </c>
      <c r="Z183">
        <v>0.63449999999999995</v>
      </c>
      <c r="AA183">
        <v>0.8175</v>
      </c>
      <c r="AB183">
        <v>0.28160000000000002</v>
      </c>
      <c r="AC183">
        <v>0.4047</v>
      </c>
      <c r="AD183">
        <v>0.51910000000000001</v>
      </c>
      <c r="AE183">
        <v>0.72699999999999998</v>
      </c>
    </row>
    <row r="184" spans="1:31" ht="15" thickTop="1" x14ac:dyDescent="0.3">
      <c r="A184" s="1" t="s">
        <v>56</v>
      </c>
      <c r="B184" s="1">
        <v>20</v>
      </c>
      <c r="C184" s="1" t="s">
        <v>73</v>
      </c>
      <c r="D184" s="1">
        <v>0.72269662921348299</v>
      </c>
      <c r="E184" s="1">
        <v>0.809213483146067</v>
      </c>
      <c r="F184" s="1">
        <v>0.85494382022471904</v>
      </c>
      <c r="G184" s="1">
        <v>0.91067415730337098</v>
      </c>
      <c r="H184" s="1">
        <v>0.79521471110646702</v>
      </c>
      <c r="I184" s="1">
        <v>0.86532232786542695</v>
      </c>
      <c r="J184" s="1">
        <v>0.90471215129035598</v>
      </c>
      <c r="K184" s="1">
        <v>0.94556472677881098</v>
      </c>
      <c r="L184" s="1">
        <v>0.79227149864851298</v>
      </c>
      <c r="M184" s="1">
        <v>0.89148062869156097</v>
      </c>
      <c r="N184" s="1">
        <v>0.94714185604164602</v>
      </c>
      <c r="O184" s="1">
        <v>0.98828711582741002</v>
      </c>
      <c r="P184" s="1">
        <v>0.78787878787878796</v>
      </c>
      <c r="Q184" s="1">
        <v>0.89058905890589102</v>
      </c>
      <c r="R184" s="6">
        <v>0.94679467946794704</v>
      </c>
      <c r="S184" s="1">
        <v>0.98859885988598895</v>
      </c>
      <c r="T184" s="1">
        <v>0.79603940490550895</v>
      </c>
      <c r="U184" s="1">
        <v>0.88178528347406504</v>
      </c>
      <c r="V184" s="1">
        <v>0.95174909529553697</v>
      </c>
      <c r="W184" s="1">
        <v>0.992360273421793</v>
      </c>
      <c r="X184" s="1">
        <v>0.83414193839557704</v>
      </c>
      <c r="Y184" s="1">
        <v>0.91650682613110701</v>
      </c>
      <c r="Z184" s="1">
        <v>0.95351461130542703</v>
      </c>
      <c r="AA184" s="1">
        <v>0.97404941893264096</v>
      </c>
      <c r="AB184" s="1">
        <v>0.79307897071872202</v>
      </c>
      <c r="AC184" s="1">
        <v>0.83300798580301705</v>
      </c>
      <c r="AD184" s="1">
        <v>0.92173913043478295</v>
      </c>
      <c r="AE184" s="1">
        <v>0.96060337178349597</v>
      </c>
    </row>
    <row r="185" spans="1:31" x14ac:dyDescent="0.3">
      <c r="A185" t="s">
        <v>56</v>
      </c>
      <c r="B185">
        <v>30</v>
      </c>
      <c r="C185" t="s">
        <v>73</v>
      </c>
      <c r="D185">
        <v>0.75567819995754604</v>
      </c>
      <c r="E185">
        <v>0.835172999363193</v>
      </c>
      <c r="F185">
        <v>0.87794523455741902</v>
      </c>
      <c r="G185">
        <v>0.92188495011674798</v>
      </c>
      <c r="H185">
        <v>0.78103080207380304</v>
      </c>
      <c r="I185">
        <v>0.89529328047168899</v>
      </c>
      <c r="J185">
        <v>0.93371962996848601</v>
      </c>
      <c r="K185">
        <v>0.96828301311375398</v>
      </c>
      <c r="L185">
        <v>0.79777977797779798</v>
      </c>
      <c r="M185">
        <v>0.90009000900089997</v>
      </c>
      <c r="N185">
        <v>0.94659465946594701</v>
      </c>
      <c r="O185">
        <v>0.99029902990299001</v>
      </c>
      <c r="P185">
        <v>0.79407940794079401</v>
      </c>
      <c r="Q185">
        <v>0.89298929892989298</v>
      </c>
      <c r="R185" s="5">
        <v>0.94749474947494705</v>
      </c>
      <c r="S185">
        <v>0.98979897989799004</v>
      </c>
      <c r="T185">
        <v>0.79171668667466999</v>
      </c>
      <c r="U185">
        <v>0.90066026410564204</v>
      </c>
      <c r="V185">
        <v>0.94267707082833097</v>
      </c>
      <c r="W185">
        <v>0.98829531812725102</v>
      </c>
      <c r="X185">
        <v>0.78271371560596503</v>
      </c>
      <c r="Y185">
        <v>0.94822516278092805</v>
      </c>
      <c r="Z185">
        <v>0.96103759714345705</v>
      </c>
      <c r="AA185">
        <v>0.98435202688510803</v>
      </c>
      <c r="AB185">
        <v>0.87939698492462304</v>
      </c>
      <c r="AC185">
        <v>0.90256158842995504</v>
      </c>
      <c r="AD185">
        <v>0.95269028067165096</v>
      </c>
      <c r="AE185">
        <v>0.97438411570045302</v>
      </c>
    </row>
    <row r="186" spans="1:31" x14ac:dyDescent="0.3">
      <c r="A186" t="s">
        <v>56</v>
      </c>
      <c r="B186">
        <v>50</v>
      </c>
      <c r="C186" t="s">
        <v>73</v>
      </c>
      <c r="D186">
        <v>0.79615697437982902</v>
      </c>
      <c r="E186">
        <v>0.87454249694997999</v>
      </c>
      <c r="F186">
        <v>0.91500610004066696</v>
      </c>
      <c r="G186">
        <v>0.95119967466449795</v>
      </c>
      <c r="H186">
        <v>0.79349023535302998</v>
      </c>
      <c r="I186">
        <v>0.90205307961942904</v>
      </c>
      <c r="J186">
        <v>0.94471707561342</v>
      </c>
      <c r="K186">
        <v>0.98898347521281904</v>
      </c>
      <c r="L186">
        <v>0.79700000000000004</v>
      </c>
      <c r="M186">
        <v>0.89910000000000001</v>
      </c>
      <c r="N186">
        <v>0.95140000000000002</v>
      </c>
      <c r="O186">
        <v>0.98960000000000004</v>
      </c>
      <c r="P186">
        <v>0.80730000000000002</v>
      </c>
      <c r="Q186">
        <v>0.90449999999999997</v>
      </c>
      <c r="R186" s="5">
        <v>0.95199999999999996</v>
      </c>
      <c r="S186">
        <v>0.99</v>
      </c>
      <c r="T186">
        <v>0.79500000000000004</v>
      </c>
      <c r="U186">
        <v>0.89370000000000005</v>
      </c>
      <c r="V186">
        <v>0.9456</v>
      </c>
      <c r="W186">
        <v>0.98560000000000003</v>
      </c>
      <c r="X186">
        <v>0.77875747440964804</v>
      </c>
      <c r="Y186">
        <v>0.90625316712273196</v>
      </c>
      <c r="Z186">
        <v>0.94304246478159504</v>
      </c>
      <c r="AA186">
        <v>0.99422316813621203</v>
      </c>
      <c r="AB186">
        <v>0.86981616075245805</v>
      </c>
      <c r="AC186">
        <v>0.94078666096622499</v>
      </c>
      <c r="AD186">
        <v>0.96911073108165902</v>
      </c>
      <c r="AE186">
        <v>0.98450192389910196</v>
      </c>
    </row>
    <row r="187" spans="1:31" x14ac:dyDescent="0.3">
      <c r="A187" t="s">
        <v>57</v>
      </c>
      <c r="B187">
        <v>20</v>
      </c>
      <c r="C187" t="s">
        <v>73</v>
      </c>
      <c r="D187">
        <v>0.56229967948717996</v>
      </c>
      <c r="E187">
        <v>0.69090544871794901</v>
      </c>
      <c r="F187">
        <v>0.78435496794871795</v>
      </c>
      <c r="G187">
        <v>0.91326121794871795</v>
      </c>
      <c r="H187">
        <v>0.75490981963927895</v>
      </c>
      <c r="I187">
        <v>0.85711422845691398</v>
      </c>
      <c r="J187">
        <v>0.91232464929859702</v>
      </c>
      <c r="K187">
        <v>0.96653306613226497</v>
      </c>
      <c r="L187">
        <v>0.78293488046413895</v>
      </c>
      <c r="M187">
        <v>0.88516554966489902</v>
      </c>
      <c r="N187">
        <v>0.93568070421126304</v>
      </c>
      <c r="O187">
        <v>0.98359507852355699</v>
      </c>
      <c r="P187">
        <v>0.78469999999999995</v>
      </c>
      <c r="Q187">
        <v>0.88319999999999999</v>
      </c>
      <c r="R187" s="5">
        <v>0.93959999999999999</v>
      </c>
      <c r="S187">
        <v>0.98499999999999999</v>
      </c>
      <c r="T187">
        <v>0.784341209451342</v>
      </c>
      <c r="U187">
        <v>0.89177012414897905</v>
      </c>
      <c r="V187">
        <v>0.94403283940728899</v>
      </c>
      <c r="W187">
        <v>0.98928714457348799</v>
      </c>
      <c r="X187">
        <v>0.82001081665765296</v>
      </c>
      <c r="Y187">
        <v>0.88988642509464599</v>
      </c>
      <c r="Z187">
        <v>0.92806922660897795</v>
      </c>
      <c r="AA187">
        <v>0.95868036776636001</v>
      </c>
      <c r="AB187">
        <v>0.78273642977056501</v>
      </c>
      <c r="AC187">
        <v>0.84219362059317304</v>
      </c>
      <c r="AD187">
        <v>0.897733631785115</v>
      </c>
      <c r="AE187">
        <v>0.93494683827644098</v>
      </c>
    </row>
    <row r="188" spans="1:31" x14ac:dyDescent="0.3">
      <c r="A188" t="s">
        <v>57</v>
      </c>
      <c r="B188">
        <v>30</v>
      </c>
      <c r="C188" t="s">
        <v>73</v>
      </c>
      <c r="D188">
        <v>0.653326663331666</v>
      </c>
      <c r="E188">
        <v>0.77698849424712402</v>
      </c>
      <c r="F188">
        <v>0.85542771385692795</v>
      </c>
      <c r="G188">
        <v>0.94597298649324701</v>
      </c>
      <c r="H188">
        <v>0.77797779777977805</v>
      </c>
      <c r="I188">
        <v>0.87848784878487896</v>
      </c>
      <c r="J188">
        <v>0.93199319931993196</v>
      </c>
      <c r="K188">
        <v>0.977197719771977</v>
      </c>
      <c r="L188">
        <v>0.7923</v>
      </c>
      <c r="M188">
        <v>0.88900000000000001</v>
      </c>
      <c r="N188">
        <v>0.9405</v>
      </c>
      <c r="O188">
        <v>0.98770000000000002</v>
      </c>
      <c r="P188">
        <v>0.79549999999999998</v>
      </c>
      <c r="Q188">
        <v>0.89390000000000003</v>
      </c>
      <c r="R188" s="5">
        <v>0.94820000000000004</v>
      </c>
      <c r="S188">
        <v>0.98939999999999995</v>
      </c>
      <c r="T188">
        <v>0.79420000000000002</v>
      </c>
      <c r="U188">
        <v>0.89970000000000006</v>
      </c>
      <c r="V188">
        <v>0.94679999999999997</v>
      </c>
      <c r="W188">
        <v>0.98809999999999998</v>
      </c>
      <c r="X188">
        <v>0.77649108423857305</v>
      </c>
      <c r="Y188">
        <v>0.91811846689895504</v>
      </c>
      <c r="Z188">
        <v>0.94445583111293296</v>
      </c>
      <c r="AA188">
        <v>0.97427751588440303</v>
      </c>
      <c r="AB188">
        <v>0.83535425582501199</v>
      </c>
      <c r="AC188">
        <v>0.87541607227769802</v>
      </c>
      <c r="AD188">
        <v>0.92427484545886796</v>
      </c>
      <c r="AE188">
        <v>0.95482643842130299</v>
      </c>
    </row>
    <row r="189" spans="1:31" x14ac:dyDescent="0.3">
      <c r="A189" t="s">
        <v>57</v>
      </c>
      <c r="B189">
        <v>50</v>
      </c>
      <c r="C189" t="s">
        <v>73</v>
      </c>
      <c r="D189">
        <v>0.73194638927785505</v>
      </c>
      <c r="E189">
        <v>0.84376875375075</v>
      </c>
      <c r="F189">
        <v>0.90628125625125</v>
      </c>
      <c r="G189">
        <v>0.969093818763753</v>
      </c>
      <c r="H189">
        <v>0.79290000000000005</v>
      </c>
      <c r="I189">
        <v>0.89549999999999996</v>
      </c>
      <c r="J189">
        <v>0.94530000000000003</v>
      </c>
      <c r="K189">
        <v>0.98660000000000003</v>
      </c>
      <c r="L189">
        <v>0.79510000000000003</v>
      </c>
      <c r="M189">
        <v>0.89829999999999999</v>
      </c>
      <c r="N189">
        <v>0.94669999999999999</v>
      </c>
      <c r="O189">
        <v>0.99009999999999998</v>
      </c>
      <c r="P189">
        <v>0.79730000000000001</v>
      </c>
      <c r="Q189">
        <v>0.8972</v>
      </c>
      <c r="R189" s="5">
        <v>0.95</v>
      </c>
      <c r="S189">
        <v>0.9889</v>
      </c>
      <c r="T189">
        <v>0.79459999999999997</v>
      </c>
      <c r="U189">
        <v>0.89539999999999997</v>
      </c>
      <c r="V189">
        <v>0.94720000000000004</v>
      </c>
      <c r="W189">
        <v>0.98939999999999995</v>
      </c>
      <c r="X189">
        <v>0.78397667872939303</v>
      </c>
      <c r="Y189">
        <v>0.90611178126256497</v>
      </c>
      <c r="Z189">
        <v>0.94149577804583795</v>
      </c>
      <c r="AA189">
        <v>0.99175713711298796</v>
      </c>
      <c r="AB189">
        <v>0.85914749947246305</v>
      </c>
      <c r="AC189">
        <v>0.92783287613420595</v>
      </c>
      <c r="AD189">
        <v>0.95684743616796797</v>
      </c>
      <c r="AE189">
        <v>0.97647182949989497</v>
      </c>
    </row>
    <row r="190" spans="1:31" x14ac:dyDescent="0.3">
      <c r="A190" t="s">
        <v>31</v>
      </c>
      <c r="B190">
        <v>20</v>
      </c>
      <c r="C190" t="s">
        <v>73</v>
      </c>
      <c r="D190">
        <v>0.72799903159423796</v>
      </c>
      <c r="E190">
        <v>0.80813460840092</v>
      </c>
      <c r="F190">
        <v>0.85594964290037501</v>
      </c>
      <c r="G190">
        <v>0.90182786587580199</v>
      </c>
      <c r="H190">
        <v>0.79125602851750898</v>
      </c>
      <c r="I190">
        <v>0.86600964562801397</v>
      </c>
      <c r="J190">
        <v>0.909414971692179</v>
      </c>
      <c r="K190">
        <v>0.94600545187670404</v>
      </c>
      <c r="L190">
        <v>0.78319159579789899</v>
      </c>
      <c r="M190">
        <v>0.88834417208604299</v>
      </c>
      <c r="N190">
        <v>0.94177088544272103</v>
      </c>
      <c r="O190">
        <v>0.98709354677338701</v>
      </c>
      <c r="P190">
        <v>0.79820000000000002</v>
      </c>
      <c r="Q190">
        <v>0.89939999999999998</v>
      </c>
      <c r="R190" s="5">
        <v>0.95069999999999999</v>
      </c>
      <c r="S190">
        <v>0.98950000000000005</v>
      </c>
      <c r="T190">
        <v>0.79897887676444102</v>
      </c>
      <c r="U190">
        <v>0.90229252177395103</v>
      </c>
      <c r="V190">
        <v>0.94994493943337699</v>
      </c>
      <c r="W190">
        <v>0.98638502352587798</v>
      </c>
      <c r="X190">
        <v>0.79411455596426705</v>
      </c>
      <c r="Y190">
        <v>0.86568575932737801</v>
      </c>
      <c r="Z190">
        <v>0.908250131371519</v>
      </c>
      <c r="AA190">
        <v>0.94776668418286902</v>
      </c>
      <c r="AB190">
        <v>0.72944038929440402</v>
      </c>
      <c r="AC190">
        <v>0.80474452554744502</v>
      </c>
      <c r="AD190">
        <v>0.85121654501216504</v>
      </c>
      <c r="AE190">
        <v>0.9</v>
      </c>
    </row>
    <row r="191" spans="1:31" x14ac:dyDescent="0.3">
      <c r="A191" t="s">
        <v>31</v>
      </c>
      <c r="B191">
        <v>30</v>
      </c>
      <c r="C191" t="s">
        <v>73</v>
      </c>
      <c r="D191">
        <v>0.77822133510756297</v>
      </c>
      <c r="E191">
        <v>0.84475493457529405</v>
      </c>
      <c r="F191">
        <v>0.88977600354845898</v>
      </c>
      <c r="G191">
        <v>0.92980705256154395</v>
      </c>
      <c r="H191">
        <v>0.78409667919163195</v>
      </c>
      <c r="I191">
        <v>0.90179750177719098</v>
      </c>
      <c r="J191">
        <v>0.93409160150299597</v>
      </c>
      <c r="K191">
        <v>0.96740123895602703</v>
      </c>
      <c r="L191">
        <v>0.79927992799279901</v>
      </c>
      <c r="M191">
        <v>0.89838983898389801</v>
      </c>
      <c r="N191">
        <v>0.94579457945794598</v>
      </c>
      <c r="O191">
        <v>0.988898889888989</v>
      </c>
      <c r="P191">
        <v>0.79259999999999997</v>
      </c>
      <c r="Q191">
        <v>0.89529999999999998</v>
      </c>
      <c r="R191" s="5">
        <v>0.94630000000000003</v>
      </c>
      <c r="S191">
        <v>0.98960000000000004</v>
      </c>
      <c r="T191">
        <v>0.79427942794279405</v>
      </c>
      <c r="U191">
        <v>0.89358935893589397</v>
      </c>
      <c r="V191">
        <v>0.94409440944094403</v>
      </c>
      <c r="W191">
        <v>0.98859885988598895</v>
      </c>
      <c r="X191">
        <v>0.785126485827492</v>
      </c>
      <c r="Y191">
        <v>0.90145280910291603</v>
      </c>
      <c r="Z191">
        <v>0.93782383419689097</v>
      </c>
      <c r="AA191">
        <v>0.96962308239357897</v>
      </c>
      <c r="AB191">
        <v>0.77813648001781099</v>
      </c>
      <c r="AC191">
        <v>0.84103306245129705</v>
      </c>
      <c r="AD191">
        <v>0.88389179561393705</v>
      </c>
      <c r="AE191">
        <v>0.92474674384949396</v>
      </c>
    </row>
    <row r="192" spans="1:31" ht="15" thickBot="1" x14ac:dyDescent="0.35">
      <c r="A192" t="s">
        <v>31</v>
      </c>
      <c r="B192">
        <v>50</v>
      </c>
      <c r="C192" t="s">
        <v>73</v>
      </c>
      <c r="D192">
        <v>0.830638474295191</v>
      </c>
      <c r="E192">
        <v>0.89697346600331695</v>
      </c>
      <c r="F192">
        <v>0.93231757877280297</v>
      </c>
      <c r="G192">
        <v>0.96258291873963497</v>
      </c>
      <c r="H192">
        <v>0.781275060144346</v>
      </c>
      <c r="I192">
        <v>0.90116279069767402</v>
      </c>
      <c r="J192">
        <v>0.94456696070569401</v>
      </c>
      <c r="K192">
        <v>0.99007618283881305</v>
      </c>
      <c r="L192">
        <v>0.79969999999999997</v>
      </c>
      <c r="M192">
        <v>0.89729999999999999</v>
      </c>
      <c r="N192">
        <v>0.9496</v>
      </c>
      <c r="O192">
        <v>0.99039999999999995</v>
      </c>
      <c r="P192">
        <v>0.79710000000000003</v>
      </c>
      <c r="Q192">
        <v>0.89780000000000004</v>
      </c>
      <c r="R192" s="5">
        <v>0.95020000000000004</v>
      </c>
      <c r="S192">
        <v>0.99080000000000001</v>
      </c>
      <c r="T192">
        <v>0.79790000000000005</v>
      </c>
      <c r="U192">
        <v>0.89590000000000003</v>
      </c>
      <c r="V192">
        <v>0.94640000000000002</v>
      </c>
      <c r="W192">
        <v>0.99039999999999995</v>
      </c>
      <c r="X192">
        <v>0.77911405091200603</v>
      </c>
      <c r="Y192">
        <v>0.89577069553016597</v>
      </c>
      <c r="Z192">
        <v>0.939667267989577</v>
      </c>
      <c r="AA192">
        <v>0.98867508518741198</v>
      </c>
      <c r="AB192">
        <v>0.83036084612194105</v>
      </c>
      <c r="AC192">
        <v>0.90128577353795103</v>
      </c>
      <c r="AD192">
        <v>0.931978432185815</v>
      </c>
      <c r="AE192">
        <v>0.96215263376192495</v>
      </c>
    </row>
    <row r="193" spans="1:31" ht="15" thickTop="1" x14ac:dyDescent="0.3">
      <c r="A193" s="1" t="s">
        <v>56</v>
      </c>
      <c r="B193" s="1">
        <v>20</v>
      </c>
      <c r="C193" s="1" t="s">
        <v>50</v>
      </c>
      <c r="D193" s="1">
        <v>0.1129</v>
      </c>
      <c r="E193" s="1">
        <v>0.18290000000000001</v>
      </c>
      <c r="F193" s="1">
        <v>0.26200000000000001</v>
      </c>
      <c r="G193" s="1">
        <v>0.46229999999999999</v>
      </c>
      <c r="H193" s="1">
        <v>0.4148</v>
      </c>
      <c r="I193" s="1">
        <v>0.55230000000000001</v>
      </c>
      <c r="J193" s="1">
        <v>0.67059999999999997</v>
      </c>
      <c r="K193" s="1">
        <v>0.84619999999999995</v>
      </c>
      <c r="L193" s="1">
        <v>0.7792</v>
      </c>
      <c r="M193" s="1">
        <v>0.88080000000000003</v>
      </c>
      <c r="N193" s="1">
        <v>0.93810000000000004</v>
      </c>
      <c r="O193" s="1">
        <v>0.98380000000000001</v>
      </c>
      <c r="P193" s="1">
        <v>0.77039999999999997</v>
      </c>
      <c r="Q193" s="1">
        <v>0.87429999999999997</v>
      </c>
      <c r="R193" s="6">
        <v>0.93089999999999995</v>
      </c>
      <c r="S193" s="1">
        <v>0.98429999999999995</v>
      </c>
      <c r="T193" s="1">
        <v>0.75942782834850497</v>
      </c>
      <c r="U193" s="1">
        <v>0.86916074822446698</v>
      </c>
      <c r="V193" s="1">
        <v>0.93017905371611498</v>
      </c>
      <c r="W193" s="1">
        <v>0.97929378813644097</v>
      </c>
      <c r="X193" s="1">
        <v>0.75241779497098604</v>
      </c>
      <c r="Y193" s="1">
        <v>0.84332688588007698</v>
      </c>
      <c r="Z193" s="1">
        <v>0.89331161559604999</v>
      </c>
      <c r="AA193" s="1">
        <v>0.943296345312023</v>
      </c>
      <c r="AB193" s="1">
        <v>0.68185840707964596</v>
      </c>
      <c r="AC193" s="1">
        <v>0.77201327433628297</v>
      </c>
      <c r="AD193" s="1">
        <v>0.82776548672566397</v>
      </c>
      <c r="AE193" s="1">
        <v>0.88882743362831895</v>
      </c>
    </row>
    <row r="194" spans="1:31" x14ac:dyDescent="0.3">
      <c r="A194" t="s">
        <v>56</v>
      </c>
      <c r="B194">
        <v>30</v>
      </c>
      <c r="C194" t="s">
        <v>50</v>
      </c>
      <c r="D194">
        <v>7.0400000000000004E-2</v>
      </c>
      <c r="E194">
        <v>0.12520000000000001</v>
      </c>
      <c r="F194">
        <v>0.1855</v>
      </c>
      <c r="G194">
        <v>0.36470000000000002</v>
      </c>
      <c r="H194">
        <v>0.37830000000000003</v>
      </c>
      <c r="I194">
        <v>0.51370000000000005</v>
      </c>
      <c r="J194">
        <v>0.63129999999999997</v>
      </c>
      <c r="K194">
        <v>0.82469999999999999</v>
      </c>
      <c r="L194">
        <v>0.78979999999999995</v>
      </c>
      <c r="M194">
        <v>0.89410000000000001</v>
      </c>
      <c r="N194">
        <v>0.94279999999999997</v>
      </c>
      <c r="O194">
        <v>0.98829999999999996</v>
      </c>
      <c r="P194">
        <v>0.76549999999999996</v>
      </c>
      <c r="Q194">
        <v>0.87319999999999998</v>
      </c>
      <c r="R194" s="5">
        <v>0.9325</v>
      </c>
      <c r="S194">
        <v>0.98319999999999996</v>
      </c>
      <c r="T194">
        <v>0.77180000000000004</v>
      </c>
      <c r="U194">
        <v>0.88360000000000005</v>
      </c>
      <c r="V194">
        <v>0.93510000000000004</v>
      </c>
      <c r="W194">
        <v>0.98340000000000005</v>
      </c>
      <c r="X194">
        <v>0.78239069394304095</v>
      </c>
      <c r="Y194">
        <v>0.87695547533092699</v>
      </c>
      <c r="Z194">
        <v>0.92067789811472101</v>
      </c>
      <c r="AA194">
        <v>0.96229442438828705</v>
      </c>
      <c r="AB194">
        <v>0.72654793953199404</v>
      </c>
      <c r="AC194">
        <v>0.81041623524539197</v>
      </c>
      <c r="AD194">
        <v>0.85866639055705096</v>
      </c>
      <c r="AE194">
        <v>0.91085110788983203</v>
      </c>
    </row>
    <row r="195" spans="1:31" x14ac:dyDescent="0.3">
      <c r="A195" t="s">
        <v>56</v>
      </c>
      <c r="B195">
        <v>50</v>
      </c>
      <c r="C195" t="s">
        <v>50</v>
      </c>
      <c r="D195">
        <v>3.2300000000000002E-2</v>
      </c>
      <c r="E195">
        <v>6.5299999999999997E-2</v>
      </c>
      <c r="F195">
        <v>0.1051</v>
      </c>
      <c r="G195">
        <v>0.2432</v>
      </c>
      <c r="H195">
        <v>0.3241</v>
      </c>
      <c r="I195">
        <v>0.45839999999999997</v>
      </c>
      <c r="J195">
        <v>0.57850000000000001</v>
      </c>
      <c r="K195">
        <v>0.78380000000000005</v>
      </c>
      <c r="L195">
        <v>0.78790000000000004</v>
      </c>
      <c r="M195">
        <v>0.89359999999999995</v>
      </c>
      <c r="N195">
        <v>0.94620000000000004</v>
      </c>
      <c r="O195">
        <v>0.98970000000000002</v>
      </c>
      <c r="P195">
        <v>0.77180000000000004</v>
      </c>
      <c r="Q195">
        <v>0.87770000000000004</v>
      </c>
      <c r="R195" s="5">
        <v>0.93489999999999995</v>
      </c>
      <c r="S195">
        <v>0.98650000000000004</v>
      </c>
      <c r="T195">
        <v>0.76910000000000001</v>
      </c>
      <c r="U195">
        <v>0.87639999999999996</v>
      </c>
      <c r="V195">
        <v>0.93469999999999998</v>
      </c>
      <c r="W195">
        <v>0.98409999999999997</v>
      </c>
      <c r="X195">
        <v>0.77927792779277905</v>
      </c>
      <c r="Y195">
        <v>0.88318831883188298</v>
      </c>
      <c r="Z195">
        <v>0.93789378937893797</v>
      </c>
      <c r="AA195">
        <v>0.98389838983898403</v>
      </c>
      <c r="AB195">
        <v>0.77748717432853798</v>
      </c>
      <c r="AC195">
        <v>0.85655366663313504</v>
      </c>
      <c r="AD195">
        <v>0.903530831908259</v>
      </c>
      <c r="AE195">
        <v>0.95091037119002098</v>
      </c>
    </row>
    <row r="196" spans="1:31" x14ac:dyDescent="0.3">
      <c r="A196" t="s">
        <v>57</v>
      </c>
      <c r="B196">
        <v>20</v>
      </c>
      <c r="C196" t="s">
        <v>50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3.02145231141138E-4</v>
      </c>
      <c r="J196">
        <v>5.03575385235155E-4</v>
      </c>
      <c r="K196">
        <v>6.3450498539631096E-3</v>
      </c>
      <c r="L196">
        <v>0.30193019301930202</v>
      </c>
      <c r="M196">
        <v>0.43924392439243898</v>
      </c>
      <c r="N196">
        <v>0.56385638563856399</v>
      </c>
      <c r="O196">
        <v>0.78337833783378297</v>
      </c>
      <c r="P196">
        <v>0.52980000000000005</v>
      </c>
      <c r="Q196">
        <v>0.67100000000000004</v>
      </c>
      <c r="R196" s="5">
        <v>0.77380000000000004</v>
      </c>
      <c r="S196">
        <v>0.9123</v>
      </c>
      <c r="T196">
        <v>0.1608</v>
      </c>
      <c r="U196">
        <v>0.25009999999999999</v>
      </c>
      <c r="V196">
        <v>0.35149999999999998</v>
      </c>
      <c r="W196">
        <v>0.56779999999999997</v>
      </c>
      <c r="X196">
        <v>0.28982898289829001</v>
      </c>
      <c r="Y196">
        <v>0.41444144414441397</v>
      </c>
      <c r="Z196">
        <v>0.52725272527252698</v>
      </c>
      <c r="AA196">
        <v>0.72707270727072704</v>
      </c>
      <c r="AB196">
        <v>0.45059565522074302</v>
      </c>
      <c r="AC196">
        <v>0.58884773250575595</v>
      </c>
      <c r="AD196">
        <v>0.69496446090699804</v>
      </c>
      <c r="AE196">
        <v>0.85824406847532297</v>
      </c>
    </row>
    <row r="197" spans="1:31" x14ac:dyDescent="0.3">
      <c r="A197" t="s">
        <v>57</v>
      </c>
      <c r="B197">
        <v>30</v>
      </c>
      <c r="C197" t="s">
        <v>50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3.0009002700814901E-4</v>
      </c>
      <c r="L197">
        <v>0.25130000000000002</v>
      </c>
      <c r="M197">
        <v>0.37919999999999998</v>
      </c>
      <c r="N197">
        <v>0.50470000000000004</v>
      </c>
      <c r="O197">
        <v>0.73839999999999995</v>
      </c>
      <c r="P197">
        <v>0.45300000000000001</v>
      </c>
      <c r="Q197">
        <v>0.59940000000000004</v>
      </c>
      <c r="R197" s="5">
        <v>0.71340000000000003</v>
      </c>
      <c r="S197">
        <v>0.87819999999999998</v>
      </c>
      <c r="T197">
        <v>0.1346</v>
      </c>
      <c r="U197">
        <v>0.21959999999999999</v>
      </c>
      <c r="V197">
        <v>0.32200000000000001</v>
      </c>
      <c r="W197">
        <v>0.54369999999999996</v>
      </c>
      <c r="X197">
        <v>0.3201</v>
      </c>
      <c r="Y197">
        <v>0.44450000000000001</v>
      </c>
      <c r="Z197">
        <v>0.55630000000000002</v>
      </c>
      <c r="AA197">
        <v>0.75939999999999996</v>
      </c>
      <c r="AB197">
        <v>0.49030000000000001</v>
      </c>
      <c r="AC197">
        <v>0.62509999999999999</v>
      </c>
      <c r="AD197">
        <v>0.72570000000000001</v>
      </c>
      <c r="AE197">
        <v>0.87719999999999998</v>
      </c>
    </row>
    <row r="198" spans="1:31" x14ac:dyDescent="0.3">
      <c r="A198" t="s">
        <v>57</v>
      </c>
      <c r="B198">
        <v>50</v>
      </c>
      <c r="C198" t="s">
        <v>50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0.20050000000000001</v>
      </c>
      <c r="M198">
        <v>0.31430000000000002</v>
      </c>
      <c r="N198">
        <v>0.43969999999999998</v>
      </c>
      <c r="O198">
        <v>0.68240000000000001</v>
      </c>
      <c r="P198">
        <v>0.34610000000000002</v>
      </c>
      <c r="Q198">
        <v>0.4904</v>
      </c>
      <c r="R198" s="5">
        <v>0.61499999999999999</v>
      </c>
      <c r="S198">
        <v>0.81340000000000001</v>
      </c>
      <c r="T198">
        <v>0.10780000000000001</v>
      </c>
      <c r="U198">
        <v>0.1898</v>
      </c>
      <c r="V198">
        <v>0.27039999999999997</v>
      </c>
      <c r="W198">
        <v>0.49130000000000001</v>
      </c>
      <c r="X198">
        <v>0.33350000000000002</v>
      </c>
      <c r="Y198">
        <v>0.46089999999999998</v>
      </c>
      <c r="Z198">
        <v>0.57889999999999997</v>
      </c>
      <c r="AA198">
        <v>0.77539999999999998</v>
      </c>
      <c r="AB198">
        <v>0.52849999999999997</v>
      </c>
      <c r="AC198">
        <v>0.66710000000000003</v>
      </c>
      <c r="AD198">
        <v>0.76490000000000002</v>
      </c>
      <c r="AE198">
        <v>0.90110000000000001</v>
      </c>
    </row>
    <row r="199" spans="1:31" x14ac:dyDescent="0.3">
      <c r="A199" t="s">
        <v>31</v>
      </c>
      <c r="B199">
        <v>20</v>
      </c>
      <c r="C199" t="s">
        <v>50</v>
      </c>
      <c r="D199">
        <v>3.04E-2</v>
      </c>
      <c r="E199">
        <v>5.9000000000000101E-2</v>
      </c>
      <c r="F199">
        <v>9.7100000000000006E-2</v>
      </c>
      <c r="G199">
        <v>0.22359999999999999</v>
      </c>
      <c r="H199">
        <v>9.98E-2</v>
      </c>
      <c r="I199">
        <v>0.16869999999999999</v>
      </c>
      <c r="J199">
        <v>0.2487</v>
      </c>
      <c r="K199">
        <v>0.4602</v>
      </c>
      <c r="L199">
        <v>0.44540000000000002</v>
      </c>
      <c r="M199">
        <v>0.57879999999999998</v>
      </c>
      <c r="N199">
        <v>0.69240000000000002</v>
      </c>
      <c r="O199">
        <v>0.86180000000000001</v>
      </c>
      <c r="P199">
        <v>0.79079999999999995</v>
      </c>
      <c r="Q199">
        <v>0.89229999999999998</v>
      </c>
      <c r="R199" s="5">
        <v>0.94479999999999997</v>
      </c>
      <c r="S199">
        <v>0.98719999999999997</v>
      </c>
      <c r="T199">
        <v>0.44209999999999999</v>
      </c>
      <c r="U199">
        <v>0.58689999999999998</v>
      </c>
      <c r="V199">
        <v>0.70230000000000004</v>
      </c>
      <c r="W199">
        <v>0.87009999999999998</v>
      </c>
      <c r="X199">
        <v>0.1027</v>
      </c>
      <c r="Y199">
        <v>0.17119999999999999</v>
      </c>
      <c r="Z199">
        <v>0.25619999999999998</v>
      </c>
      <c r="AA199">
        <v>0.46250000000000002</v>
      </c>
      <c r="AB199">
        <v>2.9899999999999999E-2</v>
      </c>
      <c r="AC199">
        <v>6.0400000000000002E-2</v>
      </c>
      <c r="AD199">
        <v>9.6699999999999994E-2</v>
      </c>
      <c r="AE199">
        <v>0.22040000000000001</v>
      </c>
    </row>
    <row r="200" spans="1:31" x14ac:dyDescent="0.3">
      <c r="A200" t="s">
        <v>31</v>
      </c>
      <c r="B200">
        <v>30</v>
      </c>
      <c r="C200" t="s">
        <v>50</v>
      </c>
      <c r="D200">
        <v>2.5100000000000001E-2</v>
      </c>
      <c r="E200">
        <v>4.6900000000000101E-2</v>
      </c>
      <c r="F200">
        <v>7.8700000000000006E-2</v>
      </c>
      <c r="G200">
        <v>0.19070000000000001</v>
      </c>
      <c r="H200">
        <v>8.0299999999999996E-2</v>
      </c>
      <c r="I200">
        <v>0.13919999999999999</v>
      </c>
      <c r="J200">
        <v>0.21060000000000001</v>
      </c>
      <c r="K200">
        <v>0.40600000000000003</v>
      </c>
      <c r="L200">
        <v>0.41039999999999999</v>
      </c>
      <c r="M200">
        <v>0.5575</v>
      </c>
      <c r="N200">
        <v>0.67879999999999996</v>
      </c>
      <c r="O200">
        <v>0.85750000000000004</v>
      </c>
      <c r="P200">
        <v>0.79039999999999999</v>
      </c>
      <c r="Q200">
        <v>0.89570000000000005</v>
      </c>
      <c r="R200" s="5">
        <v>0.94589999999999996</v>
      </c>
      <c r="S200">
        <v>0.9879</v>
      </c>
      <c r="T200">
        <v>0.40279999999999999</v>
      </c>
      <c r="U200">
        <v>0.54730000000000001</v>
      </c>
      <c r="V200">
        <v>0.66610000000000003</v>
      </c>
      <c r="W200">
        <v>0.84940000000000004</v>
      </c>
      <c r="X200">
        <v>8.2699999999999996E-2</v>
      </c>
      <c r="Y200">
        <v>0.14610000000000001</v>
      </c>
      <c r="Z200">
        <v>0.21759999999999999</v>
      </c>
      <c r="AA200">
        <v>0.40849999999999997</v>
      </c>
      <c r="AB200">
        <v>2.5899999999999999E-2</v>
      </c>
      <c r="AC200">
        <v>5.0700000000000002E-2</v>
      </c>
      <c r="AD200">
        <v>8.6200000000000096E-2</v>
      </c>
      <c r="AE200">
        <v>0.19800000000000001</v>
      </c>
    </row>
    <row r="201" spans="1:31" ht="15" thickBot="1" x14ac:dyDescent="0.35">
      <c r="A201" t="s">
        <v>31</v>
      </c>
      <c r="B201">
        <v>50</v>
      </c>
      <c r="C201" t="s">
        <v>50</v>
      </c>
      <c r="D201">
        <v>1.72E-2</v>
      </c>
      <c r="E201">
        <v>3.8199999999999998E-2</v>
      </c>
      <c r="F201">
        <v>6.6100000000000006E-2</v>
      </c>
      <c r="G201">
        <v>0.1711</v>
      </c>
      <c r="H201">
        <v>6.54E-2</v>
      </c>
      <c r="I201">
        <v>0.11459999999999999</v>
      </c>
      <c r="J201">
        <v>0.1812</v>
      </c>
      <c r="K201">
        <v>0.36359999999999998</v>
      </c>
      <c r="L201">
        <v>0.374</v>
      </c>
      <c r="M201">
        <v>0.5161</v>
      </c>
      <c r="N201">
        <v>0.63219999999999998</v>
      </c>
      <c r="O201">
        <v>0.82569999999999999</v>
      </c>
      <c r="P201">
        <v>0.79300000000000004</v>
      </c>
      <c r="Q201">
        <v>0.89559999999999995</v>
      </c>
      <c r="R201" s="5">
        <v>0.94650000000000001</v>
      </c>
      <c r="S201">
        <v>0.98909999999999998</v>
      </c>
      <c r="T201">
        <v>0.37430000000000002</v>
      </c>
      <c r="U201">
        <v>0.51439999999999997</v>
      </c>
      <c r="V201">
        <v>0.63360000000000005</v>
      </c>
      <c r="W201">
        <v>0.8276</v>
      </c>
      <c r="X201">
        <v>6.6600000000000006E-2</v>
      </c>
      <c r="Y201">
        <v>0.1197</v>
      </c>
      <c r="Z201">
        <v>0.18310000000000001</v>
      </c>
      <c r="AA201">
        <v>0.36530000000000001</v>
      </c>
      <c r="AB201">
        <v>1.67E-2</v>
      </c>
      <c r="AC201">
        <v>3.7199999999999997E-2</v>
      </c>
      <c r="AD201">
        <v>6.4899999999999999E-2</v>
      </c>
      <c r="AE201">
        <v>0.16420000000000001</v>
      </c>
    </row>
    <row r="202" spans="1:31" ht="15" thickTop="1" x14ac:dyDescent="0.3">
      <c r="A202" s="1" t="s">
        <v>56</v>
      </c>
      <c r="B202" s="1">
        <v>20</v>
      </c>
      <c r="C202" s="10" t="s">
        <v>78</v>
      </c>
      <c r="D202" s="1">
        <v>0.71685708126751502</v>
      </c>
      <c r="E202" s="1">
        <v>0.80922612632032798</v>
      </c>
      <c r="F202" s="1">
        <v>0.86268592369045005</v>
      </c>
      <c r="G202" s="1">
        <v>0.91549902996335397</v>
      </c>
      <c r="H202" s="1">
        <v>0.77988263152476101</v>
      </c>
      <c r="I202" s="1">
        <v>0.85678986924739997</v>
      </c>
      <c r="J202" s="1">
        <v>0.89941315762380303</v>
      </c>
      <c r="K202" s="1">
        <v>0.94306599402862101</v>
      </c>
      <c r="L202" s="1">
        <v>0.79079079079079095</v>
      </c>
      <c r="M202" s="1">
        <v>0.89319319319319301</v>
      </c>
      <c r="N202" s="1">
        <v>0.945245245245245</v>
      </c>
      <c r="O202" s="1">
        <v>0.98728728728728699</v>
      </c>
      <c r="P202" s="1">
        <v>0.79169999999999996</v>
      </c>
      <c r="Q202" s="1">
        <v>0.89059999999999995</v>
      </c>
      <c r="R202" s="6">
        <v>0.94540000000000002</v>
      </c>
      <c r="S202" s="1">
        <v>0.98799999999999999</v>
      </c>
      <c r="T202" s="1">
        <v>0.79360144418814604</v>
      </c>
      <c r="U202" s="1">
        <v>0.88707251027981104</v>
      </c>
      <c r="V202" s="1">
        <v>0.94985457827700304</v>
      </c>
      <c r="W202" s="1">
        <v>0.99127469662019896</v>
      </c>
      <c r="X202" s="1">
        <v>0.82961977607804005</v>
      </c>
      <c r="Y202" s="1">
        <v>0.90854672430994299</v>
      </c>
      <c r="Z202" s="1">
        <v>0.94579314931825698</v>
      </c>
      <c r="AA202" s="1">
        <v>0.96829619776078002</v>
      </c>
      <c r="AB202" s="1">
        <v>0.79266709928617796</v>
      </c>
      <c r="AC202" s="1">
        <v>0.83987670343932497</v>
      </c>
      <c r="AD202" s="1">
        <v>0.91791044776119401</v>
      </c>
      <c r="AE202" s="1">
        <v>0.95279039584685299</v>
      </c>
    </row>
    <row r="203" spans="1:31" x14ac:dyDescent="0.3">
      <c r="A203" t="s">
        <v>56</v>
      </c>
      <c r="B203">
        <v>30</v>
      </c>
      <c r="C203" s="11" t="s">
        <v>78</v>
      </c>
      <c r="D203">
        <v>0.74487471526195903</v>
      </c>
      <c r="E203">
        <v>0.83278111410229905</v>
      </c>
      <c r="F203">
        <v>0.87492234417063597</v>
      </c>
      <c r="G203">
        <v>0.92213708842410402</v>
      </c>
      <c r="H203">
        <v>0.779420700830464</v>
      </c>
      <c r="I203">
        <v>0.88738100060765601</v>
      </c>
      <c r="J203">
        <v>0.92961312537978502</v>
      </c>
      <c r="K203">
        <v>0.96738910269394396</v>
      </c>
      <c r="L203">
        <v>0.80028002800279996</v>
      </c>
      <c r="M203">
        <v>0.89948994899489998</v>
      </c>
      <c r="N203">
        <v>0.947194719471947</v>
      </c>
      <c r="O203">
        <v>0.99059905990599095</v>
      </c>
      <c r="P203">
        <v>0.79339999999999999</v>
      </c>
      <c r="Q203">
        <v>0.89249999999999996</v>
      </c>
      <c r="R203" s="5">
        <v>0.94689999999999996</v>
      </c>
      <c r="S203">
        <v>0.99019999999999997</v>
      </c>
      <c r="T203">
        <v>0.79083725117535297</v>
      </c>
      <c r="U203">
        <v>0.89946984095228599</v>
      </c>
      <c r="V203">
        <v>0.94338301490447096</v>
      </c>
      <c r="W203">
        <v>0.98889666900069995</v>
      </c>
      <c r="X203">
        <v>0.78546136221620499</v>
      </c>
      <c r="Y203">
        <v>0.94230368673193099</v>
      </c>
      <c r="Z203">
        <v>0.95730056238283701</v>
      </c>
      <c r="AA203">
        <v>0.98229535513434696</v>
      </c>
      <c r="AB203">
        <v>0.86660198884307504</v>
      </c>
      <c r="AC203">
        <v>0.89558573853989798</v>
      </c>
      <c r="AD203">
        <v>0.94445791899102605</v>
      </c>
      <c r="AE203">
        <v>0.968227019160805</v>
      </c>
    </row>
    <row r="204" spans="1:31" x14ac:dyDescent="0.3">
      <c r="A204" t="s">
        <v>56</v>
      </c>
      <c r="B204">
        <v>50</v>
      </c>
      <c r="C204" s="11" t="s">
        <v>78</v>
      </c>
      <c r="D204">
        <v>0.78406221593778402</v>
      </c>
      <c r="E204">
        <v>0.86819513180486796</v>
      </c>
      <c r="F204">
        <v>0.91041308958691003</v>
      </c>
      <c r="G204">
        <v>0.94929805070194895</v>
      </c>
      <c r="H204">
        <v>0.79459459459459503</v>
      </c>
      <c r="I204">
        <v>0.89859859859859903</v>
      </c>
      <c r="J204">
        <v>0.94484484484484499</v>
      </c>
      <c r="K204">
        <v>0.98758758758758802</v>
      </c>
      <c r="L204">
        <v>0.79530000000000001</v>
      </c>
      <c r="M204">
        <v>0.89890000000000003</v>
      </c>
      <c r="N204">
        <v>0.95109999999999995</v>
      </c>
      <c r="O204">
        <v>0.98880000000000001</v>
      </c>
      <c r="P204">
        <v>0.80820000000000003</v>
      </c>
      <c r="Q204">
        <v>0.90559999999999996</v>
      </c>
      <c r="R204" s="5">
        <v>0.95220000000000005</v>
      </c>
      <c r="S204">
        <v>0.99</v>
      </c>
      <c r="T204">
        <v>0.79469999999999996</v>
      </c>
      <c r="U204">
        <v>0.8931</v>
      </c>
      <c r="V204">
        <v>0.9446</v>
      </c>
      <c r="W204">
        <v>0.98529999999999995</v>
      </c>
      <c r="X204">
        <v>0.78198525699283095</v>
      </c>
      <c r="Y204">
        <v>0.90548318691305696</v>
      </c>
      <c r="Z204">
        <v>0.94355245885085304</v>
      </c>
      <c r="AA204">
        <v>0.99384025042916302</v>
      </c>
      <c r="AB204">
        <v>0.86521044219499199</v>
      </c>
      <c r="AC204">
        <v>0.93574853489611098</v>
      </c>
      <c r="AD204">
        <v>0.96515716568993104</v>
      </c>
      <c r="AE204">
        <v>0.98156632924880105</v>
      </c>
    </row>
    <row r="205" spans="1:31" x14ac:dyDescent="0.3">
      <c r="A205" t="s">
        <v>57</v>
      </c>
      <c r="B205">
        <v>20</v>
      </c>
      <c r="C205" s="11" t="s">
        <v>78</v>
      </c>
      <c r="D205">
        <v>0.39457891578315701</v>
      </c>
      <c r="E205">
        <v>0.52130426085216997</v>
      </c>
      <c r="F205">
        <v>0.63752750550110004</v>
      </c>
      <c r="G205">
        <v>0.81916383276655302</v>
      </c>
      <c r="H205">
        <v>0.70029020314220003</v>
      </c>
      <c r="I205">
        <v>0.81527068948263803</v>
      </c>
      <c r="J205">
        <v>0.885019513659562</v>
      </c>
      <c r="K205">
        <v>0.96107275092564803</v>
      </c>
      <c r="L205">
        <v>0.78353506051815502</v>
      </c>
      <c r="M205">
        <v>0.88486545963789098</v>
      </c>
      <c r="N205">
        <v>0.93658097429228804</v>
      </c>
      <c r="O205">
        <v>0.98289486846053797</v>
      </c>
      <c r="P205">
        <v>0.78449999999999998</v>
      </c>
      <c r="Q205">
        <v>0.88349999999999995</v>
      </c>
      <c r="R205" s="5">
        <v>0.93820000000000003</v>
      </c>
      <c r="S205">
        <v>0.98529999999999995</v>
      </c>
      <c r="T205">
        <v>0.78262610088070494</v>
      </c>
      <c r="U205">
        <v>0.89101281024819901</v>
      </c>
      <c r="V205">
        <v>0.94335468374699805</v>
      </c>
      <c r="W205">
        <v>0.98738991192954395</v>
      </c>
      <c r="X205">
        <v>0.80657206870799103</v>
      </c>
      <c r="Y205">
        <v>0.87794729542302397</v>
      </c>
      <c r="Z205">
        <v>0.91795583057718999</v>
      </c>
      <c r="AA205">
        <v>0.952523204950389</v>
      </c>
      <c r="AB205">
        <v>0.76244758909853205</v>
      </c>
      <c r="AC205">
        <v>0.83031970649895204</v>
      </c>
      <c r="AD205">
        <v>0.87984800838574395</v>
      </c>
      <c r="AE205">
        <v>0.92007337526205402</v>
      </c>
    </row>
    <row r="206" spans="1:31" x14ac:dyDescent="0.3">
      <c r="A206" t="s">
        <v>57</v>
      </c>
      <c r="B206">
        <v>30</v>
      </c>
      <c r="C206" s="11" t="s">
        <v>78</v>
      </c>
      <c r="D206">
        <v>0.50495049504950495</v>
      </c>
      <c r="E206">
        <v>0.63716371637163705</v>
      </c>
      <c r="F206">
        <v>0.74777477747774801</v>
      </c>
      <c r="G206">
        <v>0.89028902890288997</v>
      </c>
      <c r="H206">
        <v>0.75380000000000003</v>
      </c>
      <c r="I206">
        <v>0.85960000000000003</v>
      </c>
      <c r="J206">
        <v>0.92090000000000005</v>
      </c>
      <c r="K206">
        <v>0.97740000000000005</v>
      </c>
      <c r="L206">
        <v>0.79200000000000004</v>
      </c>
      <c r="M206">
        <v>0.88800000000000001</v>
      </c>
      <c r="N206">
        <v>0.93910000000000005</v>
      </c>
      <c r="O206">
        <v>0.98699999999999999</v>
      </c>
      <c r="P206">
        <v>0.79449999999999998</v>
      </c>
      <c r="Q206">
        <v>0.89380000000000004</v>
      </c>
      <c r="R206" s="5">
        <v>0.9466</v>
      </c>
      <c r="S206">
        <v>0.98919999999999997</v>
      </c>
      <c r="T206">
        <v>0.79459999999999997</v>
      </c>
      <c r="U206">
        <v>0.89670000000000005</v>
      </c>
      <c r="V206">
        <v>0.94689999999999996</v>
      </c>
      <c r="W206">
        <v>0.98809999999999998</v>
      </c>
      <c r="X206">
        <v>0.77982679572083502</v>
      </c>
      <c r="Y206">
        <v>0.90799796230259799</v>
      </c>
      <c r="Z206">
        <v>0.93998981151298999</v>
      </c>
      <c r="AA206">
        <v>0.97075904228222099</v>
      </c>
      <c r="AB206">
        <v>0.81182483447554898</v>
      </c>
      <c r="AC206">
        <v>0.86212103612498503</v>
      </c>
      <c r="AD206">
        <v>0.90916482750609795</v>
      </c>
      <c r="AE206">
        <v>0.94331513532349898</v>
      </c>
    </row>
    <row r="207" spans="1:31" x14ac:dyDescent="0.3">
      <c r="A207" t="s">
        <v>57</v>
      </c>
      <c r="B207">
        <v>50</v>
      </c>
      <c r="C207" s="11" t="s">
        <v>78</v>
      </c>
      <c r="D207">
        <v>0.64080000000000004</v>
      </c>
      <c r="E207">
        <v>0.7611</v>
      </c>
      <c r="F207">
        <v>0.84660000000000002</v>
      </c>
      <c r="G207">
        <v>0.94569999999999999</v>
      </c>
      <c r="H207">
        <v>0.78700000000000003</v>
      </c>
      <c r="I207">
        <v>0.88970000000000005</v>
      </c>
      <c r="J207">
        <v>0.94520000000000004</v>
      </c>
      <c r="K207">
        <v>0.98640000000000005</v>
      </c>
      <c r="L207">
        <v>0.79659999999999997</v>
      </c>
      <c r="M207">
        <v>0.89749999999999996</v>
      </c>
      <c r="N207">
        <v>0.9466</v>
      </c>
      <c r="O207">
        <v>0.99019999999999997</v>
      </c>
      <c r="P207">
        <v>0.79910000000000003</v>
      </c>
      <c r="Q207">
        <v>0.89870000000000005</v>
      </c>
      <c r="R207" s="5">
        <v>0.94930000000000003</v>
      </c>
      <c r="S207">
        <v>0.98860000000000003</v>
      </c>
      <c r="T207">
        <v>0.79320000000000002</v>
      </c>
      <c r="U207">
        <v>0.89490000000000003</v>
      </c>
      <c r="V207">
        <v>0.94689999999999996</v>
      </c>
      <c r="W207">
        <v>0.98929999999999996</v>
      </c>
      <c r="X207">
        <v>0.784179883557519</v>
      </c>
      <c r="Y207">
        <v>0.902529612527605</v>
      </c>
      <c r="Z207">
        <v>0.94187914073479195</v>
      </c>
      <c r="AA207">
        <v>0.99036338084721898</v>
      </c>
      <c r="AB207">
        <v>0.85057109923504104</v>
      </c>
      <c r="AC207">
        <v>0.91784554123441298</v>
      </c>
      <c r="AD207">
        <v>0.94917740752384006</v>
      </c>
      <c r="AE207">
        <v>0.97065912186943304</v>
      </c>
    </row>
    <row r="208" spans="1:31" x14ac:dyDescent="0.3">
      <c r="A208" t="s">
        <v>31</v>
      </c>
      <c r="B208">
        <v>20</v>
      </c>
      <c r="C208" s="11" t="s">
        <v>78</v>
      </c>
      <c r="D208">
        <v>0.70201326927476504</v>
      </c>
      <c r="E208">
        <v>0.78723404255319196</v>
      </c>
      <c r="F208">
        <v>0.83687943262411302</v>
      </c>
      <c r="G208">
        <v>0.89132921528254405</v>
      </c>
      <c r="H208">
        <v>0.77292891777571404</v>
      </c>
      <c r="I208">
        <v>0.85474053440627296</v>
      </c>
      <c r="J208">
        <v>0.89838027442484303</v>
      </c>
      <c r="K208">
        <v>0.94336118848653705</v>
      </c>
      <c r="L208">
        <v>0.781156231246249</v>
      </c>
      <c r="M208">
        <v>0.88857771554310905</v>
      </c>
      <c r="N208">
        <v>0.94068813762752501</v>
      </c>
      <c r="O208">
        <v>0.98499699939987995</v>
      </c>
      <c r="P208">
        <v>0.79869999999999997</v>
      </c>
      <c r="Q208">
        <v>0.89870000000000005</v>
      </c>
      <c r="R208" s="5">
        <v>0.95079999999999998</v>
      </c>
      <c r="S208">
        <v>0.99019999999999997</v>
      </c>
      <c r="T208">
        <v>0.79783827061649304</v>
      </c>
      <c r="U208">
        <v>0.90242193755003997</v>
      </c>
      <c r="V208">
        <v>0.94905924739791803</v>
      </c>
      <c r="W208">
        <v>0.98518815052041597</v>
      </c>
      <c r="X208">
        <v>0.77394358921376205</v>
      </c>
      <c r="Y208">
        <v>0.852257464614113</v>
      </c>
      <c r="Z208">
        <v>0.89895650377105096</v>
      </c>
      <c r="AA208">
        <v>0.94162620105382799</v>
      </c>
      <c r="AB208">
        <v>0.70689655172413801</v>
      </c>
      <c r="AC208">
        <v>0.78333333333333299</v>
      </c>
      <c r="AD208">
        <v>0.836666666666667</v>
      </c>
      <c r="AE208">
        <v>0.89367816091954</v>
      </c>
    </row>
    <row r="209" spans="1:31" x14ac:dyDescent="0.3">
      <c r="A209" t="s">
        <v>31</v>
      </c>
      <c r="B209">
        <v>30</v>
      </c>
      <c r="C209" s="11" t="s">
        <v>78</v>
      </c>
      <c r="D209">
        <v>0.75600819053777302</v>
      </c>
      <c r="E209">
        <v>0.83026188166828296</v>
      </c>
      <c r="F209">
        <v>0.87530983942235197</v>
      </c>
      <c r="G209">
        <v>0.91852570320077598</v>
      </c>
      <c r="H209">
        <v>0.78629195309340905</v>
      </c>
      <c r="I209">
        <v>0.89213505863323905</v>
      </c>
      <c r="J209">
        <v>0.92792155276991495</v>
      </c>
      <c r="K209">
        <v>0.96421350586332399</v>
      </c>
      <c r="L209">
        <v>0.79890000000000005</v>
      </c>
      <c r="M209">
        <v>0.89710000000000001</v>
      </c>
      <c r="N209">
        <v>0.9476</v>
      </c>
      <c r="O209">
        <v>0.9889</v>
      </c>
      <c r="P209">
        <v>0.79310000000000003</v>
      </c>
      <c r="Q209">
        <v>0.89480000000000004</v>
      </c>
      <c r="R209" s="5">
        <v>0.94640000000000002</v>
      </c>
      <c r="S209">
        <v>0.98880000000000001</v>
      </c>
      <c r="T209">
        <v>0.79479999999999995</v>
      </c>
      <c r="U209">
        <v>0.89219999999999999</v>
      </c>
      <c r="V209">
        <v>0.94389999999999996</v>
      </c>
      <c r="W209">
        <v>0.98899999999999999</v>
      </c>
      <c r="X209">
        <v>0.78437910477922601</v>
      </c>
      <c r="Y209">
        <v>0.890774982317874</v>
      </c>
      <c r="Z209">
        <v>0.93139335152066305</v>
      </c>
      <c r="AA209">
        <v>0.96635344043649596</v>
      </c>
      <c r="AB209">
        <v>0.75478430100551397</v>
      </c>
      <c r="AC209">
        <v>0.82787328359822698</v>
      </c>
      <c r="AD209">
        <v>0.86885068656070896</v>
      </c>
      <c r="AE209">
        <v>0.91674775651421803</v>
      </c>
    </row>
    <row r="210" spans="1:31" ht="15" thickBot="1" x14ac:dyDescent="0.35">
      <c r="A210" t="s">
        <v>31</v>
      </c>
      <c r="B210">
        <v>50</v>
      </c>
      <c r="C210" s="11" t="s">
        <v>78</v>
      </c>
      <c r="D210">
        <v>0.81526310390809298</v>
      </c>
      <c r="E210">
        <v>0.88378295209765101</v>
      </c>
      <c r="F210">
        <v>0.92132526412965399</v>
      </c>
      <c r="G210">
        <v>0.95496974048620398</v>
      </c>
      <c r="H210">
        <v>0.78361049889801604</v>
      </c>
      <c r="I210">
        <v>0.89741534762572595</v>
      </c>
      <c r="J210">
        <v>0.94419955920657195</v>
      </c>
      <c r="K210">
        <v>0.98827890202364299</v>
      </c>
      <c r="L210">
        <v>0.79920000000000002</v>
      </c>
      <c r="M210">
        <v>0.89700000000000002</v>
      </c>
      <c r="N210">
        <v>0.94810000000000005</v>
      </c>
      <c r="O210">
        <v>0.99029999999999996</v>
      </c>
      <c r="P210">
        <v>0.79549999999999998</v>
      </c>
      <c r="Q210">
        <v>0.89749999999999996</v>
      </c>
      <c r="R210" s="5">
        <v>0.95089999999999997</v>
      </c>
      <c r="S210">
        <v>0.99080000000000001</v>
      </c>
      <c r="T210">
        <v>0.79800000000000004</v>
      </c>
      <c r="U210">
        <v>0.89539999999999997</v>
      </c>
      <c r="V210">
        <v>0.94669999999999999</v>
      </c>
      <c r="W210">
        <v>0.98960000000000004</v>
      </c>
      <c r="X210">
        <v>0.78010418753756805</v>
      </c>
      <c r="Y210">
        <v>0.89370867561610901</v>
      </c>
      <c r="Z210">
        <v>0.93858946102985397</v>
      </c>
      <c r="AA210">
        <v>0.98707673812863195</v>
      </c>
      <c r="AB210">
        <v>0.81562178828365905</v>
      </c>
      <c r="AC210">
        <v>0.88951695786228202</v>
      </c>
      <c r="AD210">
        <v>0.92291880781089397</v>
      </c>
      <c r="AE210">
        <v>0.95570400822199397</v>
      </c>
    </row>
    <row r="211" spans="1:31" ht="15" thickTop="1" x14ac:dyDescent="0.3">
      <c r="A211" s="1" t="s">
        <v>56</v>
      </c>
      <c r="B211" s="1">
        <v>20</v>
      </c>
      <c r="C211" s="1" t="s">
        <v>43</v>
      </c>
      <c r="D211" s="1">
        <v>0.6361</v>
      </c>
      <c r="E211" s="1">
        <v>0.77300000000000002</v>
      </c>
      <c r="F211" s="1">
        <v>0.8669</v>
      </c>
      <c r="G211" s="1">
        <v>0.96919999999999995</v>
      </c>
      <c r="H211" s="1">
        <v>0.78269999999999995</v>
      </c>
      <c r="I211" s="1">
        <v>0.87970000000000004</v>
      </c>
      <c r="J211" s="1">
        <v>0.93059999999999998</v>
      </c>
      <c r="K211" s="1">
        <v>0.97719999999999996</v>
      </c>
      <c r="L211" s="1">
        <v>0.81979999999999997</v>
      </c>
      <c r="M211" s="1">
        <v>0.9173</v>
      </c>
      <c r="N211" s="1">
        <v>0.96160000000000001</v>
      </c>
      <c r="O211" s="1">
        <v>0.99070000000000003</v>
      </c>
      <c r="P211" s="1">
        <v>0.82640000000000002</v>
      </c>
      <c r="Q211" s="1">
        <v>0.92020000000000002</v>
      </c>
      <c r="R211" s="6">
        <v>0.96450000000000002</v>
      </c>
      <c r="S211" s="1">
        <v>0.99429999999999996</v>
      </c>
      <c r="T211" s="1">
        <v>0.82069999999999999</v>
      </c>
      <c r="U211" s="1">
        <v>0.91839999999999999</v>
      </c>
      <c r="V211" s="1">
        <v>0.96079999999999999</v>
      </c>
      <c r="W211" s="1">
        <v>0.9909</v>
      </c>
      <c r="X211" s="1">
        <v>0.79100000000000004</v>
      </c>
      <c r="Y211" s="1">
        <v>0.85</v>
      </c>
      <c r="Z211" s="1">
        <v>0.88300000000000001</v>
      </c>
      <c r="AA211" s="1">
        <v>0.91</v>
      </c>
      <c r="AB211" s="1">
        <v>0.60798475273347397</v>
      </c>
      <c r="AC211" s="1">
        <v>0.67408967800180597</v>
      </c>
      <c r="AD211" s="1">
        <v>0.70197612599057102</v>
      </c>
      <c r="AE211" s="1">
        <v>0.729361019159394</v>
      </c>
    </row>
    <row r="212" spans="1:31" x14ac:dyDescent="0.3">
      <c r="A212" t="s">
        <v>56</v>
      </c>
      <c r="B212">
        <v>30</v>
      </c>
      <c r="C212" t="s">
        <v>43</v>
      </c>
      <c r="D212">
        <v>0.61960000000000004</v>
      </c>
      <c r="E212">
        <v>0.76160000000000005</v>
      </c>
      <c r="F212">
        <v>0.8528</v>
      </c>
      <c r="G212">
        <v>0.95750000000000002</v>
      </c>
      <c r="H212">
        <v>0.77490000000000003</v>
      </c>
      <c r="I212">
        <v>0.87909999999999999</v>
      </c>
      <c r="J212">
        <v>0.93259999999999998</v>
      </c>
      <c r="K212">
        <v>0.98060000000000003</v>
      </c>
      <c r="L212">
        <v>0.8226</v>
      </c>
      <c r="M212">
        <v>0.9163</v>
      </c>
      <c r="N212">
        <v>0.96009999999999995</v>
      </c>
      <c r="O212">
        <v>0.99470000000000003</v>
      </c>
      <c r="P212">
        <v>0.81769999999999998</v>
      </c>
      <c r="Q212">
        <v>0.91180000000000005</v>
      </c>
      <c r="R212" s="5">
        <v>0.95860000000000001</v>
      </c>
      <c r="S212">
        <v>0.99460000000000004</v>
      </c>
      <c r="T212">
        <v>0.81989999999999996</v>
      </c>
      <c r="U212">
        <v>0.91490000000000005</v>
      </c>
      <c r="V212">
        <v>0.96179999999999999</v>
      </c>
      <c r="W212">
        <v>0.99309999999999998</v>
      </c>
      <c r="X212">
        <v>0.81489999999999996</v>
      </c>
      <c r="Y212">
        <v>0.90649999999999997</v>
      </c>
      <c r="Z212">
        <v>0.93269999999999997</v>
      </c>
      <c r="AA212">
        <v>0.96</v>
      </c>
      <c r="AB212">
        <v>0.71909999999999996</v>
      </c>
      <c r="AC212">
        <v>0.78039999999999998</v>
      </c>
      <c r="AD212">
        <v>0.80869999999999997</v>
      </c>
      <c r="AE212">
        <v>0.83740000000000003</v>
      </c>
    </row>
    <row r="213" spans="1:31" x14ac:dyDescent="0.3">
      <c r="A213" t="s">
        <v>56</v>
      </c>
      <c r="B213">
        <v>50</v>
      </c>
      <c r="C213" t="s">
        <v>43</v>
      </c>
      <c r="D213">
        <v>0.58389999999999997</v>
      </c>
      <c r="E213">
        <v>0.72840000000000005</v>
      </c>
      <c r="F213">
        <v>0.82609999999999995</v>
      </c>
      <c r="G213">
        <v>0.94059999999999999</v>
      </c>
      <c r="H213">
        <v>0.77769999999999995</v>
      </c>
      <c r="I213">
        <v>0.88400000000000001</v>
      </c>
      <c r="J213">
        <v>0.9385</v>
      </c>
      <c r="K213">
        <v>0.9859</v>
      </c>
      <c r="L213">
        <v>0.81259999999999999</v>
      </c>
      <c r="M213">
        <v>0.91159999999999997</v>
      </c>
      <c r="N213">
        <v>0.9577</v>
      </c>
      <c r="O213">
        <v>0.9919</v>
      </c>
      <c r="P213">
        <v>0.82120000000000004</v>
      </c>
      <c r="Q213">
        <v>0.91339999999999999</v>
      </c>
      <c r="R213" s="5">
        <v>0.96040000000000003</v>
      </c>
      <c r="S213">
        <v>0.99260000000000004</v>
      </c>
      <c r="T213">
        <v>0.80930000000000002</v>
      </c>
      <c r="U213">
        <v>0.90549999999999997</v>
      </c>
      <c r="V213">
        <v>0.95369999999999999</v>
      </c>
      <c r="W213">
        <v>0.99019999999999997</v>
      </c>
      <c r="X213">
        <v>0.80620000000000003</v>
      </c>
      <c r="Y213">
        <v>0.9083</v>
      </c>
      <c r="Z213">
        <v>0.9516</v>
      </c>
      <c r="AA213">
        <v>0.99009999999999998</v>
      </c>
      <c r="AB213">
        <v>0.81030000000000002</v>
      </c>
      <c r="AC213">
        <v>0.873</v>
      </c>
      <c r="AD213">
        <v>0.90500000000000003</v>
      </c>
      <c r="AE213">
        <v>0.93220000000000003</v>
      </c>
    </row>
    <row r="214" spans="1:31" x14ac:dyDescent="0.3">
      <c r="A214" t="s">
        <v>57</v>
      </c>
      <c r="B214">
        <v>20</v>
      </c>
      <c r="C214" t="s">
        <v>43</v>
      </c>
      <c r="D214">
        <v>5.7000000000000401E-3</v>
      </c>
      <c r="E214">
        <v>1.24E-2</v>
      </c>
      <c r="F214">
        <v>2.8500000000000001E-2</v>
      </c>
      <c r="G214">
        <v>0.14219999999999999</v>
      </c>
      <c r="H214">
        <v>0.1215</v>
      </c>
      <c r="I214">
        <v>0.22270000000000001</v>
      </c>
      <c r="J214">
        <v>0.33310000000000001</v>
      </c>
      <c r="K214">
        <v>0.63700000000000001</v>
      </c>
      <c r="L214">
        <v>0.78620000000000001</v>
      </c>
      <c r="M214">
        <v>0.88770000000000004</v>
      </c>
      <c r="N214">
        <v>0.94399999999999995</v>
      </c>
      <c r="O214">
        <v>0.98909999999999998</v>
      </c>
      <c r="P214">
        <v>0.74170000000000003</v>
      </c>
      <c r="Q214">
        <v>0.85919999999999996</v>
      </c>
      <c r="R214" s="5">
        <v>0.92230000000000001</v>
      </c>
      <c r="S214">
        <v>0.98270000000000002</v>
      </c>
      <c r="T214">
        <v>0.76470000000000005</v>
      </c>
      <c r="U214">
        <v>0.87929999999999997</v>
      </c>
      <c r="V214">
        <v>0.9395</v>
      </c>
      <c r="W214">
        <v>0.98829999999999996</v>
      </c>
      <c r="X214">
        <v>0.76019999999999999</v>
      </c>
      <c r="Y214">
        <v>0.84819999999999995</v>
      </c>
      <c r="Z214">
        <v>0.89680000000000004</v>
      </c>
      <c r="AA214">
        <v>0.94550000000000001</v>
      </c>
      <c r="AB214">
        <v>0.65859999999999996</v>
      </c>
      <c r="AC214">
        <v>0.74280000000000002</v>
      </c>
      <c r="AD214">
        <v>0.7903</v>
      </c>
      <c r="AE214">
        <v>0.83850000000000002</v>
      </c>
    </row>
    <row r="215" spans="1:31" x14ac:dyDescent="0.3">
      <c r="A215" t="s">
        <v>57</v>
      </c>
      <c r="B215">
        <v>30</v>
      </c>
      <c r="C215" t="s">
        <v>43</v>
      </c>
      <c r="D215">
        <v>8.0000000000002302E-4</v>
      </c>
      <c r="E215">
        <v>3.2999999999999701E-3</v>
      </c>
      <c r="F215">
        <v>7.0000000000000097E-3</v>
      </c>
      <c r="G215">
        <v>3.3000000000000002E-2</v>
      </c>
      <c r="H215">
        <v>6.5500000000000003E-2</v>
      </c>
      <c r="I215">
        <v>0.1303</v>
      </c>
      <c r="J215">
        <v>0.21490000000000001</v>
      </c>
      <c r="K215">
        <v>0.44600000000000001</v>
      </c>
      <c r="L215">
        <v>0.79039999999999999</v>
      </c>
      <c r="M215">
        <v>0.89249999999999996</v>
      </c>
      <c r="N215">
        <v>0.94020000000000004</v>
      </c>
      <c r="O215">
        <v>0.98860000000000003</v>
      </c>
      <c r="P215">
        <v>0.71289999999999998</v>
      </c>
      <c r="Q215">
        <v>0.83499999999999996</v>
      </c>
      <c r="R215" s="5">
        <v>0.90949999999999998</v>
      </c>
      <c r="S215">
        <v>0.97870000000000001</v>
      </c>
      <c r="T215">
        <v>0.76749999999999996</v>
      </c>
      <c r="U215">
        <v>0.87729999999999997</v>
      </c>
      <c r="V215">
        <v>0.93689999999999996</v>
      </c>
      <c r="W215">
        <v>0.98780000000000001</v>
      </c>
      <c r="X215">
        <v>0.7883</v>
      </c>
      <c r="Y215">
        <v>0.87970000000000004</v>
      </c>
      <c r="Z215">
        <v>0.92889999999999995</v>
      </c>
      <c r="AA215">
        <v>0.97030000000000005</v>
      </c>
      <c r="AB215">
        <v>0.7147</v>
      </c>
      <c r="AC215">
        <v>0.7974</v>
      </c>
      <c r="AD215">
        <v>0.84389999999999998</v>
      </c>
      <c r="AE215">
        <v>0.89380000000000004</v>
      </c>
    </row>
    <row r="216" spans="1:31" x14ac:dyDescent="0.3">
      <c r="A216" t="s">
        <v>57</v>
      </c>
      <c r="B216">
        <v>50</v>
      </c>
      <c r="C216" t="s">
        <v>43</v>
      </c>
      <c r="D216" s="3">
        <v>9.9999999999989E-5</v>
      </c>
      <c r="E216" s="3">
        <v>9.9999999999989E-5</v>
      </c>
      <c r="F216">
        <v>3.99999999999956E-4</v>
      </c>
      <c r="G216">
        <v>3.6000000000000502E-3</v>
      </c>
      <c r="H216">
        <v>2.75E-2</v>
      </c>
      <c r="I216">
        <v>5.7599999999999998E-2</v>
      </c>
      <c r="J216">
        <v>0.1036</v>
      </c>
      <c r="K216">
        <v>0.26240000000000002</v>
      </c>
      <c r="L216">
        <v>0.78979999999999995</v>
      </c>
      <c r="M216">
        <v>0.89739999999999998</v>
      </c>
      <c r="N216">
        <v>0.94740000000000002</v>
      </c>
      <c r="O216">
        <v>0.98839999999999995</v>
      </c>
      <c r="P216">
        <v>0.68189999999999995</v>
      </c>
      <c r="Q216">
        <v>0.80689999999999995</v>
      </c>
      <c r="R216" s="5">
        <v>0.88690000000000002</v>
      </c>
      <c r="S216">
        <v>0.96860000000000002</v>
      </c>
      <c r="T216">
        <v>0.74650000000000005</v>
      </c>
      <c r="U216">
        <v>0.86209999999999998</v>
      </c>
      <c r="V216">
        <v>0.9254</v>
      </c>
      <c r="W216">
        <v>0.98209999999999997</v>
      </c>
      <c r="X216">
        <v>0.78690000000000004</v>
      </c>
      <c r="Y216">
        <v>0.88839999999999997</v>
      </c>
      <c r="Z216">
        <v>0.94220000000000004</v>
      </c>
      <c r="AA216">
        <v>0.98409999999999997</v>
      </c>
      <c r="AB216">
        <v>0.78520000000000001</v>
      </c>
      <c r="AC216">
        <v>0.86799999999999999</v>
      </c>
      <c r="AD216">
        <v>0.91390000000000005</v>
      </c>
      <c r="AE216">
        <v>0.9526</v>
      </c>
    </row>
    <row r="217" spans="1:31" x14ac:dyDescent="0.3">
      <c r="A217" t="s">
        <v>31</v>
      </c>
      <c r="B217">
        <v>20</v>
      </c>
      <c r="C217" t="s">
        <v>43</v>
      </c>
      <c r="D217">
        <v>0.6613</v>
      </c>
      <c r="E217">
        <v>0.79110000000000003</v>
      </c>
      <c r="F217">
        <v>0.87549999999999994</v>
      </c>
      <c r="G217">
        <v>0.95730000000000004</v>
      </c>
      <c r="H217">
        <v>0.7228</v>
      </c>
      <c r="I217">
        <v>0.84379999999999999</v>
      </c>
      <c r="J217">
        <v>0.9143</v>
      </c>
      <c r="K217">
        <v>0.97740000000000005</v>
      </c>
      <c r="L217">
        <v>0.78820000000000001</v>
      </c>
      <c r="M217">
        <v>0.8952</v>
      </c>
      <c r="N217">
        <v>0.94830000000000003</v>
      </c>
      <c r="O217">
        <v>0.98939999999999995</v>
      </c>
      <c r="P217">
        <v>0.83220000000000005</v>
      </c>
      <c r="Q217">
        <v>0.92310000000000003</v>
      </c>
      <c r="R217" s="5">
        <v>0.96860000000000002</v>
      </c>
      <c r="S217">
        <v>0.99460000000000004</v>
      </c>
      <c r="T217">
        <v>0.80389999999999995</v>
      </c>
      <c r="U217">
        <v>0.9083</v>
      </c>
      <c r="V217">
        <v>0.95450000000000002</v>
      </c>
      <c r="W217">
        <v>0.99019999999999997</v>
      </c>
      <c r="X217">
        <v>0.7228</v>
      </c>
      <c r="Y217">
        <v>0.84099999999999997</v>
      </c>
      <c r="Z217">
        <v>0.91269999999999996</v>
      </c>
      <c r="AA217">
        <v>0.97709999999999997</v>
      </c>
      <c r="AB217">
        <v>0.6704</v>
      </c>
      <c r="AC217">
        <v>0.80259999999999998</v>
      </c>
      <c r="AD217">
        <v>0.87649999999999995</v>
      </c>
      <c r="AE217">
        <v>0.95509999999999995</v>
      </c>
    </row>
    <row r="218" spans="1:31" x14ac:dyDescent="0.3">
      <c r="A218" t="s">
        <v>31</v>
      </c>
      <c r="B218">
        <v>30</v>
      </c>
      <c r="C218" t="s">
        <v>43</v>
      </c>
      <c r="D218">
        <v>0.67379999999999995</v>
      </c>
      <c r="E218">
        <v>0.79679999999999995</v>
      </c>
      <c r="F218">
        <v>0.87629999999999997</v>
      </c>
      <c r="G218">
        <v>0.96040000000000003</v>
      </c>
      <c r="H218">
        <v>0.72960000000000003</v>
      </c>
      <c r="I218">
        <v>0.84540000000000004</v>
      </c>
      <c r="J218">
        <v>0.91379999999999995</v>
      </c>
      <c r="K218">
        <v>0.9768</v>
      </c>
      <c r="L218">
        <v>0.79620000000000002</v>
      </c>
      <c r="M218">
        <v>0.89629999999999999</v>
      </c>
      <c r="N218">
        <v>0.94769999999999999</v>
      </c>
      <c r="O218">
        <v>0.99019999999999997</v>
      </c>
      <c r="P218">
        <v>0.81920000000000004</v>
      </c>
      <c r="Q218">
        <v>0.91549999999999998</v>
      </c>
      <c r="R218" s="5">
        <v>0.96260000000000001</v>
      </c>
      <c r="S218">
        <v>0.99409999999999998</v>
      </c>
      <c r="T218">
        <v>0.78310000000000002</v>
      </c>
      <c r="U218">
        <v>0.89</v>
      </c>
      <c r="V218">
        <v>0.94640000000000002</v>
      </c>
      <c r="W218">
        <v>0.98919999999999997</v>
      </c>
      <c r="X218">
        <v>0.72570000000000001</v>
      </c>
      <c r="Y218">
        <v>0.84179999999999999</v>
      </c>
      <c r="Z218">
        <v>0.90780000000000005</v>
      </c>
      <c r="AA218">
        <v>0.9758</v>
      </c>
      <c r="AB218">
        <v>0.67030000000000001</v>
      </c>
      <c r="AC218">
        <v>0.79510000000000003</v>
      </c>
      <c r="AD218">
        <v>0.87639999999999996</v>
      </c>
      <c r="AE218">
        <v>0.9607</v>
      </c>
    </row>
    <row r="219" spans="1:31" ht="15" thickBot="1" x14ac:dyDescent="0.35">
      <c r="A219" t="s">
        <v>31</v>
      </c>
      <c r="B219">
        <v>50</v>
      </c>
      <c r="C219" t="s">
        <v>43</v>
      </c>
      <c r="D219">
        <v>0.68259999999999998</v>
      </c>
      <c r="E219">
        <v>0.80330000000000001</v>
      </c>
      <c r="F219">
        <v>0.87960000000000005</v>
      </c>
      <c r="G219">
        <v>0.9657</v>
      </c>
      <c r="H219">
        <v>0.71960000000000002</v>
      </c>
      <c r="I219">
        <v>0.84040000000000004</v>
      </c>
      <c r="J219">
        <v>0.90880000000000005</v>
      </c>
      <c r="K219">
        <v>0.97499999999999998</v>
      </c>
      <c r="L219">
        <v>0.77910000000000001</v>
      </c>
      <c r="M219">
        <v>0.88280000000000003</v>
      </c>
      <c r="N219">
        <v>0.9385</v>
      </c>
      <c r="O219">
        <v>0.98629999999999995</v>
      </c>
      <c r="P219">
        <v>0.81289999999999996</v>
      </c>
      <c r="Q219">
        <v>0.91420000000000001</v>
      </c>
      <c r="R219" s="5">
        <v>0.95820000000000005</v>
      </c>
      <c r="S219">
        <v>0.99239999999999995</v>
      </c>
      <c r="T219">
        <v>0.77929999999999999</v>
      </c>
      <c r="U219">
        <v>0.88370000000000004</v>
      </c>
      <c r="V219">
        <v>0.94089999999999996</v>
      </c>
      <c r="W219">
        <v>0.98870000000000002</v>
      </c>
      <c r="X219">
        <v>0.71240000000000003</v>
      </c>
      <c r="Y219">
        <v>0.8347</v>
      </c>
      <c r="Z219">
        <v>0.90500000000000003</v>
      </c>
      <c r="AA219">
        <v>0.97470000000000001</v>
      </c>
      <c r="AB219">
        <v>0.68230000000000002</v>
      </c>
      <c r="AC219">
        <v>0.80379999999999996</v>
      </c>
      <c r="AD219">
        <v>0.88070000000000004</v>
      </c>
      <c r="AE219">
        <v>0.96540000000000004</v>
      </c>
    </row>
    <row r="220" spans="1:31" ht="15" thickTop="1" x14ac:dyDescent="0.3">
      <c r="A220" s="1" t="s">
        <v>56</v>
      </c>
      <c r="B220" s="1">
        <v>20</v>
      </c>
      <c r="C220" s="1" t="s">
        <v>69</v>
      </c>
      <c r="D220" s="1">
        <v>0.64119999999999999</v>
      </c>
      <c r="E220" s="1">
        <v>0.70850000000000002</v>
      </c>
      <c r="F220" s="1">
        <v>0.74</v>
      </c>
      <c r="G220" s="1">
        <v>0.76849999999999996</v>
      </c>
      <c r="H220" s="1">
        <v>0.79330000000000001</v>
      </c>
      <c r="I220" s="1">
        <v>0.8448</v>
      </c>
      <c r="J220" s="1">
        <v>0.87370000000000003</v>
      </c>
      <c r="K220" s="1">
        <v>0.90100000000000002</v>
      </c>
      <c r="L220" s="1">
        <v>0.82318231823182297</v>
      </c>
      <c r="M220" s="1">
        <v>0.92529252925292504</v>
      </c>
      <c r="N220" s="1">
        <v>0.96099609960996102</v>
      </c>
      <c r="O220" s="1">
        <v>0.99409940994099399</v>
      </c>
      <c r="P220" s="1">
        <v>0.84793272599859804</v>
      </c>
      <c r="Q220" s="1">
        <v>0.91230353388727603</v>
      </c>
      <c r="R220" s="6">
        <v>0.960456502152368</v>
      </c>
      <c r="S220" s="1">
        <v>0.99629592551807</v>
      </c>
      <c r="T220" s="1">
        <v>0.81193818806181195</v>
      </c>
      <c r="U220" s="1">
        <v>0.92738107261892699</v>
      </c>
      <c r="V220" s="1">
        <v>0.95879204120795902</v>
      </c>
      <c r="W220" s="1">
        <v>0.99424300575699398</v>
      </c>
      <c r="X220" s="1">
        <v>0.81944871400758301</v>
      </c>
      <c r="Y220" s="1">
        <v>0.83953273901014402</v>
      </c>
      <c r="Z220" s="1">
        <v>0.86689209960036895</v>
      </c>
      <c r="AA220" s="1">
        <v>0.88093042319909798</v>
      </c>
      <c r="AB220" s="1">
        <v>0.47507692307692301</v>
      </c>
      <c r="AC220" s="1">
        <v>0.55126153846153803</v>
      </c>
      <c r="AD220" s="1">
        <v>0.55876923076923102</v>
      </c>
      <c r="AE220" s="1">
        <v>0.58116923076923099</v>
      </c>
    </row>
    <row r="221" spans="1:31" x14ac:dyDescent="0.3">
      <c r="A221" t="s">
        <v>56</v>
      </c>
      <c r="B221">
        <v>30</v>
      </c>
      <c r="C221" t="s">
        <v>69</v>
      </c>
      <c r="D221">
        <v>0.72389999999999999</v>
      </c>
      <c r="E221">
        <v>0.78820000000000001</v>
      </c>
      <c r="F221">
        <v>0.81820000000000004</v>
      </c>
      <c r="G221">
        <v>0.85060000000000002</v>
      </c>
      <c r="H221">
        <v>0.79020000000000001</v>
      </c>
      <c r="I221">
        <v>0.90259999999999996</v>
      </c>
      <c r="J221">
        <v>0.93379999999999996</v>
      </c>
      <c r="K221">
        <v>0.95509999999999995</v>
      </c>
      <c r="L221">
        <v>0.82030000000000003</v>
      </c>
      <c r="M221">
        <v>0.91759999999999997</v>
      </c>
      <c r="N221">
        <v>0.9607</v>
      </c>
      <c r="O221">
        <v>0.99490000000000001</v>
      </c>
      <c r="P221">
        <v>0.81298779267560495</v>
      </c>
      <c r="Q221">
        <v>0.908845307184311</v>
      </c>
      <c r="R221" s="5">
        <v>0.95747448469081498</v>
      </c>
      <c r="S221">
        <v>0.99509705823494099</v>
      </c>
      <c r="T221">
        <v>0.80700000000000005</v>
      </c>
      <c r="U221">
        <v>0.91579999999999995</v>
      </c>
      <c r="V221">
        <v>0.95289999999999997</v>
      </c>
      <c r="W221">
        <v>0.99429999999999996</v>
      </c>
      <c r="X221">
        <v>0.76233686786296895</v>
      </c>
      <c r="Y221">
        <v>0.92465334420880896</v>
      </c>
      <c r="Z221">
        <v>0.94422920065252902</v>
      </c>
      <c r="AA221">
        <v>0.954323001631321</v>
      </c>
      <c r="AB221">
        <v>0.72440000000000004</v>
      </c>
      <c r="AC221">
        <v>0.7712</v>
      </c>
      <c r="AD221">
        <v>0.77680000000000005</v>
      </c>
      <c r="AE221">
        <v>0.79279999999999995</v>
      </c>
    </row>
    <row r="222" spans="1:31" x14ac:dyDescent="0.3">
      <c r="A222" t="s">
        <v>56</v>
      </c>
      <c r="B222">
        <v>50</v>
      </c>
      <c r="C222" t="s">
        <v>69</v>
      </c>
      <c r="D222">
        <v>0.80649999999999999</v>
      </c>
      <c r="E222">
        <v>0.87390000000000001</v>
      </c>
      <c r="F222">
        <v>0.90600000000000003</v>
      </c>
      <c r="G222">
        <v>0.93240000000000001</v>
      </c>
      <c r="H222">
        <v>0.81140000000000001</v>
      </c>
      <c r="I222">
        <v>0.91590000000000005</v>
      </c>
      <c r="J222">
        <v>0.95209999999999995</v>
      </c>
      <c r="K222">
        <v>0.9909</v>
      </c>
      <c r="L222">
        <v>0.81299999999999994</v>
      </c>
      <c r="M222">
        <v>0.91279999999999994</v>
      </c>
      <c r="N222">
        <v>0.96130000000000004</v>
      </c>
      <c r="O222">
        <v>0.99209999999999998</v>
      </c>
      <c r="P222">
        <v>0.82021010505252601</v>
      </c>
      <c r="Q222">
        <v>0.92156078039019496</v>
      </c>
      <c r="R222" s="5">
        <v>0.96368184092046005</v>
      </c>
      <c r="S222">
        <v>0.99269634817408703</v>
      </c>
      <c r="T222">
        <v>0.80820000000000003</v>
      </c>
      <c r="U222">
        <v>0.90480000000000005</v>
      </c>
      <c r="V222">
        <v>0.95799999999999996</v>
      </c>
      <c r="W222">
        <v>0.98950000000000005</v>
      </c>
      <c r="X222">
        <v>0.81930768449903602</v>
      </c>
      <c r="Y222">
        <v>0.93056542482996696</v>
      </c>
      <c r="Z222">
        <v>0.94305146685615704</v>
      </c>
      <c r="AA222">
        <v>0.99167597198253998</v>
      </c>
      <c r="AB222">
        <v>0.81820000000000004</v>
      </c>
      <c r="AC222">
        <v>0.88460000000000005</v>
      </c>
      <c r="AD222">
        <v>0.91010000000000002</v>
      </c>
      <c r="AE222">
        <v>0.92130000000000001</v>
      </c>
    </row>
    <row r="223" spans="1:31" x14ac:dyDescent="0.3">
      <c r="A223" t="s">
        <v>57</v>
      </c>
      <c r="B223">
        <v>20</v>
      </c>
      <c r="C223" s="11" t="s">
        <v>69</v>
      </c>
      <c r="D223">
        <v>0.72160000000000002</v>
      </c>
      <c r="E223">
        <v>0.83750000000000002</v>
      </c>
      <c r="F223">
        <v>0.89900000000000002</v>
      </c>
      <c r="G223">
        <v>0.95650000000000002</v>
      </c>
      <c r="H223">
        <v>0.80210000000000004</v>
      </c>
      <c r="I223">
        <v>0.88660000000000005</v>
      </c>
      <c r="J223">
        <v>0.92649999999999999</v>
      </c>
      <c r="K223">
        <v>0.96179999999999999</v>
      </c>
      <c r="L223">
        <v>0.81869999999999998</v>
      </c>
      <c r="M223">
        <v>0.9133</v>
      </c>
      <c r="N223">
        <v>0.9577</v>
      </c>
      <c r="O223">
        <v>0.99150000000000005</v>
      </c>
      <c r="P223">
        <v>0.82220000000000004</v>
      </c>
      <c r="Q223">
        <v>0.9153</v>
      </c>
      <c r="R223" s="5">
        <v>0.9597</v>
      </c>
      <c r="S223">
        <v>0.99339999999999995</v>
      </c>
      <c r="T223">
        <v>0.81874562368710602</v>
      </c>
      <c r="U223">
        <v>0.92607782334700395</v>
      </c>
      <c r="V223">
        <v>0.95808742622786802</v>
      </c>
      <c r="W223">
        <v>0.99429828948684595</v>
      </c>
      <c r="X223">
        <v>0.80569581902645904</v>
      </c>
      <c r="Y223">
        <v>0.83962835790749302</v>
      </c>
      <c r="Z223">
        <v>0.86740052514643495</v>
      </c>
      <c r="AA223">
        <v>0.88689153706321999</v>
      </c>
      <c r="AB223">
        <v>0.56006006006006004</v>
      </c>
      <c r="AC223">
        <v>0.62290862290862303</v>
      </c>
      <c r="AD223">
        <v>0.63749463749463797</v>
      </c>
      <c r="AE223">
        <v>0.65873015873015905</v>
      </c>
    </row>
    <row r="224" spans="1:31" x14ac:dyDescent="0.3">
      <c r="A224" t="s">
        <v>57</v>
      </c>
      <c r="B224">
        <v>30</v>
      </c>
      <c r="C224" s="11" t="s">
        <v>69</v>
      </c>
      <c r="D224">
        <v>0.76539999999999997</v>
      </c>
      <c r="E224">
        <v>0.86180000000000001</v>
      </c>
      <c r="F224">
        <v>0.91259999999999997</v>
      </c>
      <c r="G224">
        <v>0.95899999999999996</v>
      </c>
      <c r="H224">
        <v>0.80879999999999996</v>
      </c>
      <c r="I224">
        <v>0.9012</v>
      </c>
      <c r="J224">
        <v>0.94359999999999999</v>
      </c>
      <c r="K224">
        <v>0.97489999999999999</v>
      </c>
      <c r="L224">
        <v>0.81920000000000004</v>
      </c>
      <c r="M224">
        <v>0.90959999999999996</v>
      </c>
      <c r="N224">
        <v>0.95599999999999996</v>
      </c>
      <c r="O224">
        <v>0.99199999999999999</v>
      </c>
      <c r="P224">
        <v>0.82050000000000001</v>
      </c>
      <c r="Q224">
        <v>0.91500000000000004</v>
      </c>
      <c r="R224" s="5">
        <v>0.96120000000000005</v>
      </c>
      <c r="S224">
        <v>0.99329999999999996</v>
      </c>
      <c r="T224">
        <v>0.81889999999999996</v>
      </c>
      <c r="U224">
        <v>0.91749999999999998</v>
      </c>
      <c r="V224">
        <v>0.95989999999999998</v>
      </c>
      <c r="W224">
        <v>0.99450000000000005</v>
      </c>
      <c r="X224">
        <v>0.77094240837696304</v>
      </c>
      <c r="Y224">
        <v>0.91502215062424497</v>
      </c>
      <c r="Z224">
        <v>0.93928715263793805</v>
      </c>
      <c r="AA224">
        <v>0.955799436165928</v>
      </c>
      <c r="AB224">
        <v>0.71409999999999996</v>
      </c>
      <c r="AC224">
        <v>0.7661</v>
      </c>
      <c r="AD224">
        <v>0.77759999999999996</v>
      </c>
      <c r="AE224">
        <v>0.79879999999999995</v>
      </c>
    </row>
    <row r="225" spans="1:31" x14ac:dyDescent="0.3">
      <c r="A225" t="s">
        <v>57</v>
      </c>
      <c r="B225">
        <v>50</v>
      </c>
      <c r="C225" s="11" t="s">
        <v>69</v>
      </c>
      <c r="D225">
        <v>0.79169999999999996</v>
      </c>
      <c r="E225">
        <v>0.8841</v>
      </c>
      <c r="F225">
        <v>0.92910000000000004</v>
      </c>
      <c r="G225">
        <v>0.97119999999999995</v>
      </c>
      <c r="H225">
        <v>0.80979999999999996</v>
      </c>
      <c r="I225">
        <v>0.90710000000000002</v>
      </c>
      <c r="J225">
        <v>0.95499999999999996</v>
      </c>
      <c r="K225">
        <v>0.98709999999999998</v>
      </c>
      <c r="L225">
        <v>0.81330000000000002</v>
      </c>
      <c r="M225">
        <v>0.91069999999999995</v>
      </c>
      <c r="N225">
        <v>0.95820000000000005</v>
      </c>
      <c r="O225">
        <v>0.99239999999999995</v>
      </c>
      <c r="P225">
        <v>0.81359999999999999</v>
      </c>
      <c r="Q225">
        <v>0.91279999999999994</v>
      </c>
      <c r="R225" s="5">
        <v>0.95799999999999996</v>
      </c>
      <c r="S225">
        <v>0.99219999999999997</v>
      </c>
      <c r="T225">
        <v>0.81130000000000002</v>
      </c>
      <c r="U225">
        <v>0.91100000000000003</v>
      </c>
      <c r="V225">
        <v>0.9597</v>
      </c>
      <c r="W225">
        <v>0.99270000000000003</v>
      </c>
      <c r="X225">
        <v>0.80438058876720597</v>
      </c>
      <c r="Y225">
        <v>0.92193308550185904</v>
      </c>
      <c r="Z225">
        <v>0.94453933487390696</v>
      </c>
      <c r="AA225">
        <v>0.98924947252084805</v>
      </c>
      <c r="AB225">
        <v>0.82450000000000001</v>
      </c>
      <c r="AC225">
        <v>0.88670000000000004</v>
      </c>
      <c r="AD225">
        <v>0.91180000000000005</v>
      </c>
      <c r="AE225">
        <v>0.92600000000000005</v>
      </c>
    </row>
    <row r="226" spans="1:31" x14ac:dyDescent="0.3">
      <c r="A226" t="s">
        <v>31</v>
      </c>
      <c r="B226">
        <v>20</v>
      </c>
      <c r="C226" t="s">
        <v>69</v>
      </c>
      <c r="D226">
        <v>0.60681864030663701</v>
      </c>
      <c r="E226">
        <v>0.67167641718781501</v>
      </c>
      <c r="F226">
        <v>0.69608634254589496</v>
      </c>
      <c r="G226">
        <v>0.72291708694775103</v>
      </c>
      <c r="H226">
        <v>0.79731758582724499</v>
      </c>
      <c r="I226">
        <v>0.84886397757982202</v>
      </c>
      <c r="J226">
        <v>0.87748974076668995</v>
      </c>
      <c r="K226">
        <v>0.89850865779201305</v>
      </c>
      <c r="L226">
        <v>0.81459999999999999</v>
      </c>
      <c r="M226">
        <v>0.9224</v>
      </c>
      <c r="N226">
        <v>0.95879999999999999</v>
      </c>
      <c r="O226">
        <v>0.9929</v>
      </c>
      <c r="P226">
        <v>0.84050000000000002</v>
      </c>
      <c r="Q226">
        <v>0.92749999999999999</v>
      </c>
      <c r="R226" s="5">
        <v>0.96709999999999996</v>
      </c>
      <c r="S226">
        <v>0.99639999999999995</v>
      </c>
      <c r="T226">
        <v>0.83250000000000002</v>
      </c>
      <c r="U226">
        <v>0.93179999999999996</v>
      </c>
      <c r="V226">
        <v>0.96479999999999999</v>
      </c>
      <c r="W226">
        <v>0.99280000000000002</v>
      </c>
      <c r="X226">
        <v>0.79669834917458704</v>
      </c>
      <c r="Y226">
        <v>0.84432216108054003</v>
      </c>
      <c r="Z226">
        <v>0.87373686843421705</v>
      </c>
      <c r="AA226">
        <v>0.89884942471235596</v>
      </c>
      <c r="AB226">
        <v>0.60205314009661803</v>
      </c>
      <c r="AC226">
        <v>0.66435185185185197</v>
      </c>
      <c r="AD226">
        <v>0.68830515297906603</v>
      </c>
      <c r="AE226">
        <v>0.71336553945249603</v>
      </c>
    </row>
    <row r="227" spans="1:31" x14ac:dyDescent="0.3">
      <c r="A227" t="s">
        <v>31</v>
      </c>
      <c r="B227">
        <v>30</v>
      </c>
      <c r="C227" t="s">
        <v>69</v>
      </c>
      <c r="D227">
        <v>0.71830000000000005</v>
      </c>
      <c r="E227">
        <v>0.77939999999999998</v>
      </c>
      <c r="F227">
        <v>0.80110000000000003</v>
      </c>
      <c r="G227">
        <v>0.82589999999999997</v>
      </c>
      <c r="H227">
        <v>0.79203761128338501</v>
      </c>
      <c r="I227">
        <v>0.90917275182554802</v>
      </c>
      <c r="J227">
        <v>0.93728118435530705</v>
      </c>
      <c r="K227">
        <v>0.95568670601180306</v>
      </c>
      <c r="L227">
        <v>0.82110000000000005</v>
      </c>
      <c r="M227">
        <v>0.91769999999999996</v>
      </c>
      <c r="N227">
        <v>0.9617</v>
      </c>
      <c r="O227">
        <v>0.99370000000000003</v>
      </c>
      <c r="P227">
        <v>0.81769999999999998</v>
      </c>
      <c r="Q227">
        <v>0.91649999999999998</v>
      </c>
      <c r="R227" s="5">
        <v>0.95979999999999999</v>
      </c>
      <c r="S227">
        <v>0.99450000000000005</v>
      </c>
      <c r="T227">
        <v>0.81779999999999997</v>
      </c>
      <c r="U227">
        <v>0.91290000000000004</v>
      </c>
      <c r="V227">
        <v>0.95809999999999995</v>
      </c>
      <c r="W227">
        <v>0.99519999999999997</v>
      </c>
      <c r="X227">
        <v>0.79029514757378705</v>
      </c>
      <c r="Y227">
        <v>0.91075537768884396</v>
      </c>
      <c r="Z227">
        <v>0.93636818409204603</v>
      </c>
      <c r="AA227">
        <v>0.957778889444722</v>
      </c>
      <c r="AB227">
        <v>0.71650000000000003</v>
      </c>
      <c r="AC227">
        <v>0.77090000000000003</v>
      </c>
      <c r="AD227">
        <v>0.79420000000000002</v>
      </c>
      <c r="AE227">
        <v>0.81969999999999998</v>
      </c>
    </row>
    <row r="228" spans="1:31" ht="15" thickBot="1" x14ac:dyDescent="0.35">
      <c r="A228" t="s">
        <v>31</v>
      </c>
      <c r="B228">
        <v>50</v>
      </c>
      <c r="C228" t="s">
        <v>69</v>
      </c>
      <c r="D228">
        <v>0.8175</v>
      </c>
      <c r="E228">
        <v>0.87809999999999999</v>
      </c>
      <c r="F228">
        <v>0.90710000000000002</v>
      </c>
      <c r="G228">
        <v>0.92769999999999997</v>
      </c>
      <c r="H228">
        <v>0.80302120848339298</v>
      </c>
      <c r="I228">
        <v>0.919467787114846</v>
      </c>
      <c r="J228">
        <v>0.94907963185274102</v>
      </c>
      <c r="K228">
        <v>0.98969587835134099</v>
      </c>
      <c r="L228">
        <v>0.81589999999999996</v>
      </c>
      <c r="M228">
        <v>0.9103</v>
      </c>
      <c r="N228">
        <v>0.95960000000000001</v>
      </c>
      <c r="O228">
        <v>0.99280000000000002</v>
      </c>
      <c r="P228">
        <v>0.81489999999999996</v>
      </c>
      <c r="Q228">
        <v>0.91449999999999998</v>
      </c>
      <c r="R228" s="5">
        <v>0.96020000000000005</v>
      </c>
      <c r="S228">
        <v>0.99319999999999997</v>
      </c>
      <c r="T228">
        <v>0.81269999999999998</v>
      </c>
      <c r="U228">
        <v>0.90939999999999999</v>
      </c>
      <c r="V228">
        <v>0.95640000000000003</v>
      </c>
      <c r="W228">
        <v>0.99360000000000004</v>
      </c>
      <c r="X228">
        <v>0.79895927149004298</v>
      </c>
      <c r="Y228">
        <v>0.91163814670269205</v>
      </c>
      <c r="Z228">
        <v>0.94496147303112199</v>
      </c>
      <c r="AA228">
        <v>0.98989292504753301</v>
      </c>
      <c r="AB228">
        <v>0.81950000000000001</v>
      </c>
      <c r="AC228">
        <v>0.87870000000000004</v>
      </c>
      <c r="AD228">
        <v>0.90629999999999999</v>
      </c>
      <c r="AE228">
        <v>0.92810000000000004</v>
      </c>
    </row>
    <row r="229" spans="1:31" ht="15" thickTop="1" x14ac:dyDescent="0.3">
      <c r="A229" s="1" t="s">
        <v>56</v>
      </c>
      <c r="B229" s="1">
        <v>20</v>
      </c>
      <c r="C229" s="1" t="s">
        <v>38</v>
      </c>
      <c r="D229" s="1">
        <v>0.72160000000000002</v>
      </c>
      <c r="E229" s="1">
        <v>0.80940000000000001</v>
      </c>
      <c r="F229" s="1">
        <v>0.85550000000000004</v>
      </c>
      <c r="G229" s="1">
        <v>0.89810000000000001</v>
      </c>
      <c r="H229" s="1">
        <v>0.78910000000000002</v>
      </c>
      <c r="I229" s="1">
        <v>0.8649</v>
      </c>
      <c r="J229" s="1">
        <v>0.90290000000000004</v>
      </c>
      <c r="K229" s="1">
        <v>0.93830000000000002</v>
      </c>
      <c r="L229" s="1">
        <v>0.82440000000000002</v>
      </c>
      <c r="M229" s="1">
        <v>0.9194</v>
      </c>
      <c r="N229" s="1">
        <v>0.96140000000000003</v>
      </c>
      <c r="O229" s="1">
        <v>0.99170000000000003</v>
      </c>
      <c r="P229" s="1">
        <v>0.83279999999999998</v>
      </c>
      <c r="Q229" s="1">
        <v>0.92010000000000003</v>
      </c>
      <c r="R229" s="6">
        <v>0.96299999999999997</v>
      </c>
      <c r="S229" s="1">
        <v>0.99539999999999995</v>
      </c>
      <c r="T229" s="1">
        <v>0.81969999999999998</v>
      </c>
      <c r="U229" s="1">
        <v>0.92349999999999999</v>
      </c>
      <c r="V229" s="1">
        <v>0.95960000000000001</v>
      </c>
      <c r="W229" s="1">
        <v>0.9929</v>
      </c>
      <c r="X229" s="1">
        <v>0.80593262946204103</v>
      </c>
      <c r="Y229" s="1">
        <v>0.84474610356963298</v>
      </c>
      <c r="Z229" s="1">
        <v>0.87259929612870801</v>
      </c>
      <c r="AA229" s="1">
        <v>0.89321266968325796</v>
      </c>
      <c r="AB229" s="1">
        <v>0.56534569983136596</v>
      </c>
      <c r="AC229" s="1">
        <v>0.630586003372681</v>
      </c>
      <c r="AD229" s="1">
        <v>0.648503372681282</v>
      </c>
      <c r="AE229" s="1">
        <v>0.66989881956155095</v>
      </c>
    </row>
    <row r="230" spans="1:31" x14ac:dyDescent="0.3">
      <c r="A230" t="s">
        <v>56</v>
      </c>
      <c r="B230">
        <v>30</v>
      </c>
      <c r="C230" t="s">
        <v>38</v>
      </c>
      <c r="D230">
        <v>0.76149999999999995</v>
      </c>
      <c r="E230">
        <v>0.8498</v>
      </c>
      <c r="F230">
        <v>0.89649999999999996</v>
      </c>
      <c r="G230">
        <v>0.94110000000000005</v>
      </c>
      <c r="H230">
        <v>0.79949999999999999</v>
      </c>
      <c r="I230">
        <v>0.89200000000000002</v>
      </c>
      <c r="J230">
        <v>0.93410000000000004</v>
      </c>
      <c r="K230">
        <v>0.96989999999999998</v>
      </c>
      <c r="L230">
        <v>0.82569999999999999</v>
      </c>
      <c r="M230">
        <v>0.91979999999999995</v>
      </c>
      <c r="N230">
        <v>0.96060000000000001</v>
      </c>
      <c r="O230">
        <v>0.99439999999999995</v>
      </c>
      <c r="P230">
        <v>0.82040000000000002</v>
      </c>
      <c r="Q230">
        <v>0.91449999999999998</v>
      </c>
      <c r="R230" s="5">
        <v>0.95979999999999999</v>
      </c>
      <c r="S230">
        <v>0.99460000000000004</v>
      </c>
      <c r="T230">
        <v>0.81579999999999997</v>
      </c>
      <c r="U230">
        <v>0.91479999999999995</v>
      </c>
      <c r="V230">
        <v>0.96099999999999997</v>
      </c>
      <c r="W230">
        <v>0.99360000000000004</v>
      </c>
      <c r="X230">
        <v>0.79505406487785302</v>
      </c>
      <c r="Y230">
        <v>0.91549859831798197</v>
      </c>
      <c r="Z230">
        <v>0.93772527032438902</v>
      </c>
      <c r="AA230">
        <v>0.95694833800560697</v>
      </c>
      <c r="AB230">
        <v>0.71970000000000001</v>
      </c>
      <c r="AC230">
        <v>0.7742</v>
      </c>
      <c r="AD230">
        <v>0.79</v>
      </c>
      <c r="AE230">
        <v>0.8125</v>
      </c>
    </row>
    <row r="231" spans="1:31" x14ac:dyDescent="0.3">
      <c r="A231" t="s">
        <v>56</v>
      </c>
      <c r="B231">
        <v>50</v>
      </c>
      <c r="C231" t="s">
        <v>38</v>
      </c>
      <c r="D231">
        <v>0.78</v>
      </c>
      <c r="E231">
        <v>0.87860000000000005</v>
      </c>
      <c r="F231">
        <v>0.92559999999999998</v>
      </c>
      <c r="G231">
        <v>0.97140000000000004</v>
      </c>
      <c r="H231">
        <v>0.8105</v>
      </c>
      <c r="I231">
        <v>0.90549999999999997</v>
      </c>
      <c r="J231">
        <v>0.95250000000000001</v>
      </c>
      <c r="K231">
        <v>0.98829999999999996</v>
      </c>
      <c r="L231">
        <v>0.8155</v>
      </c>
      <c r="M231">
        <v>0.91290000000000004</v>
      </c>
      <c r="N231">
        <v>0.95899999999999996</v>
      </c>
      <c r="O231">
        <v>0.99219999999999997</v>
      </c>
      <c r="P231">
        <v>0.82420000000000004</v>
      </c>
      <c r="Q231">
        <v>0.91669999999999996</v>
      </c>
      <c r="R231" s="5">
        <v>0.96160000000000001</v>
      </c>
      <c r="S231">
        <v>0.99250000000000005</v>
      </c>
      <c r="T231">
        <v>0.81079999999999997</v>
      </c>
      <c r="U231">
        <v>0.90580000000000005</v>
      </c>
      <c r="V231">
        <v>0.95420000000000005</v>
      </c>
      <c r="W231">
        <v>0.99060000000000004</v>
      </c>
      <c r="X231">
        <v>0.80954286285885801</v>
      </c>
      <c r="Y231">
        <v>0.91417425227568305</v>
      </c>
      <c r="Z231">
        <v>0.94908472541762501</v>
      </c>
      <c r="AA231">
        <v>0.99119735920776197</v>
      </c>
      <c r="AB231">
        <v>0.81740000000000002</v>
      </c>
      <c r="AC231">
        <v>0.87829999999999997</v>
      </c>
      <c r="AD231">
        <v>0.90529999999999999</v>
      </c>
      <c r="AE231">
        <v>0.92579999999999996</v>
      </c>
    </row>
    <row r="232" spans="1:31" x14ac:dyDescent="0.3">
      <c r="A232" t="s">
        <v>57</v>
      </c>
      <c r="B232">
        <v>20</v>
      </c>
      <c r="C232" t="s">
        <v>38</v>
      </c>
      <c r="D232">
        <v>0.25469999999999998</v>
      </c>
      <c r="E232">
        <v>0.39029999999999998</v>
      </c>
      <c r="F232">
        <v>0.52629999999999999</v>
      </c>
      <c r="G232">
        <v>0.82010000000000005</v>
      </c>
      <c r="H232">
        <v>0.6321</v>
      </c>
      <c r="I232">
        <v>0.77790000000000004</v>
      </c>
      <c r="J232">
        <v>0.86709999999999998</v>
      </c>
      <c r="K232">
        <v>0.96989999999999998</v>
      </c>
      <c r="L232">
        <v>0.81969999999999998</v>
      </c>
      <c r="M232">
        <v>0.91220000000000001</v>
      </c>
      <c r="N232">
        <v>0.95640000000000003</v>
      </c>
      <c r="O232">
        <v>0.99150000000000005</v>
      </c>
      <c r="P232">
        <v>0.81410000000000005</v>
      </c>
      <c r="Q232">
        <v>0.90680000000000005</v>
      </c>
      <c r="R232" s="5">
        <v>0.9536</v>
      </c>
      <c r="S232">
        <v>0.99270000000000003</v>
      </c>
      <c r="T232">
        <v>0.81850000000000001</v>
      </c>
      <c r="U232">
        <v>0.91659999999999997</v>
      </c>
      <c r="V232">
        <v>0.96099999999999997</v>
      </c>
      <c r="W232">
        <v>0.99219999999999997</v>
      </c>
      <c r="X232">
        <v>0.78549999999999998</v>
      </c>
      <c r="Y232">
        <v>0.84440000000000004</v>
      </c>
      <c r="Z232">
        <v>0.87929999999999997</v>
      </c>
      <c r="AA232">
        <v>0.9083</v>
      </c>
      <c r="AB232">
        <v>0.616493194555644</v>
      </c>
      <c r="AC232">
        <v>0.68064451561248995</v>
      </c>
      <c r="AD232">
        <v>0.70996797437950399</v>
      </c>
      <c r="AE232">
        <v>0.740492393915132</v>
      </c>
    </row>
    <row r="233" spans="1:31" x14ac:dyDescent="0.3">
      <c r="A233" t="s">
        <v>57</v>
      </c>
      <c r="B233">
        <v>30</v>
      </c>
      <c r="C233" t="s">
        <v>38</v>
      </c>
      <c r="D233">
        <v>0.17319999999999999</v>
      </c>
      <c r="E233">
        <v>0.28549999999999998</v>
      </c>
      <c r="F233">
        <v>0.40110000000000001</v>
      </c>
      <c r="G233">
        <v>0.67169999999999996</v>
      </c>
      <c r="H233">
        <v>0.59470000000000001</v>
      </c>
      <c r="I233">
        <v>0.7399</v>
      </c>
      <c r="J233">
        <v>0.84150000000000003</v>
      </c>
      <c r="K233">
        <v>0.95079999999999998</v>
      </c>
      <c r="L233">
        <v>0.81689999999999996</v>
      </c>
      <c r="M233">
        <v>0.90690000000000004</v>
      </c>
      <c r="N233">
        <v>0.95599999999999996</v>
      </c>
      <c r="O233">
        <v>0.99180000000000001</v>
      </c>
      <c r="P233">
        <v>0.8115</v>
      </c>
      <c r="Q233">
        <v>0.90739999999999998</v>
      </c>
      <c r="R233" s="5">
        <v>0.95379999999999998</v>
      </c>
      <c r="S233">
        <v>0.9919</v>
      </c>
      <c r="T233">
        <v>0.82120000000000004</v>
      </c>
      <c r="U233">
        <v>0.91539999999999999</v>
      </c>
      <c r="V233">
        <v>0.96109999999999995</v>
      </c>
      <c r="W233">
        <v>0.99299999999999999</v>
      </c>
      <c r="X233">
        <v>0.80669999999999997</v>
      </c>
      <c r="Y233">
        <v>0.89649999999999996</v>
      </c>
      <c r="Z233">
        <v>0.93240000000000001</v>
      </c>
      <c r="AA233">
        <v>0.96079999999999999</v>
      </c>
      <c r="AB233">
        <v>0.71050000000000002</v>
      </c>
      <c r="AC233">
        <v>0.77510000000000001</v>
      </c>
      <c r="AD233">
        <v>0.80469999999999997</v>
      </c>
      <c r="AE233">
        <v>0.83679999999999999</v>
      </c>
    </row>
    <row r="234" spans="1:31" x14ac:dyDescent="0.3">
      <c r="A234" t="s">
        <v>57</v>
      </c>
      <c r="B234">
        <v>50</v>
      </c>
      <c r="C234" t="s">
        <v>38</v>
      </c>
      <c r="D234">
        <v>0.10290000000000001</v>
      </c>
      <c r="E234">
        <v>0.17580000000000001</v>
      </c>
      <c r="F234">
        <v>0.2646</v>
      </c>
      <c r="G234">
        <v>0.4859</v>
      </c>
      <c r="H234">
        <v>0.56669999999999998</v>
      </c>
      <c r="I234">
        <v>0.7046</v>
      </c>
      <c r="J234">
        <v>0.80710000000000004</v>
      </c>
      <c r="K234">
        <v>0.93269999999999997</v>
      </c>
      <c r="L234">
        <v>0.81269999999999998</v>
      </c>
      <c r="M234">
        <v>0.90529999999999999</v>
      </c>
      <c r="N234">
        <v>0.95389999999999997</v>
      </c>
      <c r="O234">
        <v>0.99139999999999995</v>
      </c>
      <c r="P234">
        <v>0.8</v>
      </c>
      <c r="Q234">
        <v>0.90290000000000004</v>
      </c>
      <c r="R234" s="5">
        <v>0.95130000000000003</v>
      </c>
      <c r="S234">
        <v>0.98960000000000004</v>
      </c>
      <c r="T234">
        <v>0.80930000000000002</v>
      </c>
      <c r="U234">
        <v>0.90610000000000002</v>
      </c>
      <c r="V234">
        <v>0.95379999999999998</v>
      </c>
      <c r="W234">
        <v>0.99229999999999996</v>
      </c>
      <c r="X234">
        <v>0.79669999999999996</v>
      </c>
      <c r="Y234">
        <v>0.90529999999999999</v>
      </c>
      <c r="Z234">
        <v>0.94879999999999998</v>
      </c>
      <c r="AA234">
        <v>0.98670000000000002</v>
      </c>
      <c r="AB234">
        <v>0.80940000000000001</v>
      </c>
      <c r="AC234">
        <v>0.87509999999999999</v>
      </c>
      <c r="AD234">
        <v>0.90820000000000001</v>
      </c>
      <c r="AE234">
        <v>0.93600000000000005</v>
      </c>
    </row>
    <row r="235" spans="1:31" x14ac:dyDescent="0.3">
      <c r="A235" t="s">
        <v>31</v>
      </c>
      <c r="B235">
        <v>20</v>
      </c>
      <c r="C235" t="s">
        <v>38</v>
      </c>
      <c r="D235">
        <v>0.66010000000000002</v>
      </c>
      <c r="E235">
        <v>0.74339999999999995</v>
      </c>
      <c r="F235">
        <v>0.78820000000000001</v>
      </c>
      <c r="G235">
        <v>0.83530000000000004</v>
      </c>
      <c r="H235">
        <v>0.77690000000000003</v>
      </c>
      <c r="I235">
        <v>0.85599999999999998</v>
      </c>
      <c r="J235">
        <v>0.89729999999999999</v>
      </c>
      <c r="K235">
        <v>0.93740000000000001</v>
      </c>
      <c r="L235">
        <v>0.81889999999999996</v>
      </c>
      <c r="M235">
        <v>0.91420000000000001</v>
      </c>
      <c r="N235">
        <v>0.9597</v>
      </c>
      <c r="O235">
        <v>0.99019999999999997</v>
      </c>
      <c r="P235">
        <v>0.83599999999999997</v>
      </c>
      <c r="Q235">
        <v>0.92730000000000001</v>
      </c>
      <c r="R235" s="5">
        <v>0.9677</v>
      </c>
      <c r="S235">
        <v>0.99570000000000003</v>
      </c>
      <c r="T235">
        <v>0.83240000000000003</v>
      </c>
      <c r="U235">
        <v>0.92579999999999996</v>
      </c>
      <c r="V235">
        <v>0.96489999999999998</v>
      </c>
      <c r="W235">
        <v>0.99060000000000004</v>
      </c>
      <c r="X235">
        <v>0.77549999999999997</v>
      </c>
      <c r="Y235">
        <v>0.85580000000000001</v>
      </c>
      <c r="Z235">
        <v>0.89600000000000002</v>
      </c>
      <c r="AA235">
        <v>0.93389999999999995</v>
      </c>
      <c r="AB235">
        <v>0.6573</v>
      </c>
      <c r="AC235">
        <v>0.74260000000000004</v>
      </c>
      <c r="AD235">
        <v>0.7873</v>
      </c>
      <c r="AE235">
        <v>0.83250000000000002</v>
      </c>
    </row>
    <row r="236" spans="1:31" x14ac:dyDescent="0.3">
      <c r="A236" t="s">
        <v>31</v>
      </c>
      <c r="B236">
        <v>30</v>
      </c>
      <c r="C236" t="s">
        <v>38</v>
      </c>
      <c r="D236">
        <v>0.72519999999999996</v>
      </c>
      <c r="E236">
        <v>0.81079999999999997</v>
      </c>
      <c r="F236">
        <v>0.85450000000000004</v>
      </c>
      <c r="G236">
        <v>0.8992</v>
      </c>
      <c r="H236">
        <v>0.80669999999999997</v>
      </c>
      <c r="I236">
        <v>0.89039999999999997</v>
      </c>
      <c r="J236">
        <v>0.93059999999999998</v>
      </c>
      <c r="K236">
        <v>0.96699999999999997</v>
      </c>
      <c r="L236">
        <v>0.82389999999999997</v>
      </c>
      <c r="M236">
        <v>0.91320000000000001</v>
      </c>
      <c r="N236">
        <v>0.9627</v>
      </c>
      <c r="O236">
        <v>0.9929</v>
      </c>
      <c r="P236">
        <v>0.81979999999999997</v>
      </c>
      <c r="Q236">
        <v>0.91310000000000002</v>
      </c>
      <c r="R236" s="5">
        <v>0.96260000000000001</v>
      </c>
      <c r="S236">
        <v>0.99429999999999996</v>
      </c>
      <c r="T236">
        <v>0.82189999999999996</v>
      </c>
      <c r="U236">
        <v>0.91139999999999999</v>
      </c>
      <c r="V236">
        <v>0.95750000000000002</v>
      </c>
      <c r="W236">
        <v>0.99319999999999997</v>
      </c>
      <c r="X236">
        <v>0.80549999999999999</v>
      </c>
      <c r="Y236">
        <v>0.8901</v>
      </c>
      <c r="Z236">
        <v>0.93149999999999999</v>
      </c>
      <c r="AA236">
        <v>0.96709999999999996</v>
      </c>
      <c r="AB236">
        <v>0.72619999999999996</v>
      </c>
      <c r="AC236">
        <v>0.80510000000000004</v>
      </c>
      <c r="AD236">
        <v>0.84919999999999995</v>
      </c>
      <c r="AE236">
        <v>0.89480000000000004</v>
      </c>
    </row>
    <row r="237" spans="1:31" ht="15" thickBot="1" x14ac:dyDescent="0.35">
      <c r="A237" t="s">
        <v>31</v>
      </c>
      <c r="B237">
        <v>50</v>
      </c>
      <c r="C237" t="s">
        <v>38</v>
      </c>
      <c r="D237">
        <v>0.78320000000000001</v>
      </c>
      <c r="E237">
        <v>0.86739999999999995</v>
      </c>
      <c r="F237">
        <v>0.91200000000000003</v>
      </c>
      <c r="G237">
        <v>0.95240000000000002</v>
      </c>
      <c r="H237">
        <v>0.79579999999999995</v>
      </c>
      <c r="I237">
        <v>0.9042</v>
      </c>
      <c r="J237">
        <v>0.95030000000000003</v>
      </c>
      <c r="K237">
        <v>0.98680000000000001</v>
      </c>
      <c r="L237">
        <v>0.81630000000000003</v>
      </c>
      <c r="M237">
        <v>0.90920000000000001</v>
      </c>
      <c r="N237">
        <v>0.95540000000000003</v>
      </c>
      <c r="O237">
        <v>0.99280000000000002</v>
      </c>
      <c r="P237">
        <v>0.8155</v>
      </c>
      <c r="Q237">
        <v>0.9143</v>
      </c>
      <c r="R237" s="5">
        <v>0.95979999999999999</v>
      </c>
      <c r="S237">
        <v>0.99260000000000004</v>
      </c>
      <c r="T237">
        <v>0.81340000000000001</v>
      </c>
      <c r="U237">
        <v>0.90910000000000002</v>
      </c>
      <c r="V237">
        <v>0.95609999999999995</v>
      </c>
      <c r="W237">
        <v>0.99270000000000003</v>
      </c>
      <c r="X237">
        <v>0.79549999999999998</v>
      </c>
      <c r="Y237">
        <v>0.89749999999999996</v>
      </c>
      <c r="Z237">
        <v>0.9476</v>
      </c>
      <c r="AA237">
        <v>0.98570000000000002</v>
      </c>
      <c r="AB237">
        <v>0.78420000000000001</v>
      </c>
      <c r="AC237">
        <v>0.86939999999999995</v>
      </c>
      <c r="AD237">
        <v>0.91049999999999998</v>
      </c>
      <c r="AE237">
        <v>0.95140000000000002</v>
      </c>
    </row>
    <row r="238" spans="1:31" ht="15" thickTop="1" x14ac:dyDescent="0.3">
      <c r="A238" s="1" t="s">
        <v>56</v>
      </c>
      <c r="B238" s="1">
        <v>20</v>
      </c>
      <c r="C238" s="1" t="s">
        <v>48</v>
      </c>
      <c r="D238" s="1">
        <v>0.3624</v>
      </c>
      <c r="E238" s="1">
        <v>0.51780000000000004</v>
      </c>
      <c r="F238" s="1">
        <v>0.65959999999999996</v>
      </c>
      <c r="G238" s="1">
        <v>0.89259999999999995</v>
      </c>
      <c r="H238" s="1">
        <v>0.66639999999999999</v>
      </c>
      <c r="I238" s="1">
        <v>0.80469999999999997</v>
      </c>
      <c r="J238" s="1">
        <v>0.88749999999999996</v>
      </c>
      <c r="K238" s="1">
        <v>0.97799999999999998</v>
      </c>
      <c r="L238" s="1">
        <v>0.82179999999999997</v>
      </c>
      <c r="M238" s="1">
        <v>0.91669999999999996</v>
      </c>
      <c r="N238" s="1">
        <v>0.96250000000000002</v>
      </c>
      <c r="O238" s="1">
        <v>0.99119999999999997</v>
      </c>
      <c r="P238" s="1">
        <v>0.82040000000000002</v>
      </c>
      <c r="Q238" s="1">
        <v>0.91110000000000002</v>
      </c>
      <c r="R238" s="6">
        <v>0.96199999999999997</v>
      </c>
      <c r="S238" s="1">
        <v>0.99319999999999997</v>
      </c>
      <c r="T238" s="1">
        <v>0.8145</v>
      </c>
      <c r="U238" s="1">
        <v>0.91410000000000002</v>
      </c>
      <c r="V238" s="1">
        <v>0.95950000000000002</v>
      </c>
      <c r="W238" s="1">
        <v>0.99009999999999998</v>
      </c>
      <c r="X238" s="1">
        <v>0.78290000000000004</v>
      </c>
      <c r="Y238" s="1">
        <v>0.85409999999999997</v>
      </c>
      <c r="Z238" s="1">
        <v>0.89190000000000003</v>
      </c>
      <c r="AA238" s="1">
        <v>0.92490000000000006</v>
      </c>
      <c r="AB238" s="1">
        <v>0.62890000000000001</v>
      </c>
      <c r="AC238" s="1">
        <v>0.70240000000000002</v>
      </c>
      <c r="AD238" s="1">
        <v>0.74099999999999999</v>
      </c>
      <c r="AE238" s="1">
        <v>0.77639999999999998</v>
      </c>
    </row>
    <row r="239" spans="1:31" x14ac:dyDescent="0.3">
      <c r="A239" t="s">
        <v>56</v>
      </c>
      <c r="B239">
        <v>30</v>
      </c>
      <c r="C239" t="s">
        <v>48</v>
      </c>
      <c r="D239">
        <v>0.29920000000000002</v>
      </c>
      <c r="E239">
        <v>0.43359999999999999</v>
      </c>
      <c r="F239">
        <v>0.56220000000000003</v>
      </c>
      <c r="G239">
        <v>0.80559999999999998</v>
      </c>
      <c r="H239">
        <v>0.64139999999999997</v>
      </c>
      <c r="I239">
        <v>0.77549999999999997</v>
      </c>
      <c r="J239">
        <v>0.86609999999999998</v>
      </c>
      <c r="K239">
        <v>0.96209999999999996</v>
      </c>
      <c r="L239">
        <v>0.82340000000000002</v>
      </c>
      <c r="M239">
        <v>0.91849999999999998</v>
      </c>
      <c r="N239">
        <v>0.95889999999999997</v>
      </c>
      <c r="O239">
        <v>0.99470000000000003</v>
      </c>
      <c r="P239">
        <v>0.81159999999999999</v>
      </c>
      <c r="Q239">
        <v>0.90710000000000002</v>
      </c>
      <c r="R239" s="5">
        <v>0.95579999999999998</v>
      </c>
      <c r="S239">
        <v>0.99280000000000002</v>
      </c>
      <c r="T239">
        <v>0.81669999999999998</v>
      </c>
      <c r="U239">
        <v>0.91359999999999997</v>
      </c>
      <c r="V239">
        <v>0.9577</v>
      </c>
      <c r="W239">
        <v>0.99199999999999999</v>
      </c>
      <c r="X239">
        <v>0.81879999999999997</v>
      </c>
      <c r="Y239">
        <v>0.89949999999999997</v>
      </c>
      <c r="Z239">
        <v>0.93210000000000004</v>
      </c>
      <c r="AA239">
        <v>0.96379999999999999</v>
      </c>
      <c r="AB239">
        <v>0.72140000000000004</v>
      </c>
      <c r="AC239">
        <v>0.79269999999999996</v>
      </c>
      <c r="AD239">
        <v>0.82720000000000005</v>
      </c>
      <c r="AE239">
        <v>0.8639</v>
      </c>
    </row>
    <row r="240" spans="1:31" x14ac:dyDescent="0.3">
      <c r="A240" t="s">
        <v>56</v>
      </c>
      <c r="B240">
        <v>50</v>
      </c>
      <c r="C240" t="s">
        <v>48</v>
      </c>
      <c r="D240">
        <v>0.22239999999999999</v>
      </c>
      <c r="E240">
        <v>0.3402</v>
      </c>
      <c r="F240">
        <v>0.45369999999999999</v>
      </c>
      <c r="G240">
        <v>0.69330000000000003</v>
      </c>
      <c r="H240">
        <v>0.61270000000000002</v>
      </c>
      <c r="I240">
        <v>0.75160000000000005</v>
      </c>
      <c r="J240">
        <v>0.84209999999999996</v>
      </c>
      <c r="K240">
        <v>0.95350000000000001</v>
      </c>
      <c r="L240">
        <v>0.8105</v>
      </c>
      <c r="M240">
        <v>0.90849999999999997</v>
      </c>
      <c r="N240">
        <v>0.95799999999999996</v>
      </c>
      <c r="O240">
        <v>0.99229999999999996</v>
      </c>
      <c r="P240">
        <v>0.81469999999999998</v>
      </c>
      <c r="Q240">
        <v>0.90780000000000005</v>
      </c>
      <c r="R240" s="5">
        <v>0.95530000000000004</v>
      </c>
      <c r="S240">
        <v>0.99250000000000005</v>
      </c>
      <c r="T240">
        <v>0.80500000000000005</v>
      </c>
      <c r="U240">
        <v>0.9022</v>
      </c>
      <c r="V240">
        <v>0.95250000000000001</v>
      </c>
      <c r="W240">
        <v>0.98950000000000005</v>
      </c>
      <c r="X240">
        <v>0.80149999999999999</v>
      </c>
      <c r="Y240">
        <v>0.90329999999999999</v>
      </c>
      <c r="Z240">
        <v>0.95299999999999996</v>
      </c>
      <c r="AA240">
        <v>0.98909999999999998</v>
      </c>
      <c r="AB240">
        <v>0.80149999999999999</v>
      </c>
      <c r="AC240">
        <v>0.87160000000000004</v>
      </c>
      <c r="AD240">
        <v>0.90490000000000004</v>
      </c>
      <c r="AE240">
        <v>0.94110000000000005</v>
      </c>
    </row>
    <row r="241" spans="1:31" x14ac:dyDescent="0.3">
      <c r="A241" t="s">
        <v>57</v>
      </c>
      <c r="B241">
        <v>20</v>
      </c>
      <c r="C241" t="s">
        <v>48</v>
      </c>
      <c r="D241" s="3">
        <v>9.9999999999989E-5</v>
      </c>
      <c r="E241">
        <v>1.99999999999978E-4</v>
      </c>
      <c r="F241">
        <v>6.0000000000004505E-4</v>
      </c>
      <c r="G241">
        <v>5.6000000000000503E-3</v>
      </c>
      <c r="H241">
        <v>5.80000000000003E-3</v>
      </c>
      <c r="I241">
        <v>1.9800000000000002E-2</v>
      </c>
      <c r="J241">
        <v>4.2099999999999999E-2</v>
      </c>
      <c r="K241">
        <v>0.1729</v>
      </c>
      <c r="L241">
        <v>0.59699999999999998</v>
      </c>
      <c r="M241">
        <v>0.74570000000000003</v>
      </c>
      <c r="N241">
        <v>0.84130000000000005</v>
      </c>
      <c r="O241">
        <v>0.95489999999999997</v>
      </c>
      <c r="P241">
        <v>0.64470000000000005</v>
      </c>
      <c r="Q241">
        <v>0.78669999999999995</v>
      </c>
      <c r="R241" s="5">
        <v>0.87480000000000002</v>
      </c>
      <c r="S241">
        <v>0.96899999999999997</v>
      </c>
      <c r="T241">
        <v>0.53220000000000001</v>
      </c>
      <c r="U241">
        <v>0.68300000000000005</v>
      </c>
      <c r="V241">
        <v>0.79630000000000001</v>
      </c>
      <c r="W241">
        <v>0.95120000000000005</v>
      </c>
      <c r="X241">
        <v>0.66539999999999999</v>
      </c>
      <c r="Y241">
        <v>0.79810000000000003</v>
      </c>
      <c r="Z241">
        <v>0.88090000000000002</v>
      </c>
      <c r="AA241">
        <v>0.96709999999999996</v>
      </c>
      <c r="AB241">
        <v>0.66900000000000004</v>
      </c>
      <c r="AC241">
        <v>0.78779999999999994</v>
      </c>
      <c r="AD241">
        <v>0.85909999999999997</v>
      </c>
      <c r="AE241">
        <v>0.92410000000000003</v>
      </c>
    </row>
    <row r="242" spans="1:31" x14ac:dyDescent="0.3">
      <c r="A242" t="s">
        <v>57</v>
      </c>
      <c r="B242">
        <v>30</v>
      </c>
      <c r="C242" t="s">
        <v>48</v>
      </c>
      <c r="D242">
        <v>0</v>
      </c>
      <c r="E242">
        <v>0</v>
      </c>
      <c r="F242">
        <v>0</v>
      </c>
      <c r="G242">
        <v>0</v>
      </c>
      <c r="H242">
        <v>8.0000000000002302E-4</v>
      </c>
      <c r="I242">
        <v>3.6000000000000502E-3</v>
      </c>
      <c r="J242">
        <v>9.1999999999999894E-3</v>
      </c>
      <c r="K242">
        <v>4.59000000000001E-2</v>
      </c>
      <c r="L242">
        <v>0.56950000000000001</v>
      </c>
      <c r="M242">
        <v>0.71609999999999996</v>
      </c>
      <c r="N242">
        <v>0.82230000000000003</v>
      </c>
      <c r="O242">
        <v>0.94320000000000004</v>
      </c>
      <c r="P242">
        <v>0.58379999999999999</v>
      </c>
      <c r="Q242">
        <v>0.73</v>
      </c>
      <c r="R242" s="5">
        <v>0.82769999999999999</v>
      </c>
      <c r="S242">
        <v>0.94910000000000005</v>
      </c>
      <c r="T242">
        <v>0.51749999999999996</v>
      </c>
      <c r="U242">
        <v>0.66669999999999996</v>
      </c>
      <c r="V242">
        <v>0.77490000000000003</v>
      </c>
      <c r="W242">
        <v>0.92789999999999995</v>
      </c>
      <c r="X242">
        <v>0.68259999999999998</v>
      </c>
      <c r="Y242">
        <v>0.80679999999999996</v>
      </c>
      <c r="Z242">
        <v>0.88619999999999999</v>
      </c>
      <c r="AA242">
        <v>0.9698</v>
      </c>
      <c r="AB242">
        <v>0.68659999999999999</v>
      </c>
      <c r="AC242">
        <v>0.8024</v>
      </c>
      <c r="AD242">
        <v>0.87139999999999995</v>
      </c>
      <c r="AE242">
        <v>0.94410000000000005</v>
      </c>
    </row>
    <row r="243" spans="1:31" x14ac:dyDescent="0.3">
      <c r="A243" t="s">
        <v>57</v>
      </c>
      <c r="B243">
        <v>50</v>
      </c>
      <c r="C243" t="s">
        <v>48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1.99999999999978E-4</v>
      </c>
      <c r="J243">
        <v>8.0000000000002302E-4</v>
      </c>
      <c r="K243">
        <v>6.6000000000000503E-3</v>
      </c>
      <c r="L243">
        <v>0.54969999999999997</v>
      </c>
      <c r="M243">
        <v>0.69620000000000004</v>
      </c>
      <c r="N243">
        <v>0.80379999999999996</v>
      </c>
      <c r="O243">
        <v>0.93659999999999999</v>
      </c>
      <c r="P243">
        <v>0.50119999999999998</v>
      </c>
      <c r="Q243">
        <v>0.65390000000000004</v>
      </c>
      <c r="R243" s="5">
        <v>0.76539999999999997</v>
      </c>
      <c r="S243">
        <v>0.91479999999999995</v>
      </c>
      <c r="T243">
        <v>0.47470000000000001</v>
      </c>
      <c r="U243">
        <v>0.62119999999999997</v>
      </c>
      <c r="V243">
        <v>0.7359</v>
      </c>
      <c r="W243">
        <v>0.9002</v>
      </c>
      <c r="X243">
        <v>0.67779999999999996</v>
      </c>
      <c r="Y243">
        <v>0.80649999999999999</v>
      </c>
      <c r="Z243">
        <v>0.88419999999999999</v>
      </c>
      <c r="AA243">
        <v>0.96509999999999996</v>
      </c>
      <c r="AB243">
        <v>0.73540000000000005</v>
      </c>
      <c r="AC243">
        <v>0.8417</v>
      </c>
      <c r="AD243">
        <v>0.90529999999999999</v>
      </c>
      <c r="AE243">
        <v>0.96599999999999997</v>
      </c>
    </row>
    <row r="244" spans="1:31" x14ac:dyDescent="0.3">
      <c r="A244" t="s">
        <v>31</v>
      </c>
      <c r="B244">
        <v>20</v>
      </c>
      <c r="C244" t="s">
        <v>48</v>
      </c>
      <c r="D244">
        <v>0.35949999999999999</v>
      </c>
      <c r="E244">
        <v>0.50580000000000003</v>
      </c>
      <c r="F244">
        <v>0.64729999999999999</v>
      </c>
      <c r="G244">
        <v>0.89859999999999995</v>
      </c>
      <c r="H244">
        <v>0.46279999999999999</v>
      </c>
      <c r="I244">
        <v>0.62329999999999997</v>
      </c>
      <c r="J244">
        <v>0.74739999999999995</v>
      </c>
      <c r="K244">
        <v>0.93420000000000003</v>
      </c>
      <c r="L244">
        <v>0.69040000000000001</v>
      </c>
      <c r="M244">
        <v>0.81759999999999999</v>
      </c>
      <c r="N244">
        <v>0.89649999999999996</v>
      </c>
      <c r="O244">
        <v>0.97870000000000001</v>
      </c>
      <c r="P244">
        <v>0.82950000000000002</v>
      </c>
      <c r="Q244">
        <v>0.92210000000000003</v>
      </c>
      <c r="R244" s="5">
        <v>0.96709999999999996</v>
      </c>
      <c r="S244">
        <v>0.99329999999999996</v>
      </c>
      <c r="T244">
        <v>0.70020000000000004</v>
      </c>
      <c r="U244">
        <v>0.83009999999999995</v>
      </c>
      <c r="V244">
        <v>0.90429999999999999</v>
      </c>
      <c r="W244">
        <v>0.98119999999999996</v>
      </c>
      <c r="X244">
        <v>0.4718</v>
      </c>
      <c r="Y244">
        <v>0.62849999999999995</v>
      </c>
      <c r="Z244">
        <v>0.75660000000000005</v>
      </c>
      <c r="AA244">
        <v>0.93369999999999997</v>
      </c>
      <c r="AB244">
        <v>0.34489999999999998</v>
      </c>
      <c r="AC244">
        <v>0.50539999999999996</v>
      </c>
      <c r="AD244">
        <v>0.65239999999999998</v>
      </c>
      <c r="AE244">
        <v>0.9002</v>
      </c>
    </row>
    <row r="245" spans="1:31" x14ac:dyDescent="0.3">
      <c r="A245" t="s">
        <v>31</v>
      </c>
      <c r="B245">
        <v>30</v>
      </c>
      <c r="C245" t="s">
        <v>48</v>
      </c>
      <c r="D245">
        <v>0.32619999999999999</v>
      </c>
      <c r="E245">
        <v>0.4753</v>
      </c>
      <c r="F245">
        <v>0.60509999999999997</v>
      </c>
      <c r="G245">
        <v>0.83199999999999996</v>
      </c>
      <c r="H245">
        <v>0.43280000000000002</v>
      </c>
      <c r="I245">
        <v>0.58479999999999999</v>
      </c>
      <c r="J245">
        <v>0.70920000000000005</v>
      </c>
      <c r="K245">
        <v>0.89670000000000005</v>
      </c>
      <c r="L245">
        <v>0.67989999999999995</v>
      </c>
      <c r="M245">
        <v>0.80889999999999995</v>
      </c>
      <c r="N245">
        <v>0.88870000000000005</v>
      </c>
      <c r="O245">
        <v>0.97219999999999995</v>
      </c>
      <c r="P245">
        <v>0.81859999999999999</v>
      </c>
      <c r="Q245">
        <v>0.91520000000000001</v>
      </c>
      <c r="R245" s="5">
        <v>0.96130000000000004</v>
      </c>
      <c r="S245">
        <v>0.99329999999999996</v>
      </c>
      <c r="T245">
        <v>0.66959999999999997</v>
      </c>
      <c r="U245">
        <v>0.80189999999999995</v>
      </c>
      <c r="V245">
        <v>0.88449999999999995</v>
      </c>
      <c r="W245">
        <v>0.96950000000000003</v>
      </c>
      <c r="X245">
        <v>0.43280000000000002</v>
      </c>
      <c r="Y245">
        <v>0.58140000000000003</v>
      </c>
      <c r="Z245">
        <v>0.70989999999999998</v>
      </c>
      <c r="AA245">
        <v>0.89159999999999995</v>
      </c>
      <c r="AB245">
        <v>0.3352</v>
      </c>
      <c r="AC245">
        <v>0.46920000000000001</v>
      </c>
      <c r="AD245">
        <v>0.60229999999999995</v>
      </c>
      <c r="AE245">
        <v>0.8327</v>
      </c>
    </row>
    <row r="246" spans="1:31" ht="15" thickBot="1" x14ac:dyDescent="0.35">
      <c r="A246" t="s">
        <v>31</v>
      </c>
      <c r="B246">
        <v>50</v>
      </c>
      <c r="C246" t="s">
        <v>48</v>
      </c>
      <c r="D246">
        <v>0.31509999999999999</v>
      </c>
      <c r="E246">
        <v>0.44490000000000002</v>
      </c>
      <c r="F246">
        <v>0.57150000000000001</v>
      </c>
      <c r="G246">
        <v>0.78459999999999996</v>
      </c>
      <c r="H246">
        <v>0.40239999999999998</v>
      </c>
      <c r="I246">
        <v>0.54259999999999997</v>
      </c>
      <c r="J246">
        <v>0.66879999999999995</v>
      </c>
      <c r="K246">
        <v>0.86040000000000005</v>
      </c>
      <c r="L246">
        <v>0.63949999999999996</v>
      </c>
      <c r="M246">
        <v>0.77680000000000005</v>
      </c>
      <c r="N246">
        <v>0.86380000000000001</v>
      </c>
      <c r="O246">
        <v>0.95750000000000002</v>
      </c>
      <c r="P246">
        <v>0.81340000000000001</v>
      </c>
      <c r="Q246">
        <v>0.91210000000000002</v>
      </c>
      <c r="R246" s="5">
        <v>0.95740000000000003</v>
      </c>
      <c r="S246">
        <v>0.99280000000000002</v>
      </c>
      <c r="T246">
        <v>0.64680000000000004</v>
      </c>
      <c r="U246">
        <v>0.77839999999999998</v>
      </c>
      <c r="V246">
        <v>0.86429999999999996</v>
      </c>
      <c r="W246">
        <v>0.96189999999999998</v>
      </c>
      <c r="X246">
        <v>0.40500000000000003</v>
      </c>
      <c r="Y246">
        <v>0.55249999999999999</v>
      </c>
      <c r="Z246">
        <v>0.6714</v>
      </c>
      <c r="AA246">
        <v>0.85629999999999995</v>
      </c>
      <c r="AB246">
        <v>0.30420000000000003</v>
      </c>
      <c r="AC246">
        <v>0.435</v>
      </c>
      <c r="AD246">
        <v>0.56299999999999994</v>
      </c>
      <c r="AE246">
        <v>0.78120000000000001</v>
      </c>
    </row>
    <row r="247" spans="1:31" ht="15" thickTop="1" x14ac:dyDescent="0.3">
      <c r="A247" s="1" t="s">
        <v>56</v>
      </c>
      <c r="B247" s="1">
        <v>20</v>
      </c>
      <c r="C247" s="1" t="s">
        <v>76</v>
      </c>
      <c r="D247" s="1">
        <v>0.67679999999999996</v>
      </c>
      <c r="E247" s="1">
        <v>0.74550000000000005</v>
      </c>
      <c r="F247" s="1">
        <v>0.78220000000000001</v>
      </c>
      <c r="G247" s="1">
        <v>0.81989999999999996</v>
      </c>
      <c r="H247" s="1">
        <v>0.78839999999999999</v>
      </c>
      <c r="I247" s="1">
        <v>0.85060000000000002</v>
      </c>
      <c r="J247" s="1">
        <v>0.88200000000000001</v>
      </c>
      <c r="K247" s="1">
        <v>0.91379999999999995</v>
      </c>
      <c r="L247" s="1">
        <v>0.82420000000000004</v>
      </c>
      <c r="M247" s="1">
        <v>0.92330000000000001</v>
      </c>
      <c r="N247" s="1">
        <v>0.96160000000000001</v>
      </c>
      <c r="O247" s="1">
        <v>0.99339999999999995</v>
      </c>
      <c r="P247" s="1">
        <v>0.84199999999999997</v>
      </c>
      <c r="Q247" s="1">
        <v>0.91700000000000004</v>
      </c>
      <c r="R247" s="6">
        <v>0.9617</v>
      </c>
      <c r="S247" s="1">
        <v>0.99590000000000001</v>
      </c>
      <c r="T247" s="1">
        <v>0.815950305580603</v>
      </c>
      <c r="U247" s="1">
        <v>0.92646027452159097</v>
      </c>
      <c r="V247" s="1">
        <v>0.95912233243162004</v>
      </c>
      <c r="W247" s="1">
        <v>0.99368800721370598</v>
      </c>
      <c r="X247" s="1">
        <v>0.81444455778843206</v>
      </c>
      <c r="Y247" s="1">
        <v>0.84127307966948905</v>
      </c>
      <c r="Z247" s="1">
        <v>0.86840763031724999</v>
      </c>
      <c r="AA247" s="1">
        <v>0.88462715495256505</v>
      </c>
      <c r="AB247" s="1">
        <v>0.51593671176335698</v>
      </c>
      <c r="AC247" s="1">
        <v>0.586677367576244</v>
      </c>
      <c r="AD247" s="1">
        <v>0.59963311167163502</v>
      </c>
      <c r="AE247" s="1">
        <v>0.62061453795001098</v>
      </c>
    </row>
    <row r="248" spans="1:31" x14ac:dyDescent="0.3">
      <c r="A248" t="s">
        <v>56</v>
      </c>
      <c r="B248">
        <v>30</v>
      </c>
      <c r="C248" t="s">
        <v>76</v>
      </c>
      <c r="D248">
        <v>0.73240000000000005</v>
      </c>
      <c r="E248">
        <v>0.80530000000000002</v>
      </c>
      <c r="F248">
        <v>0.84060000000000001</v>
      </c>
      <c r="G248">
        <v>0.87639999999999996</v>
      </c>
      <c r="H248">
        <v>0.79810000000000003</v>
      </c>
      <c r="I248">
        <v>0.89549999999999996</v>
      </c>
      <c r="J248">
        <v>0.93140000000000001</v>
      </c>
      <c r="K248">
        <v>0.95779999999999998</v>
      </c>
      <c r="L248">
        <v>0.82350000000000001</v>
      </c>
      <c r="M248">
        <v>0.91749999999999998</v>
      </c>
      <c r="N248">
        <v>0.96120000000000005</v>
      </c>
      <c r="O248">
        <v>0.99470000000000003</v>
      </c>
      <c r="P248">
        <v>0.81689999999999996</v>
      </c>
      <c r="Q248">
        <v>0.91069999999999995</v>
      </c>
      <c r="R248" s="5">
        <v>0.95860000000000001</v>
      </c>
      <c r="S248">
        <v>0.99480000000000002</v>
      </c>
      <c r="T248">
        <v>0.81110000000000004</v>
      </c>
      <c r="U248">
        <v>0.91679999999999995</v>
      </c>
      <c r="V248">
        <v>0.95599999999999996</v>
      </c>
      <c r="W248">
        <v>0.99429999999999996</v>
      </c>
      <c r="X248">
        <v>0.77007410415186295</v>
      </c>
      <c r="Y248">
        <v>0.92244442188610298</v>
      </c>
      <c r="Z248">
        <v>0.94274692924576198</v>
      </c>
      <c r="AA248">
        <v>0.954928433661557</v>
      </c>
      <c r="AB248">
        <v>0.72309999999999997</v>
      </c>
      <c r="AC248">
        <v>0.77170000000000005</v>
      </c>
      <c r="AD248">
        <v>0.78039999999999998</v>
      </c>
      <c r="AE248">
        <v>0.79669999999999996</v>
      </c>
    </row>
    <row r="249" spans="1:31" x14ac:dyDescent="0.3">
      <c r="A249" t="s">
        <v>56</v>
      </c>
      <c r="B249">
        <v>50</v>
      </c>
      <c r="C249" t="s">
        <v>76</v>
      </c>
      <c r="D249">
        <v>0.8</v>
      </c>
      <c r="E249">
        <v>0.87239999999999995</v>
      </c>
      <c r="F249">
        <v>0.90769999999999995</v>
      </c>
      <c r="G249">
        <v>0.9385</v>
      </c>
      <c r="H249">
        <v>0.81089999999999995</v>
      </c>
      <c r="I249">
        <v>0.91279999999999994</v>
      </c>
      <c r="J249">
        <v>0.95220000000000005</v>
      </c>
      <c r="K249">
        <v>0.98980000000000001</v>
      </c>
      <c r="L249">
        <v>0.81310000000000004</v>
      </c>
      <c r="M249">
        <v>0.91210000000000002</v>
      </c>
      <c r="N249">
        <v>0.96009999999999995</v>
      </c>
      <c r="O249">
        <v>0.99219999999999997</v>
      </c>
      <c r="P249">
        <v>0.82509999999999994</v>
      </c>
      <c r="Q249">
        <v>0.91869999999999996</v>
      </c>
      <c r="R249" s="5">
        <v>0.96299999999999997</v>
      </c>
      <c r="S249">
        <v>0.99270000000000003</v>
      </c>
      <c r="T249">
        <v>0.80920000000000003</v>
      </c>
      <c r="U249">
        <v>0.90549999999999997</v>
      </c>
      <c r="V249">
        <v>0.95650000000000002</v>
      </c>
      <c r="W249">
        <v>0.99009999999999998</v>
      </c>
      <c r="X249">
        <v>0.81863140896245501</v>
      </c>
      <c r="Y249">
        <v>0.92753330641905496</v>
      </c>
      <c r="Z249">
        <v>0.94489301574485296</v>
      </c>
      <c r="AA249">
        <v>0.99152200242228505</v>
      </c>
      <c r="AB249">
        <v>0.8196</v>
      </c>
      <c r="AC249">
        <v>0.88280000000000003</v>
      </c>
      <c r="AD249">
        <v>0.90910000000000002</v>
      </c>
      <c r="AE249">
        <v>0.92179999999999995</v>
      </c>
    </row>
    <row r="250" spans="1:31" x14ac:dyDescent="0.3">
      <c r="A250" t="s">
        <v>57</v>
      </c>
      <c r="B250">
        <v>20</v>
      </c>
      <c r="C250" t="s">
        <v>76</v>
      </c>
      <c r="D250">
        <v>0.6129</v>
      </c>
      <c r="E250">
        <v>0.753</v>
      </c>
      <c r="F250">
        <v>0.8548</v>
      </c>
      <c r="G250">
        <v>0.96840000000000004</v>
      </c>
      <c r="H250">
        <v>0.79510000000000003</v>
      </c>
      <c r="I250">
        <v>0.88719999999999999</v>
      </c>
      <c r="J250">
        <v>0.93489999999999995</v>
      </c>
      <c r="K250">
        <v>0.97819999999999996</v>
      </c>
      <c r="L250">
        <v>0.81679999999999997</v>
      </c>
      <c r="M250">
        <v>0.91249999999999998</v>
      </c>
      <c r="N250">
        <v>0.95620000000000005</v>
      </c>
      <c r="O250">
        <v>0.99029999999999996</v>
      </c>
      <c r="P250">
        <v>0.82140000000000002</v>
      </c>
      <c r="Q250">
        <v>0.9133</v>
      </c>
      <c r="R250" s="5">
        <v>0.95850000000000002</v>
      </c>
      <c r="S250">
        <v>0.99339999999999995</v>
      </c>
      <c r="T250">
        <v>0.8206</v>
      </c>
      <c r="U250">
        <v>0.92359999999999998</v>
      </c>
      <c r="V250">
        <v>0.96</v>
      </c>
      <c r="W250">
        <v>0.99360000000000004</v>
      </c>
      <c r="X250">
        <v>0.79709564346519801</v>
      </c>
      <c r="Y250">
        <v>0.841962944416625</v>
      </c>
      <c r="Z250">
        <v>0.87310966449674499</v>
      </c>
      <c r="AA250">
        <v>0.89444166249374102</v>
      </c>
      <c r="AB250">
        <v>0.58758451137062095</v>
      </c>
      <c r="AC250">
        <v>0.65119852489244001</v>
      </c>
      <c r="AD250">
        <v>0.66963736939151797</v>
      </c>
      <c r="AE250">
        <v>0.69176398279041196</v>
      </c>
    </row>
    <row r="251" spans="1:31" x14ac:dyDescent="0.3">
      <c r="A251" t="s">
        <v>57</v>
      </c>
      <c r="B251">
        <v>30</v>
      </c>
      <c r="C251" t="s">
        <v>76</v>
      </c>
      <c r="D251">
        <v>0.69089999999999996</v>
      </c>
      <c r="E251">
        <v>0.81459999999999999</v>
      </c>
      <c r="F251">
        <v>0.88929999999999998</v>
      </c>
      <c r="G251">
        <v>0.96830000000000005</v>
      </c>
      <c r="H251">
        <v>0.80600000000000005</v>
      </c>
      <c r="I251">
        <v>0.90159999999999996</v>
      </c>
      <c r="J251">
        <v>0.94930000000000003</v>
      </c>
      <c r="K251">
        <v>0.98329999999999995</v>
      </c>
      <c r="L251">
        <v>0.81820000000000004</v>
      </c>
      <c r="M251">
        <v>0.90859999999999996</v>
      </c>
      <c r="N251">
        <v>0.9556</v>
      </c>
      <c r="O251">
        <v>0.99160000000000004</v>
      </c>
      <c r="P251">
        <v>0.82110000000000005</v>
      </c>
      <c r="Q251">
        <v>0.91500000000000004</v>
      </c>
      <c r="R251" s="5">
        <v>0.96109999999999995</v>
      </c>
      <c r="S251">
        <v>0.99350000000000005</v>
      </c>
      <c r="T251">
        <v>0.82110000000000005</v>
      </c>
      <c r="U251">
        <v>0.9173</v>
      </c>
      <c r="V251">
        <v>0.96120000000000005</v>
      </c>
      <c r="W251">
        <v>0.99390000000000001</v>
      </c>
      <c r="X251">
        <v>0.78625112736747205</v>
      </c>
      <c r="Y251">
        <v>0.91011123359054003</v>
      </c>
      <c r="Z251">
        <v>0.93706784246918495</v>
      </c>
      <c r="AA251">
        <v>0.956508668203227</v>
      </c>
      <c r="AB251">
        <v>0.71279999999999999</v>
      </c>
      <c r="AC251">
        <v>0.76780000000000004</v>
      </c>
      <c r="AD251">
        <v>0.78380000000000005</v>
      </c>
      <c r="AE251">
        <v>0.80779999999999996</v>
      </c>
    </row>
    <row r="252" spans="1:31" x14ac:dyDescent="0.3">
      <c r="A252" t="s">
        <v>57</v>
      </c>
      <c r="B252">
        <v>50</v>
      </c>
      <c r="C252" t="s">
        <v>76</v>
      </c>
      <c r="D252">
        <v>0.75380000000000003</v>
      </c>
      <c r="E252">
        <v>0.86119999999999997</v>
      </c>
      <c r="F252">
        <v>0.92159999999999997</v>
      </c>
      <c r="G252">
        <v>0.97650000000000003</v>
      </c>
      <c r="H252">
        <v>0.81030000000000002</v>
      </c>
      <c r="I252">
        <v>0.90880000000000005</v>
      </c>
      <c r="J252">
        <v>0.95479999999999998</v>
      </c>
      <c r="K252">
        <v>0.98909999999999998</v>
      </c>
      <c r="L252">
        <v>0.81399999999999995</v>
      </c>
      <c r="M252">
        <v>0.91159999999999997</v>
      </c>
      <c r="N252">
        <v>0.95760000000000001</v>
      </c>
      <c r="O252">
        <v>0.99260000000000004</v>
      </c>
      <c r="P252">
        <v>0.81569999999999998</v>
      </c>
      <c r="Q252">
        <v>0.91149999999999998</v>
      </c>
      <c r="R252" s="5">
        <v>0.95789999999999997</v>
      </c>
      <c r="S252">
        <v>0.9919</v>
      </c>
      <c r="T252">
        <v>0.81010000000000004</v>
      </c>
      <c r="U252">
        <v>0.91020000000000001</v>
      </c>
      <c r="V252">
        <v>0.95879999999999999</v>
      </c>
      <c r="W252">
        <v>0.99260000000000004</v>
      </c>
      <c r="X252">
        <v>0.80028030833917296</v>
      </c>
      <c r="Y252">
        <v>0.91760937030733802</v>
      </c>
      <c r="Z252">
        <v>0.94554009410351403</v>
      </c>
      <c r="AA252">
        <v>0.98918810691760894</v>
      </c>
      <c r="AB252">
        <v>0.82299999999999995</v>
      </c>
      <c r="AC252">
        <v>0.88519999999999999</v>
      </c>
      <c r="AD252">
        <v>0.9103</v>
      </c>
      <c r="AE252">
        <v>0.92720000000000002</v>
      </c>
    </row>
    <row r="253" spans="1:31" x14ac:dyDescent="0.3">
      <c r="A253" t="s">
        <v>31</v>
      </c>
      <c r="B253">
        <v>20</v>
      </c>
      <c r="C253" t="s">
        <v>76</v>
      </c>
      <c r="D253">
        <v>0.62847708625175103</v>
      </c>
      <c r="E253">
        <v>0.69651791074644798</v>
      </c>
      <c r="F253">
        <v>0.72783670202121298</v>
      </c>
      <c r="G253">
        <v>0.75905543325995595</v>
      </c>
      <c r="H253">
        <v>0.78879999999999995</v>
      </c>
      <c r="I253">
        <v>0.85050000000000003</v>
      </c>
      <c r="J253">
        <v>0.88270000000000004</v>
      </c>
      <c r="K253">
        <v>0.91249999999999998</v>
      </c>
      <c r="L253">
        <v>0.8165</v>
      </c>
      <c r="M253">
        <v>0.9173</v>
      </c>
      <c r="N253">
        <v>0.96009999999999995</v>
      </c>
      <c r="O253">
        <v>0.99160000000000004</v>
      </c>
      <c r="P253">
        <v>0.83879999999999999</v>
      </c>
      <c r="Q253">
        <v>0.92800000000000005</v>
      </c>
      <c r="R253" s="5">
        <v>0.96809999999999996</v>
      </c>
      <c r="S253">
        <v>0.996</v>
      </c>
      <c r="T253">
        <v>0.8347</v>
      </c>
      <c r="U253">
        <v>0.92810000000000004</v>
      </c>
      <c r="V253">
        <v>0.96589999999999998</v>
      </c>
      <c r="W253">
        <v>0.99160000000000004</v>
      </c>
      <c r="X253">
        <v>0.78859999999999997</v>
      </c>
      <c r="Y253">
        <v>0.84760000000000002</v>
      </c>
      <c r="Z253">
        <v>0.87990000000000002</v>
      </c>
      <c r="AA253">
        <v>0.9113</v>
      </c>
      <c r="AB253">
        <v>0.621997598078463</v>
      </c>
      <c r="AC253">
        <v>0.69005204163330702</v>
      </c>
      <c r="AD253">
        <v>0.71927542033626901</v>
      </c>
      <c r="AE253">
        <v>0.752502001601281</v>
      </c>
    </row>
    <row r="254" spans="1:31" x14ac:dyDescent="0.3">
      <c r="A254" t="s">
        <v>31</v>
      </c>
      <c r="B254">
        <v>30</v>
      </c>
      <c r="C254" t="s">
        <v>76</v>
      </c>
      <c r="D254">
        <v>0.71950000000000003</v>
      </c>
      <c r="E254">
        <v>0.78569999999999995</v>
      </c>
      <c r="F254">
        <v>0.8135</v>
      </c>
      <c r="G254">
        <v>0.84460000000000002</v>
      </c>
      <c r="H254">
        <v>0.80400000000000005</v>
      </c>
      <c r="I254">
        <v>0.90339999999999998</v>
      </c>
      <c r="J254">
        <v>0.93179999999999996</v>
      </c>
      <c r="K254">
        <v>0.95750000000000002</v>
      </c>
      <c r="L254">
        <v>0.82240000000000002</v>
      </c>
      <c r="M254">
        <v>0.91659999999999997</v>
      </c>
      <c r="N254">
        <v>0.96350000000000002</v>
      </c>
      <c r="O254">
        <v>0.99360000000000004</v>
      </c>
      <c r="P254">
        <v>0.81899999999999995</v>
      </c>
      <c r="Q254">
        <v>0.91590000000000005</v>
      </c>
      <c r="R254" s="5">
        <v>0.96089999999999998</v>
      </c>
      <c r="S254">
        <v>0.99450000000000005</v>
      </c>
      <c r="T254">
        <v>0.82</v>
      </c>
      <c r="U254">
        <v>0.91349999999999998</v>
      </c>
      <c r="V254">
        <v>0.95850000000000002</v>
      </c>
      <c r="W254">
        <v>0.99409999999999998</v>
      </c>
      <c r="X254">
        <v>0.80158015801580196</v>
      </c>
      <c r="Y254">
        <v>0.90269026902690297</v>
      </c>
      <c r="Z254">
        <v>0.93419341934193401</v>
      </c>
      <c r="AA254">
        <v>0.95919591959195905</v>
      </c>
      <c r="AB254">
        <v>0.7167</v>
      </c>
      <c r="AC254">
        <v>0.77769999999999995</v>
      </c>
      <c r="AD254">
        <v>0.80620000000000003</v>
      </c>
      <c r="AE254">
        <v>0.83789999999999998</v>
      </c>
    </row>
    <row r="255" spans="1:31" ht="15" thickBot="1" x14ac:dyDescent="0.35">
      <c r="A255" t="s">
        <v>31</v>
      </c>
      <c r="B255">
        <v>50</v>
      </c>
      <c r="C255" t="s">
        <v>76</v>
      </c>
      <c r="D255">
        <v>0.81189999999999996</v>
      </c>
      <c r="E255">
        <v>0.87470000000000003</v>
      </c>
      <c r="F255">
        <v>0.90629999999999999</v>
      </c>
      <c r="G255">
        <v>0.93140000000000001</v>
      </c>
      <c r="H255">
        <v>0.80138013801380104</v>
      </c>
      <c r="I255">
        <v>0.91359135913591405</v>
      </c>
      <c r="J255">
        <v>0.95149514951495195</v>
      </c>
      <c r="K255">
        <v>0.98909890989098903</v>
      </c>
      <c r="L255">
        <v>0.81730000000000003</v>
      </c>
      <c r="M255">
        <v>0.91039999999999999</v>
      </c>
      <c r="N255">
        <v>0.95960000000000001</v>
      </c>
      <c r="O255">
        <v>0.99329999999999996</v>
      </c>
      <c r="P255">
        <v>0.81479999999999997</v>
      </c>
      <c r="Q255">
        <v>0.91359999999999997</v>
      </c>
      <c r="R255" s="5">
        <v>0.96050000000000002</v>
      </c>
      <c r="S255">
        <v>0.99350000000000005</v>
      </c>
      <c r="T255">
        <v>0.81559999999999999</v>
      </c>
      <c r="U255">
        <v>0.90959999999999996</v>
      </c>
      <c r="V255">
        <v>0.95660000000000001</v>
      </c>
      <c r="W255">
        <v>0.99329999999999996</v>
      </c>
      <c r="X255">
        <v>0.79500000000000004</v>
      </c>
      <c r="Y255">
        <v>0.90690000000000004</v>
      </c>
      <c r="Z255">
        <v>0.94730000000000003</v>
      </c>
      <c r="AA255">
        <v>0.98919999999999997</v>
      </c>
      <c r="AB255">
        <v>0.8145</v>
      </c>
      <c r="AC255">
        <v>0.87719999999999998</v>
      </c>
      <c r="AD255">
        <v>0.90590000000000004</v>
      </c>
      <c r="AE255">
        <v>0.9304</v>
      </c>
    </row>
    <row r="256" spans="1:31" ht="15" thickTop="1" x14ac:dyDescent="0.3">
      <c r="A256" s="1" t="s">
        <v>56</v>
      </c>
      <c r="B256" s="1">
        <v>20</v>
      </c>
      <c r="C256" s="1" t="s">
        <v>53</v>
      </c>
      <c r="D256" s="1">
        <v>0.1399</v>
      </c>
      <c r="E256" s="1">
        <v>0.23300000000000001</v>
      </c>
      <c r="F256" s="1">
        <v>0.35389999999999999</v>
      </c>
      <c r="G256" s="1">
        <v>0.67469999999999997</v>
      </c>
      <c r="H256" s="1">
        <v>0.46479999999999999</v>
      </c>
      <c r="I256" s="1">
        <v>0.62290000000000001</v>
      </c>
      <c r="J256" s="1">
        <v>0.75009999999999999</v>
      </c>
      <c r="K256" s="1">
        <v>0.92989999999999995</v>
      </c>
      <c r="L256" s="1">
        <v>0.8165</v>
      </c>
      <c r="M256" s="1">
        <v>0.9133</v>
      </c>
      <c r="N256" s="1">
        <v>0.95930000000000004</v>
      </c>
      <c r="O256" s="1">
        <v>0.99209999999999998</v>
      </c>
      <c r="P256" s="1">
        <v>0.80500000000000005</v>
      </c>
      <c r="Q256" s="1">
        <v>0.90300000000000002</v>
      </c>
      <c r="R256" s="6">
        <v>0.95520000000000005</v>
      </c>
      <c r="S256" s="1">
        <v>0.99219999999999997</v>
      </c>
      <c r="T256" s="1">
        <v>0.80149999999999999</v>
      </c>
      <c r="U256" s="1">
        <v>0.90500000000000003</v>
      </c>
      <c r="V256" s="1">
        <v>0.95409999999999995</v>
      </c>
      <c r="W256" s="1">
        <v>0.98909999999999998</v>
      </c>
      <c r="X256" s="1">
        <v>0.77669999999999995</v>
      </c>
      <c r="Y256" s="1">
        <v>0.85799999999999998</v>
      </c>
      <c r="Z256" s="1">
        <v>0.90290000000000004</v>
      </c>
      <c r="AA256" s="1">
        <v>0.93899999999999995</v>
      </c>
      <c r="AB256" s="1">
        <v>0.65039999999999998</v>
      </c>
      <c r="AC256" s="1">
        <v>0.73119999999999996</v>
      </c>
      <c r="AD256" s="1">
        <v>0.7752</v>
      </c>
      <c r="AE256" s="1">
        <v>0.81620000000000004</v>
      </c>
    </row>
    <row r="257" spans="1:31" x14ac:dyDescent="0.3">
      <c r="A257" t="s">
        <v>56</v>
      </c>
      <c r="B257">
        <v>30</v>
      </c>
      <c r="C257" t="s">
        <v>53</v>
      </c>
      <c r="D257">
        <v>8.2299999999999998E-2</v>
      </c>
      <c r="E257">
        <v>0.14899999999999999</v>
      </c>
      <c r="F257">
        <v>0.23369999999999999</v>
      </c>
      <c r="G257">
        <v>0.47460000000000002</v>
      </c>
      <c r="H257">
        <v>0.40989999999999999</v>
      </c>
      <c r="I257">
        <v>0.56089999999999995</v>
      </c>
      <c r="J257">
        <v>0.68930000000000002</v>
      </c>
      <c r="K257">
        <v>0.88239999999999996</v>
      </c>
      <c r="L257">
        <v>0.81620000000000004</v>
      </c>
      <c r="M257">
        <v>0.91369999999999996</v>
      </c>
      <c r="N257">
        <v>0.95720000000000005</v>
      </c>
      <c r="O257">
        <v>0.99329999999999996</v>
      </c>
      <c r="P257">
        <v>0.79379999999999995</v>
      </c>
      <c r="Q257">
        <v>0.89849999999999997</v>
      </c>
      <c r="R257" s="5">
        <v>0.95050000000000001</v>
      </c>
      <c r="S257">
        <v>0.98960000000000004</v>
      </c>
      <c r="T257">
        <v>0.80379999999999996</v>
      </c>
      <c r="U257">
        <v>0.90369999999999995</v>
      </c>
      <c r="V257">
        <v>0.95230000000000004</v>
      </c>
      <c r="W257">
        <v>0.99080000000000001</v>
      </c>
      <c r="X257">
        <v>0.80940000000000001</v>
      </c>
      <c r="Y257">
        <v>0.89259999999999995</v>
      </c>
      <c r="Z257">
        <v>0.9325</v>
      </c>
      <c r="AA257">
        <v>0.96789999999999998</v>
      </c>
      <c r="AB257">
        <v>0.72399999999999998</v>
      </c>
      <c r="AC257">
        <v>0.80610000000000004</v>
      </c>
      <c r="AD257">
        <v>0.8458</v>
      </c>
      <c r="AE257">
        <v>0.89029999999999998</v>
      </c>
    </row>
    <row r="258" spans="1:31" x14ac:dyDescent="0.3">
      <c r="A258" t="s">
        <v>56</v>
      </c>
      <c r="B258">
        <v>50</v>
      </c>
      <c r="C258" t="s">
        <v>53</v>
      </c>
      <c r="D258">
        <v>3.7400000000000003E-2</v>
      </c>
      <c r="E258">
        <v>7.5300000000000006E-2</v>
      </c>
      <c r="F258">
        <v>0.1237</v>
      </c>
      <c r="G258">
        <v>0.29349999999999998</v>
      </c>
      <c r="H258">
        <v>0.34410000000000002</v>
      </c>
      <c r="I258">
        <v>0.48530000000000001</v>
      </c>
      <c r="J258">
        <v>0.6149</v>
      </c>
      <c r="K258">
        <v>0.82599999999999996</v>
      </c>
      <c r="L258">
        <v>0.80389999999999995</v>
      </c>
      <c r="M258">
        <v>0.9083</v>
      </c>
      <c r="N258">
        <v>0.95599999999999996</v>
      </c>
      <c r="O258">
        <v>0.99170000000000003</v>
      </c>
      <c r="P258">
        <v>0.79279999999999995</v>
      </c>
      <c r="Q258">
        <v>0.89290000000000003</v>
      </c>
      <c r="R258" s="5">
        <v>0.94499999999999995</v>
      </c>
      <c r="S258">
        <v>0.98950000000000005</v>
      </c>
      <c r="T258">
        <v>0.78749999999999998</v>
      </c>
      <c r="U258">
        <v>0.89259999999999995</v>
      </c>
      <c r="V258">
        <v>0.94679999999999997</v>
      </c>
      <c r="W258">
        <v>0.98760000000000003</v>
      </c>
      <c r="X258">
        <v>0.79669999999999996</v>
      </c>
      <c r="Y258">
        <v>0.89770000000000005</v>
      </c>
      <c r="Z258">
        <v>0.95020000000000004</v>
      </c>
      <c r="AA258">
        <v>0.98799999999999999</v>
      </c>
      <c r="AB258">
        <v>0.78939999999999999</v>
      </c>
      <c r="AC258">
        <v>0.86480000000000001</v>
      </c>
      <c r="AD258">
        <v>0.91049999999999998</v>
      </c>
      <c r="AE258">
        <v>0.95</v>
      </c>
    </row>
    <row r="259" spans="1:31" x14ac:dyDescent="0.3">
      <c r="A259" t="s">
        <v>57</v>
      </c>
      <c r="B259">
        <v>20</v>
      </c>
      <c r="C259" t="s">
        <v>53</v>
      </c>
      <c r="D259">
        <v>0</v>
      </c>
      <c r="E259">
        <v>0</v>
      </c>
      <c r="F259">
        <v>0</v>
      </c>
      <c r="G259" s="3">
        <v>9.9999999999989E-5</v>
      </c>
      <c r="H259">
        <v>0</v>
      </c>
      <c r="I259">
        <v>4.9999999999994504E-4</v>
      </c>
      <c r="J259">
        <v>1.90000000000001E-3</v>
      </c>
      <c r="K259">
        <v>2.1299999999999999E-2</v>
      </c>
      <c r="L259">
        <v>0.34610000000000002</v>
      </c>
      <c r="M259">
        <v>0.49909999999999999</v>
      </c>
      <c r="N259">
        <v>0.63729999999999998</v>
      </c>
      <c r="O259">
        <v>0.86029999999999995</v>
      </c>
      <c r="P259">
        <v>0.57399999999999995</v>
      </c>
      <c r="Q259">
        <v>0.73040000000000005</v>
      </c>
      <c r="R259" s="5">
        <v>0.83169999999999999</v>
      </c>
      <c r="S259">
        <v>0.95520000000000005</v>
      </c>
      <c r="T259">
        <v>0.192</v>
      </c>
      <c r="U259">
        <v>0.30969999999999998</v>
      </c>
      <c r="V259">
        <v>0.4365</v>
      </c>
      <c r="W259">
        <v>0.73519999999999996</v>
      </c>
      <c r="X259">
        <v>0.33739999999999998</v>
      </c>
      <c r="Y259">
        <v>0.4924</v>
      </c>
      <c r="Z259">
        <v>0.63439999999999996</v>
      </c>
      <c r="AA259">
        <v>0.88239999999999996</v>
      </c>
      <c r="AB259">
        <v>0.50780000000000003</v>
      </c>
      <c r="AC259">
        <v>0.67059999999999997</v>
      </c>
      <c r="AD259">
        <v>0.79579999999999995</v>
      </c>
      <c r="AE259">
        <v>0.95720000000000005</v>
      </c>
    </row>
    <row r="260" spans="1:31" x14ac:dyDescent="0.3">
      <c r="A260" t="s">
        <v>57</v>
      </c>
      <c r="B260">
        <v>30</v>
      </c>
      <c r="C260" t="s">
        <v>53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8.0000000000002302E-4</v>
      </c>
      <c r="L260">
        <v>0.28129999999999999</v>
      </c>
      <c r="M260">
        <v>0.4229</v>
      </c>
      <c r="N260">
        <v>0.55800000000000005</v>
      </c>
      <c r="O260">
        <v>0.79930000000000001</v>
      </c>
      <c r="P260">
        <v>0.48849999999999999</v>
      </c>
      <c r="Q260">
        <v>0.64339999999999997</v>
      </c>
      <c r="R260" s="5">
        <v>0.76090000000000002</v>
      </c>
      <c r="S260">
        <v>0.91849999999999998</v>
      </c>
      <c r="T260">
        <v>0.15279999999999999</v>
      </c>
      <c r="U260">
        <v>0.26129999999999998</v>
      </c>
      <c r="V260">
        <v>0.37959999999999999</v>
      </c>
      <c r="W260">
        <v>0.64459999999999995</v>
      </c>
      <c r="X260">
        <v>0.35089999999999999</v>
      </c>
      <c r="Y260">
        <v>0.495</v>
      </c>
      <c r="Z260">
        <v>0.627</v>
      </c>
      <c r="AA260">
        <v>0.84189999999999998</v>
      </c>
      <c r="AB260">
        <v>0.53159999999999996</v>
      </c>
      <c r="AC260">
        <v>0.67610000000000003</v>
      </c>
      <c r="AD260">
        <v>0.78349999999999997</v>
      </c>
      <c r="AE260">
        <v>0.93340000000000001</v>
      </c>
    </row>
    <row r="261" spans="1:31" x14ac:dyDescent="0.3">
      <c r="A261" t="s">
        <v>57</v>
      </c>
      <c r="B261">
        <v>50</v>
      </c>
      <c r="C261" t="s">
        <v>53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0.21659999999999999</v>
      </c>
      <c r="M261">
        <v>0.34549999999999997</v>
      </c>
      <c r="N261">
        <v>0.4733</v>
      </c>
      <c r="O261">
        <v>0.72440000000000004</v>
      </c>
      <c r="P261">
        <v>0.3679</v>
      </c>
      <c r="Q261">
        <v>0.51929999999999998</v>
      </c>
      <c r="R261" s="5">
        <v>0.65059999999999996</v>
      </c>
      <c r="S261">
        <v>0.84740000000000004</v>
      </c>
      <c r="T261">
        <v>0.11849999999999999</v>
      </c>
      <c r="U261">
        <v>0.2064</v>
      </c>
      <c r="V261">
        <v>0.30299999999999999</v>
      </c>
      <c r="W261">
        <v>0.54600000000000004</v>
      </c>
      <c r="X261">
        <v>0.35809999999999997</v>
      </c>
      <c r="Y261">
        <v>0.495</v>
      </c>
      <c r="Z261">
        <v>0.61750000000000005</v>
      </c>
      <c r="AA261">
        <v>0.8236</v>
      </c>
      <c r="AB261">
        <v>0.55549999999999999</v>
      </c>
      <c r="AC261">
        <v>0.69650000000000001</v>
      </c>
      <c r="AD261">
        <v>0.79800000000000004</v>
      </c>
      <c r="AE261">
        <v>0.93159999999999998</v>
      </c>
    </row>
    <row r="262" spans="1:31" x14ac:dyDescent="0.3">
      <c r="A262" t="s">
        <v>31</v>
      </c>
      <c r="B262">
        <v>20</v>
      </c>
      <c r="C262" t="s">
        <v>53</v>
      </c>
      <c r="D262">
        <v>3.7799999999999903E-2</v>
      </c>
      <c r="E262">
        <v>8.1500000000000003E-2</v>
      </c>
      <c r="F262">
        <v>0.15240000000000001</v>
      </c>
      <c r="G262">
        <v>0.42430000000000001</v>
      </c>
      <c r="H262">
        <v>0.1226</v>
      </c>
      <c r="I262">
        <v>0.21410000000000001</v>
      </c>
      <c r="J262">
        <v>0.3327</v>
      </c>
      <c r="K262">
        <v>0.64600000000000002</v>
      </c>
      <c r="L262">
        <v>0.49409999999999998</v>
      </c>
      <c r="M262">
        <v>0.64270000000000005</v>
      </c>
      <c r="N262">
        <v>0.76639999999999997</v>
      </c>
      <c r="O262">
        <v>0.92700000000000005</v>
      </c>
      <c r="P262">
        <v>0.82689999999999997</v>
      </c>
      <c r="Q262">
        <v>0.91959999999999997</v>
      </c>
      <c r="R262" s="5">
        <v>0.96419999999999995</v>
      </c>
      <c r="S262">
        <v>0.99299999999999999</v>
      </c>
      <c r="T262">
        <v>0.48930000000000001</v>
      </c>
      <c r="U262">
        <v>0.64770000000000005</v>
      </c>
      <c r="V262">
        <v>0.77669999999999995</v>
      </c>
      <c r="W262">
        <v>0.93620000000000003</v>
      </c>
      <c r="X262">
        <v>0.12470000000000001</v>
      </c>
      <c r="Y262">
        <v>0.2225</v>
      </c>
      <c r="Z262">
        <v>0.3357</v>
      </c>
      <c r="AA262">
        <v>0.65569999999999995</v>
      </c>
      <c r="AB262">
        <v>3.9300000000000002E-2</v>
      </c>
      <c r="AC262">
        <v>8.5300000000000001E-2</v>
      </c>
      <c r="AD262">
        <v>0.14680000000000001</v>
      </c>
      <c r="AE262">
        <v>0.41980000000000001</v>
      </c>
    </row>
    <row r="263" spans="1:31" x14ac:dyDescent="0.3">
      <c r="A263" t="s">
        <v>31</v>
      </c>
      <c r="B263">
        <v>30</v>
      </c>
      <c r="C263" t="s">
        <v>53</v>
      </c>
      <c r="D263">
        <v>3.0200000000000001E-2</v>
      </c>
      <c r="E263">
        <v>5.96E-2</v>
      </c>
      <c r="F263">
        <v>0.1055</v>
      </c>
      <c r="G263">
        <v>0.28510000000000002</v>
      </c>
      <c r="H263">
        <v>9.3100000000000002E-2</v>
      </c>
      <c r="I263">
        <v>0.16739999999999999</v>
      </c>
      <c r="J263">
        <v>0.2571</v>
      </c>
      <c r="K263">
        <v>0.51670000000000005</v>
      </c>
      <c r="L263">
        <v>0.44269999999999998</v>
      </c>
      <c r="M263">
        <v>0.6038</v>
      </c>
      <c r="N263">
        <v>0.73129999999999995</v>
      </c>
      <c r="O263">
        <v>0.89849999999999997</v>
      </c>
      <c r="P263">
        <v>0.81869999999999998</v>
      </c>
      <c r="Q263">
        <v>0.91410000000000002</v>
      </c>
      <c r="R263" s="5">
        <v>0.95899999999999996</v>
      </c>
      <c r="S263">
        <v>0.99299999999999999</v>
      </c>
      <c r="T263">
        <v>0.43630000000000002</v>
      </c>
      <c r="U263">
        <v>0.59260000000000002</v>
      </c>
      <c r="V263">
        <v>0.71760000000000002</v>
      </c>
      <c r="W263">
        <v>0.89900000000000002</v>
      </c>
      <c r="X263">
        <v>9.5399999999999999E-2</v>
      </c>
      <c r="Y263">
        <v>0.17469999999999999</v>
      </c>
      <c r="Z263">
        <v>0.2661</v>
      </c>
      <c r="AA263">
        <v>0.51649999999999996</v>
      </c>
      <c r="AB263">
        <v>3.0200000000000001E-2</v>
      </c>
      <c r="AC263">
        <v>6.3700000000000007E-2</v>
      </c>
      <c r="AD263">
        <v>0.1152</v>
      </c>
      <c r="AE263">
        <v>0.28789999999999999</v>
      </c>
    </row>
    <row r="264" spans="1:31" ht="15" thickBot="1" x14ac:dyDescent="0.35">
      <c r="A264" t="s">
        <v>31</v>
      </c>
      <c r="B264">
        <v>50</v>
      </c>
      <c r="C264" t="s">
        <v>53</v>
      </c>
      <c r="D264">
        <v>2.07000000000001E-2</v>
      </c>
      <c r="E264">
        <v>4.5999999999999999E-2</v>
      </c>
      <c r="F264">
        <v>8.0699999999999994E-2</v>
      </c>
      <c r="G264">
        <v>0.21590000000000001</v>
      </c>
      <c r="H264">
        <v>7.1400000000000005E-2</v>
      </c>
      <c r="I264">
        <v>0.13239999999999999</v>
      </c>
      <c r="J264">
        <v>0.2074</v>
      </c>
      <c r="K264">
        <v>0.41610000000000003</v>
      </c>
      <c r="L264">
        <v>0.39589999999999997</v>
      </c>
      <c r="M264">
        <v>0.54469999999999996</v>
      </c>
      <c r="N264">
        <v>0.66510000000000002</v>
      </c>
      <c r="O264">
        <v>0.85680000000000001</v>
      </c>
      <c r="P264">
        <v>0.81220000000000003</v>
      </c>
      <c r="Q264">
        <v>0.91020000000000001</v>
      </c>
      <c r="R264" s="5">
        <v>0.95620000000000005</v>
      </c>
      <c r="S264">
        <v>0.99239999999999995</v>
      </c>
      <c r="T264">
        <v>0.39429999999999998</v>
      </c>
      <c r="U264">
        <v>0.54349999999999998</v>
      </c>
      <c r="V264">
        <v>0.66810000000000003</v>
      </c>
      <c r="W264">
        <v>0.85829999999999995</v>
      </c>
      <c r="X264">
        <v>7.3400000000000007E-2</v>
      </c>
      <c r="Y264">
        <v>0.13400000000000001</v>
      </c>
      <c r="Z264">
        <v>0.2089</v>
      </c>
      <c r="AA264">
        <v>0.42370000000000002</v>
      </c>
      <c r="AB264">
        <v>2.0199999999999999E-2</v>
      </c>
      <c r="AC264">
        <v>4.3700000000000003E-2</v>
      </c>
      <c r="AD264">
        <v>7.9399999999999998E-2</v>
      </c>
      <c r="AE264">
        <v>0.2034</v>
      </c>
    </row>
    <row r="265" spans="1:31" ht="15" thickTop="1" x14ac:dyDescent="0.3">
      <c r="A265" s="1" t="s">
        <v>56</v>
      </c>
      <c r="B265" s="1">
        <v>20</v>
      </c>
      <c r="C265" s="1" t="s">
        <v>81</v>
      </c>
      <c r="D265" s="1">
        <v>0.6996</v>
      </c>
      <c r="E265" s="1">
        <v>0.78129999999999999</v>
      </c>
      <c r="F265" s="1">
        <v>0.8236</v>
      </c>
      <c r="G265" s="1">
        <v>0.86209999999999998</v>
      </c>
      <c r="H265" s="1">
        <v>0.78720000000000001</v>
      </c>
      <c r="I265" s="1">
        <v>0.85750000000000004</v>
      </c>
      <c r="J265" s="1">
        <v>0.89190000000000003</v>
      </c>
      <c r="K265" s="1">
        <v>0.92630000000000001</v>
      </c>
      <c r="L265" s="1">
        <v>0.82520000000000004</v>
      </c>
      <c r="M265" s="1">
        <v>0.92090000000000005</v>
      </c>
      <c r="N265" s="1">
        <v>0.96160000000000001</v>
      </c>
      <c r="O265" s="1">
        <v>0.99260000000000004</v>
      </c>
      <c r="P265" s="1">
        <v>0.83650000000000002</v>
      </c>
      <c r="Q265" s="1">
        <v>0.91849999999999998</v>
      </c>
      <c r="R265" s="6">
        <v>0.96220000000000006</v>
      </c>
      <c r="S265" s="1">
        <v>0.99539999999999995</v>
      </c>
      <c r="T265" s="1">
        <v>0.81824547364209299</v>
      </c>
      <c r="U265" s="1">
        <v>0.92457737321196398</v>
      </c>
      <c r="V265" s="1">
        <v>0.959387816344903</v>
      </c>
      <c r="W265" s="1">
        <v>0.99319795938781597</v>
      </c>
      <c r="X265" s="1">
        <v>0.80993323892373104</v>
      </c>
      <c r="Y265" s="1">
        <v>0.84321262391260399</v>
      </c>
      <c r="Z265" s="1">
        <v>0.87032166700384395</v>
      </c>
      <c r="AA265" s="1">
        <v>0.88903499898846805</v>
      </c>
      <c r="AB265" s="1">
        <v>0.54237288135593198</v>
      </c>
      <c r="AC265" s="1">
        <v>0.61180973209403999</v>
      </c>
      <c r="AD265" s="1">
        <v>0.62679059595407305</v>
      </c>
      <c r="AE265" s="1">
        <v>0.64625478403499204</v>
      </c>
    </row>
    <row r="266" spans="1:31" x14ac:dyDescent="0.3">
      <c r="A266" t="s">
        <v>56</v>
      </c>
      <c r="B266">
        <v>30</v>
      </c>
      <c r="C266" t="s">
        <v>81</v>
      </c>
      <c r="D266">
        <v>0.7419</v>
      </c>
      <c r="E266">
        <v>0.82279999999999998</v>
      </c>
      <c r="F266">
        <v>0.8599</v>
      </c>
      <c r="G266">
        <v>0.89859999999999995</v>
      </c>
      <c r="H266">
        <v>0.79710000000000003</v>
      </c>
      <c r="I266">
        <v>0.89319999999999999</v>
      </c>
      <c r="J266">
        <v>0.93059999999999998</v>
      </c>
      <c r="K266">
        <v>0.96099999999999997</v>
      </c>
      <c r="L266">
        <v>0.82469999999999999</v>
      </c>
      <c r="M266">
        <v>0.91700000000000004</v>
      </c>
      <c r="N266">
        <v>0.9607</v>
      </c>
      <c r="O266">
        <v>0.99460000000000004</v>
      </c>
      <c r="P266">
        <v>0.81699999999999995</v>
      </c>
      <c r="Q266">
        <v>0.91180000000000005</v>
      </c>
      <c r="R266" s="5">
        <v>0.95950000000000002</v>
      </c>
      <c r="S266">
        <v>0.99460000000000004</v>
      </c>
      <c r="T266">
        <v>0.81279999999999997</v>
      </c>
      <c r="U266">
        <v>0.91610000000000003</v>
      </c>
      <c r="V266">
        <v>0.95789999999999997</v>
      </c>
      <c r="W266">
        <v>0.99399999999999999</v>
      </c>
      <c r="X266">
        <v>0.77987675522780098</v>
      </c>
      <c r="Y266">
        <v>0.91989089807051205</v>
      </c>
      <c r="Z266">
        <v>0.94130720274775204</v>
      </c>
      <c r="AA266">
        <v>0.95534902515405595</v>
      </c>
      <c r="AB266">
        <v>0.72230000000000005</v>
      </c>
      <c r="AC266">
        <v>0.77310000000000001</v>
      </c>
      <c r="AD266">
        <v>0.78269999999999995</v>
      </c>
      <c r="AE266">
        <v>0.80049999999999999</v>
      </c>
    </row>
    <row r="267" spans="1:31" x14ac:dyDescent="0.3">
      <c r="A267" t="s">
        <v>56</v>
      </c>
      <c r="B267">
        <v>50</v>
      </c>
      <c r="C267" t="s">
        <v>81</v>
      </c>
      <c r="D267">
        <v>0.79379999999999995</v>
      </c>
      <c r="E267">
        <v>0.87260000000000004</v>
      </c>
      <c r="F267">
        <v>0.91100000000000003</v>
      </c>
      <c r="G267">
        <v>0.94430000000000003</v>
      </c>
      <c r="H267">
        <v>0.81269999999999998</v>
      </c>
      <c r="I267">
        <v>0.90980000000000005</v>
      </c>
      <c r="J267">
        <v>0.95350000000000001</v>
      </c>
      <c r="K267">
        <v>0.98909999999999998</v>
      </c>
      <c r="L267">
        <v>0.8145</v>
      </c>
      <c r="M267">
        <v>0.91239999999999999</v>
      </c>
      <c r="N267">
        <v>0.96020000000000005</v>
      </c>
      <c r="O267">
        <v>0.99270000000000003</v>
      </c>
      <c r="P267">
        <v>0.82550000000000001</v>
      </c>
      <c r="Q267">
        <v>0.91759999999999997</v>
      </c>
      <c r="R267" s="5">
        <v>0.96189999999999998</v>
      </c>
      <c r="S267">
        <v>0.99260000000000004</v>
      </c>
      <c r="T267">
        <v>0.80879999999999996</v>
      </c>
      <c r="U267">
        <v>0.90649999999999997</v>
      </c>
      <c r="V267">
        <v>0.95509999999999995</v>
      </c>
      <c r="W267">
        <v>0.99019999999999997</v>
      </c>
      <c r="X267">
        <v>0.81640467553405904</v>
      </c>
      <c r="Y267">
        <v>0.92372027408303103</v>
      </c>
      <c r="Z267">
        <v>0.94629181781539695</v>
      </c>
      <c r="AA267">
        <v>0.99143490528012901</v>
      </c>
      <c r="AB267">
        <v>0.82030000000000003</v>
      </c>
      <c r="AC267">
        <v>0.88200000000000001</v>
      </c>
      <c r="AD267">
        <v>0.90820000000000001</v>
      </c>
      <c r="AE267">
        <v>0.92220000000000002</v>
      </c>
    </row>
    <row r="268" spans="1:31" x14ac:dyDescent="0.3">
      <c r="A268" t="s">
        <v>57</v>
      </c>
      <c r="B268">
        <v>20</v>
      </c>
      <c r="C268" t="s">
        <v>81</v>
      </c>
      <c r="D268">
        <v>0.44290000000000002</v>
      </c>
      <c r="E268">
        <v>0.60109999999999997</v>
      </c>
      <c r="F268">
        <v>0.73060000000000003</v>
      </c>
      <c r="G268">
        <v>0.92910000000000004</v>
      </c>
      <c r="H268">
        <v>0.74390000000000001</v>
      </c>
      <c r="I268">
        <v>0.85799999999999998</v>
      </c>
      <c r="J268">
        <v>0.92200000000000004</v>
      </c>
      <c r="K268">
        <v>0.98199999999999998</v>
      </c>
      <c r="L268">
        <v>0.81720000000000004</v>
      </c>
      <c r="M268">
        <v>0.91279999999999994</v>
      </c>
      <c r="N268">
        <v>0.95450000000000002</v>
      </c>
      <c r="O268">
        <v>0.99050000000000005</v>
      </c>
      <c r="P268">
        <v>0.81840000000000002</v>
      </c>
      <c r="Q268">
        <v>0.90969999999999995</v>
      </c>
      <c r="R268" s="5">
        <v>0.95740000000000003</v>
      </c>
      <c r="S268">
        <v>0.99319999999999997</v>
      </c>
      <c r="T268">
        <v>0.81950000000000001</v>
      </c>
      <c r="U268">
        <v>0.9204</v>
      </c>
      <c r="V268">
        <v>0.96130000000000004</v>
      </c>
      <c r="W268">
        <v>0.99319999999999997</v>
      </c>
      <c r="X268">
        <v>0.79175835167033404</v>
      </c>
      <c r="Y268">
        <v>0.842868573714743</v>
      </c>
      <c r="Z268">
        <v>0.876075215043009</v>
      </c>
      <c r="AA268">
        <v>0.90008001600320098</v>
      </c>
      <c r="AB268">
        <v>0.60523665659617298</v>
      </c>
      <c r="AC268">
        <v>0.66696878147029204</v>
      </c>
      <c r="AD268">
        <v>0.68962739174219501</v>
      </c>
      <c r="AE268">
        <v>0.71591137965760299</v>
      </c>
    </row>
    <row r="269" spans="1:31" x14ac:dyDescent="0.3">
      <c r="A269" t="s">
        <v>57</v>
      </c>
      <c r="B269">
        <v>30</v>
      </c>
      <c r="C269" t="s">
        <v>81</v>
      </c>
      <c r="D269">
        <v>0.54310000000000003</v>
      </c>
      <c r="E269">
        <v>0.6895</v>
      </c>
      <c r="F269">
        <v>0.79679999999999995</v>
      </c>
      <c r="G269">
        <v>0.93689999999999996</v>
      </c>
      <c r="H269">
        <v>0.78180000000000005</v>
      </c>
      <c r="I269">
        <v>0.88719999999999999</v>
      </c>
      <c r="J269">
        <v>0.93940000000000001</v>
      </c>
      <c r="K269">
        <v>0.98609999999999998</v>
      </c>
      <c r="L269">
        <v>0.81830000000000003</v>
      </c>
      <c r="M269">
        <v>0.90769999999999995</v>
      </c>
      <c r="N269">
        <v>0.95520000000000005</v>
      </c>
      <c r="O269">
        <v>0.99150000000000005</v>
      </c>
      <c r="P269">
        <v>0.8206</v>
      </c>
      <c r="Q269">
        <v>0.91520000000000001</v>
      </c>
      <c r="R269" s="5">
        <v>0.95950000000000002</v>
      </c>
      <c r="S269">
        <v>0.99329999999999996</v>
      </c>
      <c r="T269">
        <v>0.82089999999999996</v>
      </c>
      <c r="U269">
        <v>0.91669999999999996</v>
      </c>
      <c r="V269">
        <v>0.96030000000000004</v>
      </c>
      <c r="W269">
        <v>0.99360000000000004</v>
      </c>
      <c r="X269">
        <v>0.79567956795679595</v>
      </c>
      <c r="Y269">
        <v>0.905490549054905</v>
      </c>
      <c r="Z269">
        <v>0.93529352935293497</v>
      </c>
      <c r="AA269">
        <v>0.95749574957495798</v>
      </c>
      <c r="AB269">
        <v>0.71079999999999999</v>
      </c>
      <c r="AC269">
        <v>0.76970000000000005</v>
      </c>
      <c r="AD269">
        <v>0.79059999999999997</v>
      </c>
      <c r="AE269">
        <v>0.81689999999999996</v>
      </c>
    </row>
    <row r="270" spans="1:31" x14ac:dyDescent="0.3">
      <c r="A270" t="s">
        <v>57</v>
      </c>
      <c r="B270">
        <v>50</v>
      </c>
      <c r="C270" t="s">
        <v>81</v>
      </c>
      <c r="D270">
        <v>0.66359999999999997</v>
      </c>
      <c r="E270">
        <v>0.7873</v>
      </c>
      <c r="F270">
        <v>0.87219999999999998</v>
      </c>
      <c r="G270">
        <v>0.9617</v>
      </c>
      <c r="H270">
        <v>0.80630000000000002</v>
      </c>
      <c r="I270">
        <v>0.90400000000000003</v>
      </c>
      <c r="J270">
        <v>0.95630000000000004</v>
      </c>
      <c r="K270">
        <v>0.98960000000000004</v>
      </c>
      <c r="L270">
        <v>0.81510000000000005</v>
      </c>
      <c r="M270">
        <v>0.9093</v>
      </c>
      <c r="N270">
        <v>0.95650000000000002</v>
      </c>
      <c r="O270">
        <v>0.99260000000000004</v>
      </c>
      <c r="P270">
        <v>0.81520000000000004</v>
      </c>
      <c r="Q270">
        <v>0.91049999999999998</v>
      </c>
      <c r="R270" s="5">
        <v>0.95740000000000003</v>
      </c>
      <c r="S270">
        <v>0.99180000000000001</v>
      </c>
      <c r="T270">
        <v>0.81069999999999998</v>
      </c>
      <c r="U270">
        <v>0.90949999999999998</v>
      </c>
      <c r="V270">
        <v>0.95750000000000002</v>
      </c>
      <c r="W270">
        <v>0.99219999999999997</v>
      </c>
      <c r="X270">
        <v>0.79825965193038595</v>
      </c>
      <c r="Y270">
        <v>0.91468293658731703</v>
      </c>
      <c r="Z270">
        <v>0.94578915783156603</v>
      </c>
      <c r="AA270">
        <v>0.98889777955591096</v>
      </c>
      <c r="AB270">
        <v>0.82140000000000002</v>
      </c>
      <c r="AC270">
        <v>0.88270000000000004</v>
      </c>
      <c r="AD270">
        <v>0.90910000000000002</v>
      </c>
      <c r="AE270">
        <v>0.92849999999999999</v>
      </c>
    </row>
    <row r="271" spans="1:31" x14ac:dyDescent="0.3">
      <c r="A271" t="s">
        <v>31</v>
      </c>
      <c r="B271">
        <v>20</v>
      </c>
      <c r="C271" t="s">
        <v>81</v>
      </c>
      <c r="D271">
        <v>0.64390000000000003</v>
      </c>
      <c r="E271">
        <v>0.71709999999999996</v>
      </c>
      <c r="F271">
        <v>0.75409999999999999</v>
      </c>
      <c r="G271">
        <v>0.79430000000000001</v>
      </c>
      <c r="H271">
        <v>0.78320000000000001</v>
      </c>
      <c r="I271">
        <v>0.85340000000000005</v>
      </c>
      <c r="J271">
        <v>0.88959999999999995</v>
      </c>
      <c r="K271">
        <v>0.92400000000000004</v>
      </c>
      <c r="L271">
        <v>0.81940000000000002</v>
      </c>
      <c r="M271">
        <v>0.9153</v>
      </c>
      <c r="N271">
        <v>0.95930000000000004</v>
      </c>
      <c r="O271">
        <v>0.99099999999999999</v>
      </c>
      <c r="P271">
        <v>0.83630000000000004</v>
      </c>
      <c r="Q271">
        <v>0.92820000000000003</v>
      </c>
      <c r="R271" s="5">
        <v>0.96809999999999996</v>
      </c>
      <c r="S271">
        <v>0.99570000000000003</v>
      </c>
      <c r="T271">
        <v>0.83440000000000003</v>
      </c>
      <c r="U271">
        <v>0.92769999999999997</v>
      </c>
      <c r="V271">
        <v>0.96560000000000001</v>
      </c>
      <c r="W271">
        <v>0.99139999999999995</v>
      </c>
      <c r="X271">
        <v>0.78180000000000005</v>
      </c>
      <c r="Y271">
        <v>0.84930000000000005</v>
      </c>
      <c r="Z271">
        <v>0.88729999999999998</v>
      </c>
      <c r="AA271">
        <v>0.92069999999999996</v>
      </c>
      <c r="AB271">
        <v>0.64286428642864302</v>
      </c>
      <c r="AC271">
        <v>0.71237123712371198</v>
      </c>
      <c r="AD271">
        <v>0.75017501750174997</v>
      </c>
      <c r="AE271">
        <v>0.79057905790579097</v>
      </c>
    </row>
    <row r="272" spans="1:31" x14ac:dyDescent="0.3">
      <c r="A272" t="s">
        <v>31</v>
      </c>
      <c r="B272">
        <v>30</v>
      </c>
      <c r="C272" t="s">
        <v>81</v>
      </c>
      <c r="D272">
        <v>0.72030000000000005</v>
      </c>
      <c r="E272">
        <v>0.79249999999999998</v>
      </c>
      <c r="F272">
        <v>0.82689999999999997</v>
      </c>
      <c r="G272">
        <v>0.86060000000000003</v>
      </c>
      <c r="H272">
        <v>0.80830000000000002</v>
      </c>
      <c r="I272">
        <v>0.89959999999999996</v>
      </c>
      <c r="J272">
        <v>0.93069999999999997</v>
      </c>
      <c r="K272">
        <v>0.95920000000000005</v>
      </c>
      <c r="L272">
        <v>0.82389999999999997</v>
      </c>
      <c r="M272">
        <v>0.91539999999999999</v>
      </c>
      <c r="N272">
        <v>0.96419999999999995</v>
      </c>
      <c r="O272">
        <v>0.99339999999999995</v>
      </c>
      <c r="P272">
        <v>0.82010000000000005</v>
      </c>
      <c r="Q272">
        <v>0.91469999999999996</v>
      </c>
      <c r="R272" s="5">
        <v>0.96109999999999995</v>
      </c>
      <c r="S272">
        <v>0.99419999999999997</v>
      </c>
      <c r="T272">
        <v>0.82010000000000005</v>
      </c>
      <c r="U272">
        <v>0.91279999999999994</v>
      </c>
      <c r="V272">
        <v>0.95860000000000001</v>
      </c>
      <c r="W272">
        <v>0.99409999999999998</v>
      </c>
      <c r="X272">
        <v>0.80820000000000003</v>
      </c>
      <c r="Y272">
        <v>0.89790000000000003</v>
      </c>
      <c r="Z272">
        <v>0.93289999999999995</v>
      </c>
      <c r="AA272">
        <v>0.9617</v>
      </c>
      <c r="AB272">
        <v>0.71870000000000001</v>
      </c>
      <c r="AC272">
        <v>0.78510000000000002</v>
      </c>
      <c r="AD272">
        <v>0.81859999999999999</v>
      </c>
      <c r="AE272">
        <v>0.85599999999999998</v>
      </c>
    </row>
    <row r="273" spans="1:31" ht="15" thickBot="1" x14ac:dyDescent="0.35">
      <c r="A273" t="s">
        <v>31</v>
      </c>
      <c r="B273">
        <v>50</v>
      </c>
      <c r="C273" t="s">
        <v>81</v>
      </c>
      <c r="D273">
        <v>0.80710000000000004</v>
      </c>
      <c r="E273">
        <v>0.87350000000000005</v>
      </c>
      <c r="F273">
        <v>0.90629999999999999</v>
      </c>
      <c r="G273">
        <v>0.93420000000000003</v>
      </c>
      <c r="H273">
        <v>0.80049999999999999</v>
      </c>
      <c r="I273">
        <v>0.91</v>
      </c>
      <c r="J273">
        <v>0.95250000000000001</v>
      </c>
      <c r="K273">
        <v>0.98829999999999996</v>
      </c>
      <c r="L273">
        <v>0.8175</v>
      </c>
      <c r="M273">
        <v>0.91010000000000002</v>
      </c>
      <c r="N273">
        <v>0.95879999999999999</v>
      </c>
      <c r="O273">
        <v>0.99339999999999995</v>
      </c>
      <c r="P273">
        <v>0.81579999999999997</v>
      </c>
      <c r="Q273">
        <v>0.91420000000000001</v>
      </c>
      <c r="R273" s="5">
        <v>0.96</v>
      </c>
      <c r="S273">
        <v>0.99329999999999996</v>
      </c>
      <c r="T273">
        <v>0.81579999999999997</v>
      </c>
      <c r="U273">
        <v>0.90910000000000002</v>
      </c>
      <c r="V273">
        <v>0.95630000000000004</v>
      </c>
      <c r="W273">
        <v>0.99319999999999997</v>
      </c>
      <c r="X273">
        <v>0.79359999999999997</v>
      </c>
      <c r="Y273">
        <v>0.90390000000000004</v>
      </c>
      <c r="Z273">
        <v>0.94810000000000005</v>
      </c>
      <c r="AA273">
        <v>0.98850000000000005</v>
      </c>
      <c r="AB273">
        <v>0.80759999999999998</v>
      </c>
      <c r="AC273">
        <v>0.87529999999999997</v>
      </c>
      <c r="AD273">
        <v>0.90600000000000003</v>
      </c>
      <c r="AE273">
        <v>0.93230000000000002</v>
      </c>
    </row>
    <row r="274" spans="1:31" ht="15" thickTop="1" x14ac:dyDescent="0.3">
      <c r="A274" s="1" t="s">
        <v>56</v>
      </c>
      <c r="B274" s="1">
        <v>20</v>
      </c>
      <c r="C274" s="1" t="s">
        <v>55</v>
      </c>
      <c r="D274" s="1">
        <v>0.92859999999999998</v>
      </c>
      <c r="E274" s="1">
        <v>0.92859999999999998</v>
      </c>
      <c r="F274" s="1">
        <v>0.98540000000000005</v>
      </c>
      <c r="G274" s="1">
        <v>0.99780000000000002</v>
      </c>
      <c r="H274" s="1">
        <v>0.86899999999999999</v>
      </c>
      <c r="I274" s="1">
        <v>0.95689999999999997</v>
      </c>
      <c r="J274" s="1">
        <v>0.95689999999999997</v>
      </c>
      <c r="K274" s="1">
        <v>0.99750000000000005</v>
      </c>
      <c r="L274" s="1">
        <v>0.80649999999999999</v>
      </c>
      <c r="M274" s="1">
        <v>0.93759999999999999</v>
      </c>
      <c r="N274" s="1">
        <v>0.96150000000000002</v>
      </c>
      <c r="O274" s="1">
        <v>0.99219999999999997</v>
      </c>
      <c r="P274" s="1">
        <v>0.88260000000000005</v>
      </c>
      <c r="Q274" s="1">
        <v>0.9577</v>
      </c>
      <c r="R274" s="6">
        <v>0.9577</v>
      </c>
      <c r="S274" s="1">
        <v>0.99870000000000003</v>
      </c>
      <c r="T274" s="1">
        <v>0.80310000000000004</v>
      </c>
      <c r="U274" s="1">
        <v>0.93069999999999997</v>
      </c>
      <c r="V274" s="1">
        <v>0.96089999999999998</v>
      </c>
      <c r="W274" s="1">
        <v>0.99219999999999997</v>
      </c>
      <c r="X274" s="1">
        <v>0.86980000000000002</v>
      </c>
      <c r="Y274" s="1">
        <v>0.95820000000000005</v>
      </c>
      <c r="Z274" s="1">
        <v>0.95820000000000005</v>
      </c>
      <c r="AA274" s="1">
        <v>0.99650000000000005</v>
      </c>
      <c r="AB274" s="1">
        <v>0.92169999999999996</v>
      </c>
      <c r="AC274" s="1">
        <v>0.92169999999999996</v>
      </c>
      <c r="AD274" s="1">
        <v>0.98309999999999997</v>
      </c>
      <c r="AE274" s="1">
        <v>0.99750000000000005</v>
      </c>
    </row>
    <row r="275" spans="1:31" x14ac:dyDescent="0.3">
      <c r="A275" t="s">
        <v>56</v>
      </c>
      <c r="B275">
        <v>30</v>
      </c>
      <c r="C275" t="s">
        <v>55</v>
      </c>
      <c r="D275">
        <v>0.81369999999999998</v>
      </c>
      <c r="E275">
        <v>0.94120000000000004</v>
      </c>
      <c r="F275">
        <v>0.98529999999999995</v>
      </c>
      <c r="G275">
        <v>0.99639999999999995</v>
      </c>
      <c r="H275">
        <v>0.88149999999999995</v>
      </c>
      <c r="I275">
        <v>0.92879999999999996</v>
      </c>
      <c r="J275">
        <v>0.97430000000000005</v>
      </c>
      <c r="K275">
        <v>0.99270000000000003</v>
      </c>
      <c r="L275">
        <v>0.85609999999999997</v>
      </c>
      <c r="M275">
        <v>0.91439999999999999</v>
      </c>
      <c r="N275">
        <v>0.96960000000000002</v>
      </c>
      <c r="O275">
        <v>0.99529999999999996</v>
      </c>
      <c r="P275">
        <v>0.89900000000000002</v>
      </c>
      <c r="Q275">
        <v>0.89900000000000002</v>
      </c>
      <c r="R275" s="5">
        <v>0.95489999999999997</v>
      </c>
      <c r="S275">
        <v>0.99570000000000003</v>
      </c>
      <c r="T275">
        <v>0.85719999999999996</v>
      </c>
      <c r="U275">
        <v>0.90980000000000005</v>
      </c>
      <c r="V275">
        <v>0.96809999999999996</v>
      </c>
      <c r="W275">
        <v>0.995</v>
      </c>
      <c r="X275">
        <v>0.89229999999999998</v>
      </c>
      <c r="Y275">
        <v>0.93340000000000001</v>
      </c>
      <c r="Z275">
        <v>0.97599999999999998</v>
      </c>
      <c r="AA275">
        <v>0.99250000000000005</v>
      </c>
      <c r="AB275">
        <v>0.81130000000000002</v>
      </c>
      <c r="AC275">
        <v>0.94420000000000004</v>
      </c>
      <c r="AD275">
        <v>0.98660000000000003</v>
      </c>
      <c r="AE275">
        <v>0.99780000000000002</v>
      </c>
    </row>
    <row r="276" spans="1:31" x14ac:dyDescent="0.3">
      <c r="A276" t="s">
        <v>56</v>
      </c>
      <c r="B276">
        <v>50</v>
      </c>
      <c r="C276" t="s">
        <v>55</v>
      </c>
      <c r="D276">
        <v>0.81659999999999999</v>
      </c>
      <c r="E276">
        <v>0.96089999999999998</v>
      </c>
      <c r="F276">
        <v>0.96089999999999998</v>
      </c>
      <c r="G276">
        <v>0.99670000000000003</v>
      </c>
      <c r="H276">
        <v>0.84619999999999995</v>
      </c>
      <c r="I276">
        <v>0.91049999999999998</v>
      </c>
      <c r="J276">
        <v>0.96930000000000005</v>
      </c>
      <c r="K276">
        <v>0.99229999999999996</v>
      </c>
      <c r="L276">
        <v>0.80959999999999999</v>
      </c>
      <c r="M276">
        <v>0.92720000000000002</v>
      </c>
      <c r="N276">
        <v>0.95350000000000001</v>
      </c>
      <c r="O276">
        <v>0.99250000000000005</v>
      </c>
      <c r="P276">
        <v>0.89100000000000001</v>
      </c>
      <c r="Q276">
        <v>0.9385</v>
      </c>
      <c r="R276" s="5">
        <v>0.9698</v>
      </c>
      <c r="S276">
        <v>0.99339999999999995</v>
      </c>
      <c r="T276">
        <v>0.80559999999999998</v>
      </c>
      <c r="U276">
        <v>0.92220000000000002</v>
      </c>
      <c r="V276">
        <v>0.94879999999999998</v>
      </c>
      <c r="W276">
        <v>0.98929999999999996</v>
      </c>
      <c r="X276">
        <v>0.84140000000000004</v>
      </c>
      <c r="Y276">
        <v>0.90639999999999998</v>
      </c>
      <c r="Z276">
        <v>0.9708</v>
      </c>
      <c r="AA276">
        <v>0.9919</v>
      </c>
      <c r="AB276">
        <v>0.81850000000000001</v>
      </c>
      <c r="AC276">
        <v>0.96389999999999998</v>
      </c>
      <c r="AD276">
        <v>0.96389999999999998</v>
      </c>
      <c r="AE276">
        <v>0.99739999999999995</v>
      </c>
    </row>
    <row r="277" spans="1:31" x14ac:dyDescent="0.3">
      <c r="A277" t="s">
        <v>57</v>
      </c>
      <c r="B277">
        <v>20</v>
      </c>
      <c r="C277" s="11" t="s">
        <v>55</v>
      </c>
      <c r="D277">
        <v>0.92430000000000001</v>
      </c>
      <c r="E277">
        <v>0.92430000000000001</v>
      </c>
      <c r="F277">
        <v>0.98529999999999995</v>
      </c>
      <c r="G277">
        <v>0.99729999999999996</v>
      </c>
      <c r="H277">
        <v>0.86570000000000003</v>
      </c>
      <c r="I277">
        <v>0.95689999999999997</v>
      </c>
      <c r="J277">
        <v>0.95689999999999997</v>
      </c>
      <c r="K277">
        <v>0.99750000000000005</v>
      </c>
      <c r="L277">
        <v>0.80489999999999995</v>
      </c>
      <c r="M277">
        <v>0.93</v>
      </c>
      <c r="N277">
        <v>0.96079999999999999</v>
      </c>
      <c r="O277">
        <v>0.9929</v>
      </c>
      <c r="P277">
        <v>0.87780000000000002</v>
      </c>
      <c r="Q277">
        <v>0.9546</v>
      </c>
      <c r="R277" s="5">
        <v>0.9546</v>
      </c>
      <c r="S277">
        <v>0.99660000000000004</v>
      </c>
      <c r="T277">
        <v>0.80300000000000005</v>
      </c>
      <c r="U277">
        <v>0.93540000000000001</v>
      </c>
      <c r="V277">
        <v>0.9597</v>
      </c>
      <c r="W277">
        <v>0.99339999999999995</v>
      </c>
      <c r="X277">
        <v>0.8659</v>
      </c>
      <c r="Y277">
        <v>0.95920000000000005</v>
      </c>
      <c r="Z277">
        <v>0.95920000000000005</v>
      </c>
      <c r="AA277">
        <v>0.99729999999999996</v>
      </c>
      <c r="AB277">
        <v>0.92410000000000003</v>
      </c>
      <c r="AC277">
        <v>0.92410000000000003</v>
      </c>
      <c r="AD277">
        <v>0.9829</v>
      </c>
      <c r="AE277">
        <v>0.99690000000000001</v>
      </c>
    </row>
    <row r="278" spans="1:31" x14ac:dyDescent="0.3">
      <c r="A278" t="s">
        <v>57</v>
      </c>
      <c r="B278">
        <v>30</v>
      </c>
      <c r="C278" s="11" t="s">
        <v>55</v>
      </c>
      <c r="D278">
        <v>0.8125</v>
      </c>
      <c r="E278">
        <v>0.94040000000000001</v>
      </c>
      <c r="F278">
        <v>0.98450000000000004</v>
      </c>
      <c r="G278">
        <v>0.99660000000000004</v>
      </c>
      <c r="H278">
        <v>0.88529999999999998</v>
      </c>
      <c r="I278">
        <v>0.93469999999999998</v>
      </c>
      <c r="J278">
        <v>0.97399999999999998</v>
      </c>
      <c r="K278">
        <v>0.9919</v>
      </c>
      <c r="L278">
        <v>0.85170000000000001</v>
      </c>
      <c r="M278">
        <v>0.90669999999999995</v>
      </c>
      <c r="N278">
        <v>0.96699999999999997</v>
      </c>
      <c r="O278">
        <v>0.99470000000000003</v>
      </c>
      <c r="P278">
        <v>0.90310000000000001</v>
      </c>
      <c r="Q278">
        <v>0.90310000000000001</v>
      </c>
      <c r="R278" s="5">
        <v>0.95809999999999995</v>
      </c>
      <c r="S278">
        <v>0.99350000000000005</v>
      </c>
      <c r="T278">
        <v>0.86250000000000004</v>
      </c>
      <c r="U278">
        <v>0.91479999999999995</v>
      </c>
      <c r="V278">
        <v>0.96740000000000004</v>
      </c>
      <c r="W278">
        <v>0.99509999999999998</v>
      </c>
      <c r="X278">
        <v>0.88400000000000001</v>
      </c>
      <c r="Y278">
        <v>0.92869999999999997</v>
      </c>
      <c r="Z278">
        <v>0.97130000000000005</v>
      </c>
      <c r="AA278">
        <v>0.99109999999999998</v>
      </c>
      <c r="AB278">
        <v>0.81289999999999996</v>
      </c>
      <c r="AC278">
        <v>0.93820000000000003</v>
      </c>
      <c r="AD278">
        <v>0.98480000000000001</v>
      </c>
      <c r="AE278">
        <v>0.99680000000000002</v>
      </c>
    </row>
    <row r="279" spans="1:31" x14ac:dyDescent="0.3">
      <c r="A279" t="s">
        <v>57</v>
      </c>
      <c r="B279">
        <v>50</v>
      </c>
      <c r="C279" s="11" t="s">
        <v>55</v>
      </c>
      <c r="D279">
        <v>0.8175</v>
      </c>
      <c r="E279">
        <v>0.96150000000000002</v>
      </c>
      <c r="F279">
        <v>0.96150000000000002</v>
      </c>
      <c r="G279">
        <v>0.99660000000000004</v>
      </c>
      <c r="H279">
        <v>0.83940000000000003</v>
      </c>
      <c r="I279">
        <v>0.90739999999999998</v>
      </c>
      <c r="J279">
        <v>0.97219999999999995</v>
      </c>
      <c r="K279">
        <v>0.99239999999999995</v>
      </c>
      <c r="L279">
        <v>0.80989999999999995</v>
      </c>
      <c r="M279">
        <v>0.9274</v>
      </c>
      <c r="N279">
        <v>0.95309999999999995</v>
      </c>
      <c r="O279">
        <v>0.99150000000000005</v>
      </c>
      <c r="P279">
        <v>0.88139999999999996</v>
      </c>
      <c r="Q279">
        <v>0.93710000000000004</v>
      </c>
      <c r="R279" s="5">
        <v>0.96489999999999998</v>
      </c>
      <c r="S279">
        <v>0.99309999999999998</v>
      </c>
      <c r="T279">
        <v>0.80740000000000001</v>
      </c>
      <c r="U279">
        <v>0.92659999999999998</v>
      </c>
      <c r="V279">
        <v>0.95050000000000001</v>
      </c>
      <c r="W279">
        <v>0.99099999999999999</v>
      </c>
      <c r="X279">
        <v>0.84240000000000004</v>
      </c>
      <c r="Y279">
        <v>0.90620000000000001</v>
      </c>
      <c r="Z279">
        <v>0.96809999999999996</v>
      </c>
      <c r="AA279">
        <v>0.9909</v>
      </c>
      <c r="AB279">
        <v>0.82850000000000001</v>
      </c>
      <c r="AC279">
        <v>0.96630000000000005</v>
      </c>
      <c r="AD279">
        <v>0.96630000000000005</v>
      </c>
      <c r="AE279">
        <v>0.99770000000000003</v>
      </c>
    </row>
    <row r="280" spans="1:31" x14ac:dyDescent="0.3">
      <c r="A280" t="s">
        <v>31</v>
      </c>
      <c r="B280">
        <v>20</v>
      </c>
      <c r="C280" t="s">
        <v>55</v>
      </c>
      <c r="D280">
        <v>0.92069999999999996</v>
      </c>
      <c r="E280">
        <v>0.92069999999999996</v>
      </c>
      <c r="F280">
        <v>0.98329999999999995</v>
      </c>
      <c r="G280">
        <v>0.99719999999999998</v>
      </c>
      <c r="H280">
        <v>0.86570000000000003</v>
      </c>
      <c r="I280">
        <v>0.95789999999999997</v>
      </c>
      <c r="J280">
        <v>0.95789999999999997</v>
      </c>
      <c r="K280">
        <v>0.99750000000000005</v>
      </c>
      <c r="L280">
        <v>0.80010000000000003</v>
      </c>
      <c r="M280">
        <v>0.93179999999999996</v>
      </c>
      <c r="N280">
        <v>0.95979999999999999</v>
      </c>
      <c r="O280">
        <v>0.99299999999999999</v>
      </c>
      <c r="P280">
        <v>0.88949999999999996</v>
      </c>
      <c r="Q280">
        <v>0.96199999999999997</v>
      </c>
      <c r="R280" s="5">
        <v>0.96199999999999997</v>
      </c>
      <c r="S280">
        <v>0.99829999999999997</v>
      </c>
      <c r="T280">
        <v>0.81710000000000005</v>
      </c>
      <c r="U280">
        <v>0.94230000000000003</v>
      </c>
      <c r="V280">
        <v>0.96609999999999996</v>
      </c>
      <c r="W280">
        <v>0.9919</v>
      </c>
      <c r="X280">
        <v>0.86650000000000005</v>
      </c>
      <c r="Y280">
        <v>0.95789999999999997</v>
      </c>
      <c r="Z280">
        <v>0.95789999999999997</v>
      </c>
      <c r="AA280">
        <v>0.99719999999999998</v>
      </c>
      <c r="AB280">
        <v>0.92630000000000001</v>
      </c>
      <c r="AC280">
        <v>0.92630000000000001</v>
      </c>
      <c r="AD280">
        <v>0.98480000000000001</v>
      </c>
      <c r="AE280">
        <v>0.99750000000000005</v>
      </c>
    </row>
    <row r="281" spans="1:31" x14ac:dyDescent="0.3">
      <c r="A281" t="s">
        <v>31</v>
      </c>
      <c r="B281">
        <v>30</v>
      </c>
      <c r="C281" t="s">
        <v>55</v>
      </c>
      <c r="D281">
        <v>0.81059999999999999</v>
      </c>
      <c r="E281">
        <v>0.93700000000000006</v>
      </c>
      <c r="F281">
        <v>0.98429999999999995</v>
      </c>
      <c r="G281">
        <v>0.997</v>
      </c>
      <c r="H281">
        <v>0.88519999999999999</v>
      </c>
      <c r="I281">
        <v>0.93240000000000001</v>
      </c>
      <c r="J281">
        <v>0.9758</v>
      </c>
      <c r="K281">
        <v>0.99109999999999998</v>
      </c>
      <c r="L281">
        <v>0.85699999999999998</v>
      </c>
      <c r="M281">
        <v>0.91459999999999997</v>
      </c>
      <c r="N281">
        <v>0.96799999999999997</v>
      </c>
      <c r="O281">
        <v>0.996</v>
      </c>
      <c r="P281">
        <v>0.89980000000000004</v>
      </c>
      <c r="Q281">
        <v>0.89980000000000004</v>
      </c>
      <c r="R281" s="5">
        <v>0.95520000000000005</v>
      </c>
      <c r="S281">
        <v>0.99539999999999995</v>
      </c>
      <c r="T281">
        <v>0.85450000000000004</v>
      </c>
      <c r="U281">
        <v>0.90880000000000005</v>
      </c>
      <c r="V281">
        <v>0.96689999999999998</v>
      </c>
      <c r="W281">
        <v>0.99609999999999999</v>
      </c>
      <c r="X281">
        <v>0.88639999999999997</v>
      </c>
      <c r="Y281">
        <v>0.93169999999999997</v>
      </c>
      <c r="Z281">
        <v>0.97299999999999998</v>
      </c>
      <c r="AA281">
        <v>0.99239999999999995</v>
      </c>
      <c r="AB281">
        <v>0.81299999999999994</v>
      </c>
      <c r="AC281">
        <v>0.9375</v>
      </c>
      <c r="AD281">
        <v>0.98329999999999995</v>
      </c>
      <c r="AE281">
        <v>0.99539999999999995</v>
      </c>
    </row>
    <row r="282" spans="1:31" ht="15" thickBot="1" x14ac:dyDescent="0.35">
      <c r="A282" t="s">
        <v>31</v>
      </c>
      <c r="B282">
        <v>50</v>
      </c>
      <c r="C282" t="s">
        <v>55</v>
      </c>
      <c r="D282">
        <v>0.82079999999999997</v>
      </c>
      <c r="E282">
        <v>0.96130000000000004</v>
      </c>
      <c r="F282">
        <v>0.96130000000000004</v>
      </c>
      <c r="G282">
        <v>0.99739999999999995</v>
      </c>
      <c r="H282">
        <v>0.84560000000000002</v>
      </c>
      <c r="I282">
        <v>0.91020000000000001</v>
      </c>
      <c r="J282">
        <v>0.97040000000000004</v>
      </c>
      <c r="K282">
        <v>0.99099999999999999</v>
      </c>
      <c r="L282">
        <v>0.80940000000000001</v>
      </c>
      <c r="M282">
        <v>0.92649999999999999</v>
      </c>
      <c r="N282">
        <v>0.95320000000000005</v>
      </c>
      <c r="O282">
        <v>0.99239999999999995</v>
      </c>
      <c r="P282">
        <v>0.88170000000000004</v>
      </c>
      <c r="Q282">
        <v>0.93700000000000006</v>
      </c>
      <c r="R282" s="5">
        <v>0.96870000000000001</v>
      </c>
      <c r="S282">
        <v>0.99419999999999997</v>
      </c>
      <c r="T282">
        <v>0.80940000000000001</v>
      </c>
      <c r="U282">
        <v>0.9244</v>
      </c>
      <c r="V282">
        <v>0.95069999999999999</v>
      </c>
      <c r="W282">
        <v>0.99170000000000003</v>
      </c>
      <c r="X282">
        <v>0.84309999999999996</v>
      </c>
      <c r="Y282">
        <v>0.90429999999999999</v>
      </c>
      <c r="Z282">
        <v>0.96789999999999998</v>
      </c>
      <c r="AA282">
        <v>0.99150000000000005</v>
      </c>
      <c r="AB282">
        <v>0.81979999999999997</v>
      </c>
      <c r="AC282">
        <v>0.96399999999999997</v>
      </c>
      <c r="AD282">
        <v>0.96399999999999997</v>
      </c>
      <c r="AE282">
        <v>0.99729999999999996</v>
      </c>
    </row>
    <row r="283" spans="1:31" ht="15" thickTop="1" x14ac:dyDescent="0.3">
      <c r="A283" s="1" t="s">
        <v>56</v>
      </c>
      <c r="B283" s="1">
        <v>20</v>
      </c>
      <c r="C283" s="1" t="s">
        <v>32</v>
      </c>
      <c r="D283" s="1">
        <v>0.72758489126287695</v>
      </c>
      <c r="E283" s="1">
        <v>0.72758489126287695</v>
      </c>
      <c r="F283" s="1">
        <v>0.94429607020221296</v>
      </c>
      <c r="G283" s="1">
        <v>0.99160625715375805</v>
      </c>
      <c r="H283" s="1">
        <v>0.77785314566728803</v>
      </c>
      <c r="I283" s="1">
        <v>0.926911989147024</v>
      </c>
      <c r="J283" s="1">
        <v>0.98083771409191101</v>
      </c>
      <c r="K283" s="1">
        <v>0.99576055621502502</v>
      </c>
      <c r="L283" s="1">
        <v>0.80884565239193695</v>
      </c>
      <c r="M283" s="1">
        <v>0.87152742954568296</v>
      </c>
      <c r="N283" s="1">
        <v>0.96429645973322597</v>
      </c>
      <c r="O283" s="1">
        <v>0.99508574867114596</v>
      </c>
      <c r="P283" s="1">
        <v>0.73950000000000005</v>
      </c>
      <c r="Q283" s="1">
        <v>0.88260000000000005</v>
      </c>
      <c r="R283" s="6">
        <v>0.9577</v>
      </c>
      <c r="S283" s="1">
        <v>0.98780000000000001</v>
      </c>
      <c r="T283" s="1">
        <v>0.80616342099979899</v>
      </c>
      <c r="U283" s="1">
        <v>0.86819915679582405</v>
      </c>
      <c r="V283" s="1">
        <v>0.96456534832362995</v>
      </c>
      <c r="W283" s="1">
        <v>0.99598474201967502</v>
      </c>
      <c r="X283" s="1">
        <v>0.85201182086837901</v>
      </c>
      <c r="Y283" s="1">
        <v>0.95248920209138399</v>
      </c>
      <c r="Z283" s="1">
        <v>0.987497158445101</v>
      </c>
      <c r="AA283" s="1">
        <v>0.99602182314162302</v>
      </c>
      <c r="AB283" s="1">
        <v>0.70783582089552199</v>
      </c>
      <c r="AC283" s="1">
        <v>0.70783582089552199</v>
      </c>
      <c r="AD283" s="1">
        <v>0.93694029850746297</v>
      </c>
      <c r="AE283" s="1">
        <v>0.99067164179104505</v>
      </c>
    </row>
    <row r="284" spans="1:31" x14ac:dyDescent="0.3">
      <c r="A284" t="s">
        <v>56</v>
      </c>
      <c r="B284">
        <v>30</v>
      </c>
      <c r="C284" t="s">
        <v>32</v>
      </c>
      <c r="D284">
        <v>0.92516227567774001</v>
      </c>
      <c r="E284">
        <v>0.92516227567774001</v>
      </c>
      <c r="F284">
        <v>0.981290568919435</v>
      </c>
      <c r="G284">
        <v>0.99541809851088203</v>
      </c>
      <c r="H284">
        <v>0.69976457554355398</v>
      </c>
      <c r="I284">
        <v>0.96440936158426804</v>
      </c>
      <c r="J284">
        <v>0.96440936158426804</v>
      </c>
      <c r="K284">
        <v>0.98989059687023995</v>
      </c>
      <c r="L284">
        <v>0.796939081724517</v>
      </c>
      <c r="M284">
        <v>0.91467440232069597</v>
      </c>
      <c r="N284">
        <v>0.941882564769431</v>
      </c>
      <c r="O284">
        <v>0.98789636891067301</v>
      </c>
      <c r="P284">
        <v>0.79900000000000004</v>
      </c>
      <c r="Q284">
        <v>0.89900000000000002</v>
      </c>
      <c r="R284" s="5">
        <v>0.95489999999999997</v>
      </c>
      <c r="S284">
        <v>0.98540000000000005</v>
      </c>
      <c r="T284">
        <v>0.795518207282913</v>
      </c>
      <c r="U284">
        <v>0.91016406562625096</v>
      </c>
      <c r="V284">
        <v>0.94047619047619002</v>
      </c>
      <c r="W284">
        <v>0.98779511804721898</v>
      </c>
      <c r="X284">
        <v>0.78452057656152097</v>
      </c>
      <c r="Y284">
        <v>0.97493210779193695</v>
      </c>
      <c r="Z284">
        <v>0.97493210779193695</v>
      </c>
      <c r="AA284">
        <v>0.99216628368498005</v>
      </c>
      <c r="AB284">
        <v>0.92877201940260401</v>
      </c>
      <c r="AC284">
        <v>0.92877201940260401</v>
      </c>
      <c r="AD284">
        <v>0.98289507275976495</v>
      </c>
      <c r="AE284">
        <v>0.99719172836354397</v>
      </c>
    </row>
    <row r="285" spans="1:31" x14ac:dyDescent="0.3">
      <c r="A285" t="s">
        <v>56</v>
      </c>
      <c r="B285">
        <v>50</v>
      </c>
      <c r="C285" t="s">
        <v>32</v>
      </c>
      <c r="D285">
        <v>0.88462788430289196</v>
      </c>
      <c r="E285">
        <v>0.95764272559852703</v>
      </c>
      <c r="F285">
        <v>0.98732531686707803</v>
      </c>
      <c r="G285">
        <v>0.99642508937276597</v>
      </c>
      <c r="H285">
        <v>0.72181479179614705</v>
      </c>
      <c r="I285">
        <v>0.89484151646985699</v>
      </c>
      <c r="J285">
        <v>0.93660658794282203</v>
      </c>
      <c r="K285">
        <v>0.99651957737725305</v>
      </c>
      <c r="L285">
        <v>0.80959999999999999</v>
      </c>
      <c r="M285">
        <v>0.9012</v>
      </c>
      <c r="N285">
        <v>0.95350000000000001</v>
      </c>
      <c r="O285">
        <v>0.98740000000000006</v>
      </c>
      <c r="P285">
        <v>0.80779999999999996</v>
      </c>
      <c r="Q285">
        <v>0.89100000000000001</v>
      </c>
      <c r="R285" s="5">
        <v>0.9385</v>
      </c>
      <c r="S285">
        <v>0.99339999999999995</v>
      </c>
      <c r="T285">
        <v>0.80559999999999998</v>
      </c>
      <c r="U285">
        <v>0.89839999999999998</v>
      </c>
      <c r="V285">
        <v>0.94879999999999998</v>
      </c>
      <c r="W285">
        <v>0.98360000000000003</v>
      </c>
      <c r="X285">
        <v>0.76875941737820197</v>
      </c>
      <c r="Y285">
        <v>0.91049723756906098</v>
      </c>
      <c r="Z285">
        <v>0.94465092918131599</v>
      </c>
      <c r="AA285">
        <v>0.99638372677046705</v>
      </c>
      <c r="AB285">
        <v>0.88687831834434905</v>
      </c>
      <c r="AC285">
        <v>0.96088416946581401</v>
      </c>
      <c r="AD285">
        <v>0.98775598656409103</v>
      </c>
      <c r="AE285">
        <v>0.99718279336872895</v>
      </c>
    </row>
    <row r="286" spans="1:31" x14ac:dyDescent="0.3">
      <c r="A286" t="s">
        <v>57</v>
      </c>
      <c r="B286">
        <v>20</v>
      </c>
      <c r="C286" t="s">
        <v>32</v>
      </c>
      <c r="D286">
        <v>0.71433962264150896</v>
      </c>
      <c r="E286">
        <v>0.71433962264150896</v>
      </c>
      <c r="F286">
        <v>0.94452830188679204</v>
      </c>
      <c r="G286">
        <v>0.98981132075471701</v>
      </c>
      <c r="H286">
        <v>0.77117055716476401</v>
      </c>
      <c r="I286">
        <v>0.92656329868802201</v>
      </c>
      <c r="J286">
        <v>0.98023513375362104</v>
      </c>
      <c r="K286">
        <v>0.99574033055034905</v>
      </c>
      <c r="L286">
        <v>0.807483948635634</v>
      </c>
      <c r="M286">
        <v>0.86767656500802604</v>
      </c>
      <c r="N286">
        <v>0.963884430176565</v>
      </c>
      <c r="O286">
        <v>0.99608747993579405</v>
      </c>
      <c r="P286">
        <v>0.73099999999999998</v>
      </c>
      <c r="Q286">
        <v>0.87780000000000002</v>
      </c>
      <c r="R286" s="5">
        <v>0.9546</v>
      </c>
      <c r="S286">
        <v>0.98570000000000002</v>
      </c>
      <c r="T286">
        <v>0.80517396971823896</v>
      </c>
      <c r="U286">
        <v>0.86794344730773099</v>
      </c>
      <c r="V286">
        <v>0.96229820515391595</v>
      </c>
      <c r="W286">
        <v>0.99608944149202805</v>
      </c>
      <c r="X286">
        <v>0.84707492302428999</v>
      </c>
      <c r="Y286">
        <v>0.95347245980157402</v>
      </c>
      <c r="Z286">
        <v>0.98791196259550695</v>
      </c>
      <c r="AA286">
        <v>0.99692097160451598</v>
      </c>
      <c r="AB286">
        <v>0.71888888888888902</v>
      </c>
      <c r="AC286">
        <v>0.71888888888888902</v>
      </c>
      <c r="AD286">
        <v>0.93666666666666698</v>
      </c>
      <c r="AE286">
        <v>0.98851851851851902</v>
      </c>
    </row>
    <row r="287" spans="1:31" x14ac:dyDescent="0.3">
      <c r="A287" t="s">
        <v>57</v>
      </c>
      <c r="B287">
        <v>30</v>
      </c>
      <c r="C287" t="s">
        <v>32</v>
      </c>
      <c r="D287">
        <v>0.92335390946502105</v>
      </c>
      <c r="E287">
        <v>0.92335390946502105</v>
      </c>
      <c r="F287">
        <v>0.98006687242798396</v>
      </c>
      <c r="G287">
        <v>0.99562757201646102</v>
      </c>
      <c r="H287">
        <v>0.70089965397923903</v>
      </c>
      <c r="I287">
        <v>0.96401384083045005</v>
      </c>
      <c r="J287">
        <v>0.96401384083045005</v>
      </c>
      <c r="K287">
        <v>0.98878892733564006</v>
      </c>
      <c r="L287">
        <v>0.79495899179836005</v>
      </c>
      <c r="M287">
        <v>0.906881376275255</v>
      </c>
      <c r="N287">
        <v>0.937887577515503</v>
      </c>
      <c r="O287">
        <v>0.98729745949189796</v>
      </c>
      <c r="P287">
        <v>0.79259999999999997</v>
      </c>
      <c r="Q287">
        <v>0.90310000000000001</v>
      </c>
      <c r="R287" s="5">
        <v>0.95809999999999995</v>
      </c>
      <c r="S287">
        <v>0.98399999999999999</v>
      </c>
      <c r="T287">
        <v>0.79827982798279795</v>
      </c>
      <c r="U287">
        <v>0.91489148914891505</v>
      </c>
      <c r="V287">
        <v>0.94299429942994295</v>
      </c>
      <c r="W287">
        <v>0.98589858985898604</v>
      </c>
      <c r="X287">
        <v>0.77083768539795305</v>
      </c>
      <c r="Y287">
        <v>0.97002297890119105</v>
      </c>
      <c r="Z287">
        <v>0.97002297890119105</v>
      </c>
      <c r="AA287">
        <v>0.99070398997284304</v>
      </c>
      <c r="AB287">
        <v>0.92101226993865004</v>
      </c>
      <c r="AC287">
        <v>0.92101226993865004</v>
      </c>
      <c r="AD287">
        <v>0.98057259713701395</v>
      </c>
      <c r="AE287">
        <v>0.99591002044989796</v>
      </c>
    </row>
    <row r="288" spans="1:31" x14ac:dyDescent="0.3">
      <c r="A288" t="s">
        <v>57</v>
      </c>
      <c r="B288">
        <v>50</v>
      </c>
      <c r="C288" t="s">
        <v>32</v>
      </c>
      <c r="D288">
        <v>0.88579477733232204</v>
      </c>
      <c r="E288">
        <v>0.958283671036949</v>
      </c>
      <c r="F288">
        <v>0.98656409145086099</v>
      </c>
      <c r="G288">
        <v>0.99631596055910698</v>
      </c>
      <c r="H288">
        <v>0.71505706221622301</v>
      </c>
      <c r="I288">
        <v>0.89115228862437101</v>
      </c>
      <c r="J288">
        <v>0.93569763161124098</v>
      </c>
      <c r="K288">
        <v>0.99545956559087001</v>
      </c>
      <c r="L288">
        <v>0.80989999999999995</v>
      </c>
      <c r="M288">
        <v>0.9</v>
      </c>
      <c r="N288">
        <v>0.95309999999999995</v>
      </c>
      <c r="O288">
        <v>0.9869</v>
      </c>
      <c r="P288">
        <v>0.7984</v>
      </c>
      <c r="Q288">
        <v>0.88139999999999996</v>
      </c>
      <c r="R288" s="5">
        <v>0.93710000000000004</v>
      </c>
      <c r="S288">
        <v>0.99309999999999998</v>
      </c>
      <c r="T288">
        <v>0.80740000000000001</v>
      </c>
      <c r="U288">
        <v>0.89770000000000005</v>
      </c>
      <c r="V288">
        <v>0.95050000000000001</v>
      </c>
      <c r="W288">
        <v>0.98550000000000004</v>
      </c>
      <c r="X288">
        <v>0.76577755410166104</v>
      </c>
      <c r="Y288">
        <v>0.91212883744338202</v>
      </c>
      <c r="Z288">
        <v>0.94494212380473097</v>
      </c>
      <c r="AA288">
        <v>0.99738298943130299</v>
      </c>
      <c r="AB288">
        <v>0.89441865486343497</v>
      </c>
      <c r="AC288">
        <v>0.96361869804598899</v>
      </c>
      <c r="AD288">
        <v>0.98877253589549796</v>
      </c>
      <c r="AE288">
        <v>0.99751700313073499</v>
      </c>
    </row>
    <row r="289" spans="1:31" x14ac:dyDescent="0.3">
      <c r="A289" t="s">
        <v>31</v>
      </c>
      <c r="B289">
        <v>20</v>
      </c>
      <c r="C289" t="s">
        <v>32</v>
      </c>
      <c r="D289">
        <v>0.71121631463947599</v>
      </c>
      <c r="E289">
        <v>0.71121631463947599</v>
      </c>
      <c r="F289">
        <v>0.93918426802622001</v>
      </c>
      <c r="G289">
        <v>0.98980335032774902</v>
      </c>
      <c r="H289">
        <v>0.77202512306908799</v>
      </c>
      <c r="I289">
        <v>0.92853505347139698</v>
      </c>
      <c r="J289">
        <v>0.98319470378543505</v>
      </c>
      <c r="K289">
        <v>0.99575623832965499</v>
      </c>
      <c r="L289">
        <v>0.80266853932584303</v>
      </c>
      <c r="M289">
        <v>0.86336276083467101</v>
      </c>
      <c r="N289">
        <v>0.96288121990369202</v>
      </c>
      <c r="O289">
        <v>0.99618780096308202</v>
      </c>
      <c r="P289">
        <v>0.74280000000000002</v>
      </c>
      <c r="Q289">
        <v>0.88949999999999996</v>
      </c>
      <c r="R289" s="5">
        <v>0.96199999999999997</v>
      </c>
      <c r="S289">
        <v>0.98980000000000001</v>
      </c>
      <c r="T289">
        <v>0.819723113964687</v>
      </c>
      <c r="U289">
        <v>0.87861155698234406</v>
      </c>
      <c r="V289">
        <v>0.96920144462279301</v>
      </c>
      <c r="W289">
        <v>0.99508426966292096</v>
      </c>
      <c r="X289">
        <v>0.84786324786324796</v>
      </c>
      <c r="Y289">
        <v>0.95202279202279205</v>
      </c>
      <c r="Z289">
        <v>0.987350427350427</v>
      </c>
      <c r="AA289">
        <v>0.99680911680911699</v>
      </c>
      <c r="AB289">
        <v>0.72261949567181005</v>
      </c>
      <c r="AC289">
        <v>0.72261949567181005</v>
      </c>
      <c r="AD289">
        <v>0.94279262325931501</v>
      </c>
      <c r="AE289">
        <v>0.99059089198343997</v>
      </c>
    </row>
    <row r="290" spans="1:31" x14ac:dyDescent="0.3">
      <c r="A290" t="s">
        <v>31</v>
      </c>
      <c r="B290">
        <v>30</v>
      </c>
      <c r="C290" t="s">
        <v>32</v>
      </c>
      <c r="D290">
        <v>0.92036405005688304</v>
      </c>
      <c r="E290">
        <v>0.92036405005688304</v>
      </c>
      <c r="F290">
        <v>0.98015421564909599</v>
      </c>
      <c r="G290">
        <v>0.99620781190747099</v>
      </c>
      <c r="H290">
        <v>0.70348021330339605</v>
      </c>
      <c r="I290">
        <v>0.96603985405557102</v>
      </c>
      <c r="J290">
        <v>0.96603985405557102</v>
      </c>
      <c r="K290">
        <v>0.98751052483861901</v>
      </c>
      <c r="L290">
        <v>0.79737973797379702</v>
      </c>
      <c r="M290">
        <v>0.91469146914691501</v>
      </c>
      <c r="N290">
        <v>0.93849384938493896</v>
      </c>
      <c r="O290">
        <v>0.98769876987698801</v>
      </c>
      <c r="P290">
        <v>0.79690000000000005</v>
      </c>
      <c r="Q290">
        <v>0.89980000000000004</v>
      </c>
      <c r="R290" s="5">
        <v>0.95520000000000005</v>
      </c>
      <c r="S290">
        <v>0.98450000000000004</v>
      </c>
      <c r="T290">
        <v>0.79657965796579699</v>
      </c>
      <c r="U290">
        <v>0.90889088908890903</v>
      </c>
      <c r="V290">
        <v>0.938093809380938</v>
      </c>
      <c r="W290">
        <v>0.98649864986498603</v>
      </c>
      <c r="X290">
        <v>0.77709398143319097</v>
      </c>
      <c r="Y290">
        <v>0.97183686241785705</v>
      </c>
      <c r="Z290">
        <v>0.97183686241785705</v>
      </c>
      <c r="AA290">
        <v>0.99207259831021199</v>
      </c>
      <c r="AB290">
        <v>0.92042271454036195</v>
      </c>
      <c r="AC290">
        <v>0.92042271454036195</v>
      </c>
      <c r="AD290">
        <v>0.97873694932518496</v>
      </c>
      <c r="AE290">
        <v>0.99414311179017101</v>
      </c>
    </row>
    <row r="291" spans="1:31" ht="15" thickBot="1" x14ac:dyDescent="0.35">
      <c r="A291" t="s">
        <v>31</v>
      </c>
      <c r="B291">
        <v>50</v>
      </c>
      <c r="C291" t="s">
        <v>32</v>
      </c>
      <c r="D291">
        <v>0.88735135135135101</v>
      </c>
      <c r="E291">
        <v>0.95816216216216199</v>
      </c>
      <c r="F291">
        <v>0.98864864864864899</v>
      </c>
      <c r="G291">
        <v>0.99718918918918897</v>
      </c>
      <c r="H291">
        <v>0.71079580505860596</v>
      </c>
      <c r="I291">
        <v>0.89611351017890195</v>
      </c>
      <c r="J291">
        <v>0.93633559531153598</v>
      </c>
      <c r="K291">
        <v>0.99580505860579904</v>
      </c>
      <c r="L291">
        <v>0.80940000000000001</v>
      </c>
      <c r="M291">
        <v>0.89849999999999997</v>
      </c>
      <c r="N291">
        <v>0.95320000000000005</v>
      </c>
      <c r="O291">
        <v>0.98740000000000006</v>
      </c>
      <c r="P291">
        <v>0.79690000000000005</v>
      </c>
      <c r="Q291">
        <v>0.88170000000000004</v>
      </c>
      <c r="R291" s="5">
        <v>0.93700000000000006</v>
      </c>
      <c r="S291">
        <v>0.99419999999999997</v>
      </c>
      <c r="T291">
        <v>0.80940000000000001</v>
      </c>
      <c r="U291">
        <v>0.8982</v>
      </c>
      <c r="V291">
        <v>0.95069999999999999</v>
      </c>
      <c r="W291">
        <v>0.98729999999999996</v>
      </c>
      <c r="X291">
        <v>0.76400201106083498</v>
      </c>
      <c r="Y291">
        <v>0.90930115635997999</v>
      </c>
      <c r="Z291">
        <v>0.94268476621417796</v>
      </c>
      <c r="AA291">
        <v>0.99698340874811497</v>
      </c>
      <c r="AB291">
        <v>0.88713342711827703</v>
      </c>
      <c r="AC291">
        <v>0.96104317714533105</v>
      </c>
      <c r="AD291">
        <v>0.98712260577859501</v>
      </c>
      <c r="AE291">
        <v>0.99707823828590003</v>
      </c>
    </row>
    <row r="292" spans="1:31" ht="15" thickTop="1" x14ac:dyDescent="0.3">
      <c r="A292" s="1" t="s">
        <v>56</v>
      </c>
      <c r="B292" s="1">
        <v>20</v>
      </c>
      <c r="C292" s="1" t="s">
        <v>58</v>
      </c>
      <c r="D292" s="1" t="s">
        <v>59</v>
      </c>
      <c r="E292" s="1" t="s">
        <v>59</v>
      </c>
      <c r="F292" s="1" t="s">
        <v>59</v>
      </c>
      <c r="G292" s="1" t="s">
        <v>59</v>
      </c>
      <c r="H292" s="1" t="s">
        <v>59</v>
      </c>
      <c r="I292" s="1" t="s">
        <v>59</v>
      </c>
      <c r="J292" s="1" t="s">
        <v>59</v>
      </c>
      <c r="K292" s="1" t="s">
        <v>59</v>
      </c>
      <c r="L292" s="1" t="s">
        <v>59</v>
      </c>
      <c r="M292" s="1" t="s">
        <v>59</v>
      </c>
      <c r="N292" s="1" t="s">
        <v>59</v>
      </c>
      <c r="O292" s="1" t="s">
        <v>59</v>
      </c>
      <c r="P292" s="1">
        <v>0.7359</v>
      </c>
      <c r="Q292" s="1">
        <v>0.84709999999999996</v>
      </c>
      <c r="R292" s="6">
        <v>0.91339999999999999</v>
      </c>
      <c r="S292" s="1">
        <v>0.98240000000000005</v>
      </c>
      <c r="T292" s="1" t="s">
        <v>59</v>
      </c>
      <c r="U292" s="1" t="s">
        <v>59</v>
      </c>
      <c r="V292" s="1" t="s">
        <v>59</v>
      </c>
      <c r="W292" s="1" t="s">
        <v>59</v>
      </c>
      <c r="X292" s="1" t="s">
        <v>59</v>
      </c>
      <c r="Y292" s="1" t="s">
        <v>59</v>
      </c>
      <c r="Z292" s="1" t="s">
        <v>59</v>
      </c>
      <c r="AA292" s="1" t="s">
        <v>59</v>
      </c>
      <c r="AB292" s="1" t="s">
        <v>59</v>
      </c>
      <c r="AC292" s="1" t="s">
        <v>59</v>
      </c>
      <c r="AD292" s="1" t="s">
        <v>59</v>
      </c>
      <c r="AE292" s="1" t="s">
        <v>59</v>
      </c>
    </row>
    <row r="293" spans="1:31" x14ac:dyDescent="0.3">
      <c r="A293" t="s">
        <v>56</v>
      </c>
      <c r="B293">
        <v>30</v>
      </c>
      <c r="C293" t="s">
        <v>58</v>
      </c>
      <c r="D293" t="s">
        <v>59</v>
      </c>
      <c r="E293" t="s">
        <v>59</v>
      </c>
      <c r="F293" t="s">
        <v>59</v>
      </c>
      <c r="G293" t="s">
        <v>59</v>
      </c>
      <c r="H293" t="s">
        <v>59</v>
      </c>
      <c r="I293" t="s">
        <v>59</v>
      </c>
      <c r="J293" t="s">
        <v>59</v>
      </c>
      <c r="K293" t="s">
        <v>59</v>
      </c>
      <c r="L293" t="s">
        <v>59</v>
      </c>
      <c r="M293" t="s">
        <v>59</v>
      </c>
      <c r="N293" t="s">
        <v>59</v>
      </c>
      <c r="O293" t="s">
        <v>59</v>
      </c>
      <c r="P293">
        <v>0.6804</v>
      </c>
      <c r="Q293">
        <v>0.8135</v>
      </c>
      <c r="R293" s="5">
        <v>0.88859999999999995</v>
      </c>
      <c r="S293">
        <v>0.97119999999999995</v>
      </c>
      <c r="T293" t="s">
        <v>59</v>
      </c>
      <c r="U293" t="s">
        <v>59</v>
      </c>
      <c r="V293" t="s">
        <v>59</v>
      </c>
      <c r="W293" t="s">
        <v>59</v>
      </c>
      <c r="X293" t="s">
        <v>59</v>
      </c>
      <c r="Y293" t="s">
        <v>59</v>
      </c>
      <c r="Z293" t="s">
        <v>59</v>
      </c>
      <c r="AA293" t="s">
        <v>59</v>
      </c>
      <c r="AB293" t="s">
        <v>59</v>
      </c>
      <c r="AC293" t="s">
        <v>59</v>
      </c>
      <c r="AD293" t="s">
        <v>59</v>
      </c>
      <c r="AE293" t="s">
        <v>59</v>
      </c>
    </row>
    <row r="294" spans="1:31" x14ac:dyDescent="0.3">
      <c r="A294" t="s">
        <v>56</v>
      </c>
      <c r="B294">
        <v>50</v>
      </c>
      <c r="C294" t="s">
        <v>58</v>
      </c>
      <c r="D294" t="s">
        <v>59</v>
      </c>
      <c r="E294" t="s">
        <v>59</v>
      </c>
      <c r="F294" t="s">
        <v>59</v>
      </c>
      <c r="G294" t="s">
        <v>59</v>
      </c>
      <c r="H294" t="s">
        <v>59</v>
      </c>
      <c r="I294" t="s">
        <v>59</v>
      </c>
      <c r="J294" t="s">
        <v>59</v>
      </c>
      <c r="K294" t="s">
        <v>59</v>
      </c>
      <c r="L294" t="s">
        <v>59</v>
      </c>
      <c r="M294" t="s">
        <v>59</v>
      </c>
      <c r="N294" t="s">
        <v>59</v>
      </c>
      <c r="O294" t="s">
        <v>59</v>
      </c>
      <c r="P294">
        <v>0.61629999999999996</v>
      </c>
      <c r="Q294">
        <v>0.74950000000000006</v>
      </c>
      <c r="R294" s="5">
        <v>0.84909999999999997</v>
      </c>
      <c r="S294">
        <v>0.95630000000000004</v>
      </c>
      <c r="T294" t="s">
        <v>59</v>
      </c>
      <c r="U294" t="s">
        <v>59</v>
      </c>
      <c r="V294" t="s">
        <v>59</v>
      </c>
      <c r="W294" t="s">
        <v>59</v>
      </c>
      <c r="X294" t="s">
        <v>59</v>
      </c>
      <c r="Y294" t="s">
        <v>59</v>
      </c>
      <c r="Z294" t="s">
        <v>59</v>
      </c>
      <c r="AA294" t="s">
        <v>59</v>
      </c>
      <c r="AB294" t="s">
        <v>59</v>
      </c>
      <c r="AC294" t="s">
        <v>59</v>
      </c>
      <c r="AD294" t="s">
        <v>59</v>
      </c>
      <c r="AE294" t="s">
        <v>59</v>
      </c>
    </row>
    <row r="295" spans="1:31" x14ac:dyDescent="0.3">
      <c r="A295" t="s">
        <v>57</v>
      </c>
      <c r="B295">
        <v>20</v>
      </c>
      <c r="C295" s="11" t="s">
        <v>58</v>
      </c>
      <c r="D295" t="s">
        <v>59</v>
      </c>
      <c r="E295" t="s">
        <v>59</v>
      </c>
      <c r="F295" t="s">
        <v>59</v>
      </c>
      <c r="G295" t="s">
        <v>59</v>
      </c>
      <c r="H295" t="s">
        <v>59</v>
      </c>
      <c r="I295" t="s">
        <v>59</v>
      </c>
      <c r="J295" t="s">
        <v>59</v>
      </c>
      <c r="K295" t="s">
        <v>59</v>
      </c>
      <c r="L295" t="s">
        <v>59</v>
      </c>
      <c r="M295" t="s">
        <v>59</v>
      </c>
      <c r="N295" t="s">
        <v>59</v>
      </c>
      <c r="O295" t="s">
        <v>59</v>
      </c>
      <c r="P295">
        <v>0.69620000000000004</v>
      </c>
      <c r="Q295">
        <v>0.81869999999999998</v>
      </c>
      <c r="R295" s="5">
        <v>0.89319999999999999</v>
      </c>
      <c r="S295">
        <v>0.9728</v>
      </c>
      <c r="T295" t="s">
        <v>59</v>
      </c>
      <c r="U295" t="s">
        <v>59</v>
      </c>
      <c r="V295" t="s">
        <v>59</v>
      </c>
      <c r="W295" t="s">
        <v>59</v>
      </c>
      <c r="X295" t="s">
        <v>59</v>
      </c>
      <c r="Y295" t="s">
        <v>59</v>
      </c>
      <c r="Z295" t="s">
        <v>59</v>
      </c>
      <c r="AA295" t="s">
        <v>59</v>
      </c>
      <c r="AB295" t="s">
        <v>59</v>
      </c>
      <c r="AC295" t="s">
        <v>59</v>
      </c>
      <c r="AD295" t="s">
        <v>59</v>
      </c>
      <c r="AE295" t="s">
        <v>59</v>
      </c>
    </row>
    <row r="296" spans="1:31" x14ac:dyDescent="0.3">
      <c r="A296" t="s">
        <v>57</v>
      </c>
      <c r="B296">
        <v>30</v>
      </c>
      <c r="C296" s="11" t="s">
        <v>58</v>
      </c>
      <c r="D296" t="s">
        <v>59</v>
      </c>
      <c r="E296" t="s">
        <v>59</v>
      </c>
      <c r="F296" t="s">
        <v>59</v>
      </c>
      <c r="G296" t="s">
        <v>59</v>
      </c>
      <c r="H296" t="s">
        <v>59</v>
      </c>
      <c r="I296" t="s">
        <v>59</v>
      </c>
      <c r="J296" t="s">
        <v>59</v>
      </c>
      <c r="K296" t="s">
        <v>59</v>
      </c>
      <c r="L296" t="s">
        <v>59</v>
      </c>
      <c r="M296" t="s">
        <v>59</v>
      </c>
      <c r="N296" t="s">
        <v>59</v>
      </c>
      <c r="O296" t="s">
        <v>59</v>
      </c>
      <c r="P296">
        <v>0.63049999999999995</v>
      </c>
      <c r="Q296">
        <v>0.77159999999999995</v>
      </c>
      <c r="R296" s="5">
        <v>0.86240000000000006</v>
      </c>
      <c r="S296">
        <v>0.95909999999999995</v>
      </c>
      <c r="T296" t="s">
        <v>59</v>
      </c>
      <c r="U296" t="s">
        <v>59</v>
      </c>
      <c r="V296" t="s">
        <v>59</v>
      </c>
      <c r="W296" t="s">
        <v>59</v>
      </c>
      <c r="X296" t="s">
        <v>59</v>
      </c>
      <c r="Y296" t="s">
        <v>59</v>
      </c>
      <c r="Z296" t="s">
        <v>59</v>
      </c>
      <c r="AA296" t="s">
        <v>59</v>
      </c>
      <c r="AB296" t="s">
        <v>59</v>
      </c>
      <c r="AC296" t="s">
        <v>59</v>
      </c>
      <c r="AD296" t="s">
        <v>59</v>
      </c>
      <c r="AE296" t="s">
        <v>59</v>
      </c>
    </row>
    <row r="297" spans="1:31" x14ac:dyDescent="0.3">
      <c r="A297" t="s">
        <v>57</v>
      </c>
      <c r="B297">
        <v>50</v>
      </c>
      <c r="C297" s="11" t="s">
        <v>58</v>
      </c>
      <c r="D297" t="s">
        <v>59</v>
      </c>
      <c r="E297" t="s">
        <v>59</v>
      </c>
      <c r="F297" t="s">
        <v>59</v>
      </c>
      <c r="G297" t="s">
        <v>59</v>
      </c>
      <c r="H297" t="s">
        <v>59</v>
      </c>
      <c r="I297" t="s">
        <v>59</v>
      </c>
      <c r="J297" t="s">
        <v>59</v>
      </c>
      <c r="K297" t="s">
        <v>59</v>
      </c>
      <c r="L297" t="s">
        <v>59</v>
      </c>
      <c r="M297" t="s">
        <v>59</v>
      </c>
      <c r="N297" t="s">
        <v>59</v>
      </c>
      <c r="O297" t="s">
        <v>59</v>
      </c>
      <c r="P297">
        <v>0.52839999999999998</v>
      </c>
      <c r="Q297">
        <v>0.67569999999999997</v>
      </c>
      <c r="R297" s="5">
        <v>0.7893</v>
      </c>
      <c r="S297">
        <v>0.93</v>
      </c>
      <c r="T297" t="s">
        <v>59</v>
      </c>
      <c r="U297" t="s">
        <v>59</v>
      </c>
      <c r="V297" t="s">
        <v>59</v>
      </c>
      <c r="W297" t="s">
        <v>59</v>
      </c>
      <c r="X297" t="s">
        <v>59</v>
      </c>
      <c r="Y297" t="s">
        <v>59</v>
      </c>
      <c r="Z297" t="s">
        <v>59</v>
      </c>
      <c r="AA297" t="s">
        <v>59</v>
      </c>
      <c r="AB297" t="s">
        <v>59</v>
      </c>
      <c r="AC297" t="s">
        <v>59</v>
      </c>
      <c r="AD297" t="s">
        <v>59</v>
      </c>
      <c r="AE297" t="s">
        <v>59</v>
      </c>
    </row>
    <row r="298" spans="1:31" x14ac:dyDescent="0.3">
      <c r="A298" t="s">
        <v>31</v>
      </c>
      <c r="B298">
        <v>20</v>
      </c>
      <c r="C298" t="s">
        <v>58</v>
      </c>
      <c r="D298" t="s">
        <v>59</v>
      </c>
      <c r="E298" t="s">
        <v>59</v>
      </c>
      <c r="F298" t="s">
        <v>59</v>
      </c>
      <c r="G298" t="s">
        <v>59</v>
      </c>
      <c r="H298" t="s">
        <v>59</v>
      </c>
      <c r="I298" t="s">
        <v>59</v>
      </c>
      <c r="J298" t="s">
        <v>59</v>
      </c>
      <c r="K298" t="s">
        <v>59</v>
      </c>
      <c r="L298" t="s">
        <v>59</v>
      </c>
      <c r="M298" t="s">
        <v>59</v>
      </c>
      <c r="N298" t="s">
        <v>59</v>
      </c>
      <c r="O298" t="s">
        <v>59</v>
      </c>
      <c r="P298">
        <v>0.81269999999999998</v>
      </c>
      <c r="Q298">
        <v>0.90610000000000002</v>
      </c>
      <c r="R298" s="5">
        <v>0.95640000000000003</v>
      </c>
      <c r="S298">
        <v>0.99070000000000003</v>
      </c>
      <c r="T298" t="s">
        <v>59</v>
      </c>
      <c r="U298" t="s">
        <v>59</v>
      </c>
      <c r="V298" t="s">
        <v>59</v>
      </c>
      <c r="W298" t="s">
        <v>59</v>
      </c>
      <c r="X298" t="s">
        <v>59</v>
      </c>
      <c r="Y298" t="s">
        <v>59</v>
      </c>
      <c r="Z298" t="s">
        <v>59</v>
      </c>
      <c r="AA298" t="s">
        <v>59</v>
      </c>
      <c r="AB298" t="s">
        <v>59</v>
      </c>
      <c r="AC298" t="s">
        <v>59</v>
      </c>
      <c r="AD298" t="s">
        <v>59</v>
      </c>
      <c r="AE298" t="s">
        <v>59</v>
      </c>
    </row>
    <row r="299" spans="1:31" x14ac:dyDescent="0.3">
      <c r="A299" t="s">
        <v>31</v>
      </c>
      <c r="B299">
        <v>30</v>
      </c>
      <c r="C299" t="s">
        <v>58</v>
      </c>
      <c r="D299" t="s">
        <v>59</v>
      </c>
      <c r="E299" t="s">
        <v>59</v>
      </c>
      <c r="F299" t="s">
        <v>59</v>
      </c>
      <c r="G299" t="s">
        <v>59</v>
      </c>
      <c r="H299" t="s">
        <v>59</v>
      </c>
      <c r="I299" t="s">
        <v>59</v>
      </c>
      <c r="J299" t="s">
        <v>59</v>
      </c>
      <c r="K299" t="s">
        <v>59</v>
      </c>
      <c r="L299" t="s">
        <v>59</v>
      </c>
      <c r="M299" t="s">
        <v>59</v>
      </c>
      <c r="N299" t="s">
        <v>59</v>
      </c>
      <c r="O299" t="s">
        <v>59</v>
      </c>
      <c r="P299">
        <v>0.80310000000000004</v>
      </c>
      <c r="Q299">
        <v>0.90310000000000001</v>
      </c>
      <c r="R299" s="5">
        <v>0.94950000000000001</v>
      </c>
      <c r="S299">
        <v>0.98960000000000004</v>
      </c>
      <c r="T299" t="s">
        <v>59</v>
      </c>
      <c r="U299" t="s">
        <v>59</v>
      </c>
      <c r="V299" t="s">
        <v>59</v>
      </c>
      <c r="W299" t="s">
        <v>59</v>
      </c>
      <c r="X299" t="s">
        <v>59</v>
      </c>
      <c r="Y299" t="s">
        <v>59</v>
      </c>
      <c r="Z299" t="s">
        <v>59</v>
      </c>
      <c r="AA299" t="s">
        <v>59</v>
      </c>
      <c r="AB299" t="s">
        <v>59</v>
      </c>
      <c r="AC299" t="s">
        <v>59</v>
      </c>
      <c r="AD299" t="s">
        <v>59</v>
      </c>
      <c r="AE299" t="s">
        <v>59</v>
      </c>
    </row>
    <row r="300" spans="1:31" ht="15" thickBot="1" x14ac:dyDescent="0.35">
      <c r="A300" t="s">
        <v>31</v>
      </c>
      <c r="B300">
        <v>50</v>
      </c>
      <c r="C300" t="s">
        <v>58</v>
      </c>
      <c r="D300" t="s">
        <v>59</v>
      </c>
      <c r="E300" t="s">
        <v>59</v>
      </c>
      <c r="F300" t="s">
        <v>59</v>
      </c>
      <c r="G300" t="s">
        <v>59</v>
      </c>
      <c r="H300" t="s">
        <v>59</v>
      </c>
      <c r="I300" t="s">
        <v>59</v>
      </c>
      <c r="J300" t="s">
        <v>59</v>
      </c>
      <c r="K300" t="s">
        <v>59</v>
      </c>
      <c r="L300" t="s">
        <v>59</v>
      </c>
      <c r="M300" t="s">
        <v>59</v>
      </c>
      <c r="N300" t="s">
        <v>59</v>
      </c>
      <c r="O300" t="s">
        <v>59</v>
      </c>
      <c r="P300">
        <v>0.79579999999999995</v>
      </c>
      <c r="Q300">
        <v>0.90300000000000002</v>
      </c>
      <c r="R300" s="5">
        <v>0.95150000000000001</v>
      </c>
      <c r="S300">
        <v>0.9909</v>
      </c>
      <c r="T300" t="s">
        <v>59</v>
      </c>
      <c r="U300" t="s">
        <v>59</v>
      </c>
      <c r="V300" t="s">
        <v>59</v>
      </c>
      <c r="W300" t="s">
        <v>59</v>
      </c>
      <c r="X300" t="s">
        <v>59</v>
      </c>
      <c r="Y300" t="s">
        <v>59</v>
      </c>
      <c r="Z300" t="s">
        <v>59</v>
      </c>
      <c r="AA300" t="s">
        <v>59</v>
      </c>
      <c r="AB300" t="s">
        <v>59</v>
      </c>
      <c r="AC300" t="s">
        <v>59</v>
      </c>
      <c r="AD300" t="s">
        <v>59</v>
      </c>
      <c r="AE300" t="s">
        <v>59</v>
      </c>
    </row>
    <row r="301" spans="1:31" ht="15" thickTop="1" x14ac:dyDescent="0.3">
      <c r="A301" s="1" t="s">
        <v>56</v>
      </c>
      <c r="B301" s="1">
        <v>20</v>
      </c>
      <c r="C301" s="1" t="s">
        <v>42</v>
      </c>
      <c r="D301" s="1">
        <v>0.88080000000000003</v>
      </c>
      <c r="E301" s="1">
        <v>0.96030000000000004</v>
      </c>
      <c r="F301" s="1">
        <v>0.98909999999999998</v>
      </c>
      <c r="G301" s="1">
        <v>0.99919999999999998</v>
      </c>
      <c r="H301" s="1">
        <v>0.92290000000000005</v>
      </c>
      <c r="I301" s="1">
        <v>0.97629999999999995</v>
      </c>
      <c r="J301" s="1">
        <v>0.99199999999999999</v>
      </c>
      <c r="K301" s="1">
        <v>0.99960000000000004</v>
      </c>
      <c r="L301" s="1">
        <v>0.89019999999999999</v>
      </c>
      <c r="M301" s="1">
        <v>0.96309999999999996</v>
      </c>
      <c r="N301" s="1">
        <v>0.98609999999999998</v>
      </c>
      <c r="O301" s="1">
        <v>0.99870000000000003</v>
      </c>
      <c r="P301" s="1">
        <v>0.84630000000000005</v>
      </c>
      <c r="Q301" s="1">
        <v>0.93500000000000005</v>
      </c>
      <c r="R301" s="6">
        <v>0.9728</v>
      </c>
      <c r="S301" s="1">
        <v>0.99619999999999997</v>
      </c>
      <c r="T301" s="1">
        <v>0.83040000000000003</v>
      </c>
      <c r="U301" s="1">
        <v>0.92330000000000001</v>
      </c>
      <c r="V301" s="1">
        <v>0.96350000000000002</v>
      </c>
      <c r="W301" s="1">
        <v>0.99439999999999995</v>
      </c>
      <c r="X301" s="1">
        <v>0.81340000000000001</v>
      </c>
      <c r="Y301" s="1">
        <v>0.89580000000000004</v>
      </c>
      <c r="Z301" s="1">
        <v>0.95150000000000001</v>
      </c>
      <c r="AA301" s="1">
        <v>0.99609999999999999</v>
      </c>
      <c r="AB301" s="1">
        <v>0.71577679646728198</v>
      </c>
      <c r="AC301" s="1">
        <v>0.95764753111200296</v>
      </c>
      <c r="AD301" s="1">
        <v>0.98243677238057003</v>
      </c>
      <c r="AE301" s="1">
        <v>0.99688879967884403</v>
      </c>
    </row>
    <row r="302" spans="1:31" x14ac:dyDescent="0.3">
      <c r="A302" t="s">
        <v>56</v>
      </c>
      <c r="B302">
        <v>30</v>
      </c>
      <c r="C302" t="s">
        <v>42</v>
      </c>
      <c r="D302">
        <v>0.86219999999999997</v>
      </c>
      <c r="E302">
        <v>0.94889999999999997</v>
      </c>
      <c r="F302">
        <v>0.98260000000000003</v>
      </c>
      <c r="G302">
        <v>0.99829999999999997</v>
      </c>
      <c r="H302">
        <v>0.90959999999999996</v>
      </c>
      <c r="I302">
        <v>0.97199999999999998</v>
      </c>
      <c r="J302">
        <v>0.99139999999999995</v>
      </c>
      <c r="K302">
        <v>0.99909999999999999</v>
      </c>
      <c r="L302">
        <v>0.88780000000000003</v>
      </c>
      <c r="M302">
        <v>0.95820000000000005</v>
      </c>
      <c r="N302">
        <v>0.98440000000000005</v>
      </c>
      <c r="O302">
        <v>0.99860000000000004</v>
      </c>
      <c r="P302">
        <v>0.84609999999999996</v>
      </c>
      <c r="Q302">
        <v>0.93140000000000001</v>
      </c>
      <c r="R302" s="5">
        <v>0.97170000000000001</v>
      </c>
      <c r="S302">
        <v>0.99670000000000003</v>
      </c>
      <c r="T302">
        <v>0.8306</v>
      </c>
      <c r="U302">
        <v>0.9234</v>
      </c>
      <c r="V302">
        <v>0.96709999999999996</v>
      </c>
      <c r="W302">
        <v>0.99409999999999998</v>
      </c>
      <c r="X302">
        <v>0.82199999999999995</v>
      </c>
      <c r="Y302">
        <v>0.92379999999999995</v>
      </c>
      <c r="Z302">
        <v>0.95579999999999998</v>
      </c>
      <c r="AA302">
        <v>0.99639999999999995</v>
      </c>
      <c r="AB302">
        <v>0.77539999999999998</v>
      </c>
      <c r="AC302">
        <v>0.86880000000000002</v>
      </c>
      <c r="AD302">
        <v>0.98460000000000003</v>
      </c>
      <c r="AE302">
        <v>0.99780000000000002</v>
      </c>
    </row>
    <row r="303" spans="1:31" x14ac:dyDescent="0.3">
      <c r="A303" t="s">
        <v>56</v>
      </c>
      <c r="B303">
        <v>50</v>
      </c>
      <c r="C303" t="s">
        <v>42</v>
      </c>
      <c r="D303">
        <v>0.83279999999999998</v>
      </c>
      <c r="E303">
        <v>0.93230000000000002</v>
      </c>
      <c r="F303">
        <v>0.97370000000000001</v>
      </c>
      <c r="G303">
        <v>0.998</v>
      </c>
      <c r="H303">
        <v>0.90600000000000003</v>
      </c>
      <c r="I303">
        <v>0.96830000000000005</v>
      </c>
      <c r="J303">
        <v>0.98909999999999998</v>
      </c>
      <c r="K303">
        <v>0.99929999999999997</v>
      </c>
      <c r="L303">
        <v>0.87580000000000002</v>
      </c>
      <c r="M303">
        <v>0.95369999999999999</v>
      </c>
      <c r="N303">
        <v>0.98160000000000003</v>
      </c>
      <c r="O303">
        <v>0.998</v>
      </c>
      <c r="P303">
        <v>0.84950000000000003</v>
      </c>
      <c r="Q303">
        <v>0.93330000000000002</v>
      </c>
      <c r="R303" s="5">
        <v>0.97119999999999995</v>
      </c>
      <c r="S303">
        <v>0.99660000000000004</v>
      </c>
      <c r="T303">
        <v>0.82669999999999999</v>
      </c>
      <c r="U303">
        <v>0.91500000000000004</v>
      </c>
      <c r="V303">
        <v>0.96230000000000004</v>
      </c>
      <c r="W303">
        <v>0.9919</v>
      </c>
      <c r="X303">
        <v>0.8196</v>
      </c>
      <c r="Y303">
        <v>0.91869999999999996</v>
      </c>
      <c r="Z303">
        <v>0.95989999999999998</v>
      </c>
      <c r="AA303">
        <v>0.99370000000000003</v>
      </c>
      <c r="AB303">
        <v>0.82899999999999996</v>
      </c>
      <c r="AC303">
        <v>0.90429999999999999</v>
      </c>
      <c r="AD303">
        <v>0.9456</v>
      </c>
      <c r="AE303">
        <v>0.997</v>
      </c>
    </row>
    <row r="304" spans="1:31" x14ac:dyDescent="0.3">
      <c r="A304" t="s">
        <v>57</v>
      </c>
      <c r="B304">
        <v>20</v>
      </c>
      <c r="C304" t="s">
        <v>42</v>
      </c>
      <c r="D304">
        <v>8.0399999999999999E-2</v>
      </c>
      <c r="E304">
        <v>0.22650000000000001</v>
      </c>
      <c r="F304">
        <v>0.42570000000000002</v>
      </c>
      <c r="G304">
        <v>0.82989999999999997</v>
      </c>
      <c r="H304">
        <v>0.4778</v>
      </c>
      <c r="I304">
        <v>0.7399</v>
      </c>
      <c r="J304">
        <v>0.89319999999999999</v>
      </c>
      <c r="K304">
        <v>0.99229999999999996</v>
      </c>
      <c r="L304">
        <v>0.96760000000000002</v>
      </c>
      <c r="M304">
        <v>0.99470000000000003</v>
      </c>
      <c r="N304">
        <v>0.99939999999999996</v>
      </c>
      <c r="O304">
        <v>1</v>
      </c>
      <c r="P304">
        <v>0.89700000000000002</v>
      </c>
      <c r="Q304">
        <v>0.96350000000000002</v>
      </c>
      <c r="R304" s="5">
        <v>0.98850000000000005</v>
      </c>
      <c r="S304">
        <v>0.99929999999999997</v>
      </c>
      <c r="T304">
        <v>0.86050000000000004</v>
      </c>
      <c r="U304">
        <v>0.94579999999999997</v>
      </c>
      <c r="V304">
        <v>0.97799999999999998</v>
      </c>
      <c r="W304">
        <v>0.998</v>
      </c>
      <c r="X304">
        <v>0.85850000000000004</v>
      </c>
      <c r="Y304">
        <v>0.94259999999999999</v>
      </c>
      <c r="Z304">
        <v>0.98170000000000002</v>
      </c>
      <c r="AA304">
        <v>0.997</v>
      </c>
      <c r="AB304">
        <v>0.86909999999999998</v>
      </c>
      <c r="AC304">
        <v>0.9627</v>
      </c>
      <c r="AD304">
        <v>0.98470000000000002</v>
      </c>
      <c r="AE304">
        <v>0.99760000000000004</v>
      </c>
    </row>
    <row r="305" spans="1:31" x14ac:dyDescent="0.3">
      <c r="A305" t="s">
        <v>57</v>
      </c>
      <c r="B305">
        <v>30</v>
      </c>
      <c r="C305" t="s">
        <v>42</v>
      </c>
      <c r="D305">
        <v>2.6100000000000002E-2</v>
      </c>
      <c r="E305">
        <v>9.4600000000000004E-2</v>
      </c>
      <c r="F305">
        <v>0.2215</v>
      </c>
      <c r="G305">
        <v>0.64090000000000003</v>
      </c>
      <c r="H305">
        <v>0.3523</v>
      </c>
      <c r="I305">
        <v>0.60629999999999995</v>
      </c>
      <c r="J305">
        <v>0.81330000000000002</v>
      </c>
      <c r="K305">
        <v>0.97970000000000002</v>
      </c>
      <c r="L305">
        <v>0.96220000000000006</v>
      </c>
      <c r="M305">
        <v>0.99360000000000004</v>
      </c>
      <c r="N305">
        <v>0.99890000000000001</v>
      </c>
      <c r="O305">
        <v>1</v>
      </c>
      <c r="P305">
        <v>0.876</v>
      </c>
      <c r="Q305">
        <v>0.95369999999999999</v>
      </c>
      <c r="R305" s="5">
        <v>0.98329999999999995</v>
      </c>
      <c r="S305">
        <v>0.99880000000000002</v>
      </c>
      <c r="T305">
        <v>0.8538</v>
      </c>
      <c r="U305">
        <v>0.93730000000000002</v>
      </c>
      <c r="V305">
        <v>0.97450000000000003</v>
      </c>
      <c r="W305">
        <v>0.99670000000000003</v>
      </c>
      <c r="X305">
        <v>0.86070000000000002</v>
      </c>
      <c r="Y305">
        <v>0.93959999999999999</v>
      </c>
      <c r="Z305">
        <v>0.97609999999999997</v>
      </c>
      <c r="AA305">
        <v>0.99590000000000001</v>
      </c>
      <c r="AB305">
        <v>0.83960000000000001</v>
      </c>
      <c r="AC305">
        <v>0.94720000000000004</v>
      </c>
      <c r="AD305">
        <v>0.98250000000000004</v>
      </c>
      <c r="AE305">
        <v>0.99750000000000005</v>
      </c>
    </row>
    <row r="306" spans="1:31" x14ac:dyDescent="0.3">
      <c r="A306" t="s">
        <v>57</v>
      </c>
      <c r="B306">
        <v>50</v>
      </c>
      <c r="C306" t="s">
        <v>42</v>
      </c>
      <c r="D306">
        <v>3.6000000000000502E-3</v>
      </c>
      <c r="E306">
        <v>1.6899999999999998E-2</v>
      </c>
      <c r="F306">
        <v>5.9000000000000101E-2</v>
      </c>
      <c r="G306">
        <v>0.307</v>
      </c>
      <c r="H306">
        <v>0.20519999999999999</v>
      </c>
      <c r="I306">
        <v>0.43959999999999999</v>
      </c>
      <c r="J306">
        <v>0.66049999999999998</v>
      </c>
      <c r="K306">
        <v>0.93940000000000001</v>
      </c>
      <c r="L306">
        <v>0.96499999999999997</v>
      </c>
      <c r="M306">
        <v>0.99390000000000001</v>
      </c>
      <c r="N306">
        <v>0.99909999999999999</v>
      </c>
      <c r="O306">
        <v>1</v>
      </c>
      <c r="P306">
        <v>0.8377</v>
      </c>
      <c r="Q306">
        <v>0.93610000000000004</v>
      </c>
      <c r="R306" s="5">
        <v>0.97399999999999998</v>
      </c>
      <c r="S306">
        <v>0.998</v>
      </c>
      <c r="T306">
        <v>0.83020000000000005</v>
      </c>
      <c r="U306">
        <v>0.92400000000000004</v>
      </c>
      <c r="V306">
        <v>0.96440000000000003</v>
      </c>
      <c r="W306">
        <v>0.99570000000000003</v>
      </c>
      <c r="X306">
        <v>0.84770000000000001</v>
      </c>
      <c r="Y306">
        <v>0.93459999999999999</v>
      </c>
      <c r="Z306">
        <v>0.96840000000000004</v>
      </c>
      <c r="AA306">
        <v>0.99639999999999995</v>
      </c>
      <c r="AB306">
        <v>0.85409999999999997</v>
      </c>
      <c r="AC306">
        <v>0.93879999999999997</v>
      </c>
      <c r="AD306">
        <v>0.97560000000000002</v>
      </c>
      <c r="AE306">
        <v>0.99729999999999996</v>
      </c>
    </row>
    <row r="307" spans="1:31" x14ac:dyDescent="0.3">
      <c r="A307" t="s">
        <v>31</v>
      </c>
      <c r="B307">
        <v>20</v>
      </c>
      <c r="C307" t="s">
        <v>42</v>
      </c>
      <c r="D307">
        <v>0.87290000000000001</v>
      </c>
      <c r="E307">
        <v>0.94730000000000003</v>
      </c>
      <c r="F307">
        <v>0.97889999999999999</v>
      </c>
      <c r="G307">
        <v>0.99760000000000004</v>
      </c>
      <c r="H307">
        <v>0.87709999999999999</v>
      </c>
      <c r="I307">
        <v>0.9546</v>
      </c>
      <c r="J307">
        <v>0.98099999999999998</v>
      </c>
      <c r="K307">
        <v>0.99770000000000003</v>
      </c>
      <c r="L307">
        <v>0.8962</v>
      </c>
      <c r="M307">
        <v>0.96130000000000004</v>
      </c>
      <c r="N307">
        <v>0.9849</v>
      </c>
      <c r="O307">
        <v>0.99909999999999999</v>
      </c>
      <c r="P307">
        <v>0.91579999999999995</v>
      </c>
      <c r="Q307">
        <v>0.97419999999999995</v>
      </c>
      <c r="R307" s="5">
        <v>0.99209999999999998</v>
      </c>
      <c r="S307">
        <v>0.99939999999999996</v>
      </c>
      <c r="T307">
        <v>0.90310000000000001</v>
      </c>
      <c r="U307">
        <v>0.96699999999999997</v>
      </c>
      <c r="V307">
        <v>0.98760000000000003</v>
      </c>
      <c r="W307">
        <v>0.99870000000000003</v>
      </c>
      <c r="X307">
        <v>0.87709999999999999</v>
      </c>
      <c r="Y307">
        <v>0.95009999999999994</v>
      </c>
      <c r="Z307">
        <v>0.98170000000000002</v>
      </c>
      <c r="AA307">
        <v>0.99709999999999999</v>
      </c>
      <c r="AB307">
        <v>0.88239999999999996</v>
      </c>
      <c r="AC307">
        <v>0.9486</v>
      </c>
      <c r="AD307">
        <v>0.98050000000000004</v>
      </c>
      <c r="AE307">
        <v>0.99790000000000001</v>
      </c>
    </row>
    <row r="308" spans="1:31" x14ac:dyDescent="0.3">
      <c r="A308" t="s">
        <v>31</v>
      </c>
      <c r="B308">
        <v>30</v>
      </c>
      <c r="C308" t="s">
        <v>42</v>
      </c>
      <c r="D308">
        <v>0.86119999999999997</v>
      </c>
      <c r="E308">
        <v>0.94120000000000004</v>
      </c>
      <c r="F308">
        <v>0.97609999999999997</v>
      </c>
      <c r="G308">
        <v>0.99709999999999999</v>
      </c>
      <c r="H308">
        <v>0.86570000000000003</v>
      </c>
      <c r="I308">
        <v>0.94630000000000003</v>
      </c>
      <c r="J308">
        <v>0.97740000000000005</v>
      </c>
      <c r="K308">
        <v>0.99719999999999998</v>
      </c>
      <c r="L308">
        <v>0.88939999999999997</v>
      </c>
      <c r="M308">
        <v>0.95840000000000003</v>
      </c>
      <c r="N308">
        <v>0.98460000000000003</v>
      </c>
      <c r="O308">
        <v>0.99890000000000001</v>
      </c>
      <c r="P308">
        <v>0.90510000000000002</v>
      </c>
      <c r="Q308">
        <v>0.96850000000000003</v>
      </c>
      <c r="R308" s="5">
        <v>0.98909999999999998</v>
      </c>
      <c r="S308">
        <v>0.99919999999999998</v>
      </c>
      <c r="T308">
        <v>0.8841</v>
      </c>
      <c r="U308">
        <v>0.95689999999999997</v>
      </c>
      <c r="V308">
        <v>0.9829</v>
      </c>
      <c r="W308">
        <v>0.99870000000000003</v>
      </c>
      <c r="X308">
        <v>0.86270000000000002</v>
      </c>
      <c r="Y308">
        <v>0.94289999999999996</v>
      </c>
      <c r="Z308">
        <v>0.9758</v>
      </c>
      <c r="AA308">
        <v>0.99729999999999996</v>
      </c>
      <c r="AB308">
        <v>0.86219999999999997</v>
      </c>
      <c r="AC308">
        <v>0.94269999999999998</v>
      </c>
      <c r="AD308">
        <v>0.97430000000000005</v>
      </c>
      <c r="AE308">
        <v>0.99590000000000001</v>
      </c>
    </row>
    <row r="309" spans="1:31" ht="15" thickBot="1" x14ac:dyDescent="0.35">
      <c r="A309" t="s">
        <v>31</v>
      </c>
      <c r="B309">
        <v>50</v>
      </c>
      <c r="C309" t="s">
        <v>42</v>
      </c>
      <c r="D309">
        <v>0.84450000000000003</v>
      </c>
      <c r="E309">
        <v>0.93220000000000003</v>
      </c>
      <c r="F309">
        <v>0.97250000000000003</v>
      </c>
      <c r="G309">
        <v>0.99709999999999999</v>
      </c>
      <c r="H309">
        <v>0.8478</v>
      </c>
      <c r="I309">
        <v>0.93149999999999999</v>
      </c>
      <c r="J309">
        <v>0.97099999999999997</v>
      </c>
      <c r="K309">
        <v>0.99560000000000004</v>
      </c>
      <c r="L309">
        <v>0.86870000000000003</v>
      </c>
      <c r="M309">
        <v>0.94640000000000002</v>
      </c>
      <c r="N309">
        <v>0.97760000000000002</v>
      </c>
      <c r="O309">
        <v>0.998</v>
      </c>
      <c r="P309">
        <v>0.8972</v>
      </c>
      <c r="Q309">
        <v>0.96360000000000001</v>
      </c>
      <c r="R309" s="5">
        <v>0.98760000000000003</v>
      </c>
      <c r="S309">
        <v>0.99960000000000004</v>
      </c>
      <c r="T309">
        <v>0.871</v>
      </c>
      <c r="U309">
        <v>0.95020000000000004</v>
      </c>
      <c r="V309">
        <v>0.98080000000000001</v>
      </c>
      <c r="W309">
        <v>0.99839999999999995</v>
      </c>
      <c r="X309">
        <v>0.83930000000000005</v>
      </c>
      <c r="Y309">
        <v>0.93240000000000001</v>
      </c>
      <c r="Z309">
        <v>0.97109999999999996</v>
      </c>
      <c r="AA309">
        <v>0.99609999999999999</v>
      </c>
      <c r="AB309">
        <v>0.84399999999999997</v>
      </c>
      <c r="AC309">
        <v>0.9304</v>
      </c>
      <c r="AD309">
        <v>0.97070000000000001</v>
      </c>
      <c r="AE309">
        <v>0.99690000000000001</v>
      </c>
    </row>
    <row r="310" spans="1:31" ht="15" thickTop="1" x14ac:dyDescent="0.3">
      <c r="A310" s="1" t="s">
        <v>56</v>
      </c>
      <c r="B310" s="1">
        <v>20</v>
      </c>
      <c r="C310" s="1" t="s">
        <v>67</v>
      </c>
      <c r="D310" s="1">
        <v>0.7772</v>
      </c>
      <c r="E310" s="1">
        <v>0.97560000000000002</v>
      </c>
      <c r="F310" s="1">
        <v>0.98760000000000003</v>
      </c>
      <c r="G310" s="1">
        <v>0.99850000000000005</v>
      </c>
      <c r="H310" s="1">
        <v>0.80989999999999995</v>
      </c>
      <c r="I310" s="1">
        <v>0.88539999999999996</v>
      </c>
      <c r="J310" s="1">
        <v>0.93930000000000002</v>
      </c>
      <c r="K310" s="1">
        <v>0.998</v>
      </c>
      <c r="L310" s="1">
        <v>0.81208120812081197</v>
      </c>
      <c r="M310" s="1">
        <v>0.90299029902990302</v>
      </c>
      <c r="N310" s="1">
        <v>0.95809580958095797</v>
      </c>
      <c r="O310" s="1">
        <v>0.99249924992499206</v>
      </c>
      <c r="P310" s="1">
        <v>0.79063719115734699</v>
      </c>
      <c r="Q310" s="1">
        <v>0.89586876062818799</v>
      </c>
      <c r="R310" s="6">
        <v>0.95268580574172201</v>
      </c>
      <c r="S310" s="1">
        <v>0.98979693908172495</v>
      </c>
      <c r="T310" s="1">
        <v>0.80339732636445904</v>
      </c>
      <c r="U310" s="1">
        <v>0.88189767815860898</v>
      </c>
      <c r="V310" s="1">
        <v>0.95527188662177098</v>
      </c>
      <c r="W310" s="1">
        <v>0.99175796562468599</v>
      </c>
      <c r="X310" s="1">
        <v>0.79652526113834998</v>
      </c>
      <c r="Y310" s="1">
        <v>0.88445960349605601</v>
      </c>
      <c r="Z310" s="1">
        <v>0.92922617778725203</v>
      </c>
      <c r="AA310" s="1">
        <v>0.99594969089746299</v>
      </c>
      <c r="AB310" s="1">
        <v>0.75408312309122305</v>
      </c>
      <c r="AC310" s="1">
        <v>0.91183109812773899</v>
      </c>
      <c r="AD310" s="1">
        <v>0.977028283096534</v>
      </c>
      <c r="AE310" s="1">
        <v>0.99641481874917004</v>
      </c>
    </row>
    <row r="311" spans="1:31" x14ac:dyDescent="0.3">
      <c r="A311" t="s">
        <v>56</v>
      </c>
      <c r="B311">
        <v>30</v>
      </c>
      <c r="C311" t="s">
        <v>67</v>
      </c>
      <c r="D311">
        <v>0.79049999999999998</v>
      </c>
      <c r="E311">
        <v>0.88349999999999995</v>
      </c>
      <c r="F311">
        <v>0.98580000000000001</v>
      </c>
      <c r="G311">
        <v>0.99780000000000002</v>
      </c>
      <c r="H311">
        <v>0.79290000000000005</v>
      </c>
      <c r="I311">
        <v>0.91349999999999998</v>
      </c>
      <c r="J311">
        <v>0.94910000000000005</v>
      </c>
      <c r="K311">
        <v>0.99719999999999998</v>
      </c>
      <c r="L311">
        <v>0.8105</v>
      </c>
      <c r="M311">
        <v>0.91259999999999997</v>
      </c>
      <c r="N311">
        <v>0.95379999999999998</v>
      </c>
      <c r="O311">
        <v>0.9919</v>
      </c>
      <c r="P311">
        <v>0.802480248024802</v>
      </c>
      <c r="Q311">
        <v>0.89908990899089902</v>
      </c>
      <c r="R311" s="5">
        <v>0.95249524952495201</v>
      </c>
      <c r="S311">
        <v>0.99079907990799099</v>
      </c>
      <c r="T311">
        <v>0.79797979797979801</v>
      </c>
      <c r="U311">
        <v>0.908090809080908</v>
      </c>
      <c r="V311">
        <v>0.94419441944194404</v>
      </c>
      <c r="W311">
        <v>0.98839883988398802</v>
      </c>
      <c r="X311">
        <v>0.77173465183353895</v>
      </c>
      <c r="Y311">
        <v>0.93922538112896603</v>
      </c>
      <c r="Z311">
        <v>0.95148331273176801</v>
      </c>
      <c r="AA311">
        <v>0.99495261639884602</v>
      </c>
      <c r="AB311">
        <v>0.84212336620041295</v>
      </c>
      <c r="AC311">
        <v>0.86585645494152697</v>
      </c>
      <c r="AD311">
        <v>0.983833983031415</v>
      </c>
      <c r="AE311">
        <v>0.99747764274248996</v>
      </c>
    </row>
    <row r="312" spans="1:31" x14ac:dyDescent="0.3">
      <c r="A312" t="s">
        <v>56</v>
      </c>
      <c r="B312">
        <v>50</v>
      </c>
      <c r="C312" t="s">
        <v>67</v>
      </c>
      <c r="D312">
        <v>0.82699999999999996</v>
      </c>
      <c r="E312">
        <v>0.90249999999999997</v>
      </c>
      <c r="F312">
        <v>0.9405</v>
      </c>
      <c r="G312">
        <v>0.99750000000000005</v>
      </c>
      <c r="H312">
        <v>0.81188118811881205</v>
      </c>
      <c r="I312">
        <v>0.915891589158916</v>
      </c>
      <c r="J312">
        <v>0.95309530953095301</v>
      </c>
      <c r="K312">
        <v>0.99229922992299202</v>
      </c>
      <c r="L312">
        <v>0.80759999999999998</v>
      </c>
      <c r="M312">
        <v>0.90639999999999998</v>
      </c>
      <c r="N312">
        <v>0.95669999999999999</v>
      </c>
      <c r="O312">
        <v>0.99070000000000003</v>
      </c>
      <c r="P312">
        <v>0.81299999999999994</v>
      </c>
      <c r="Q312">
        <v>0.90580000000000005</v>
      </c>
      <c r="R312" s="5">
        <v>0.95389999999999997</v>
      </c>
      <c r="S312">
        <v>0.99080000000000001</v>
      </c>
      <c r="T312">
        <v>0.80179999999999996</v>
      </c>
      <c r="U312">
        <v>0.89790000000000003</v>
      </c>
      <c r="V312">
        <v>0.94830000000000003</v>
      </c>
      <c r="W312">
        <v>0.98580000000000001</v>
      </c>
      <c r="X312">
        <v>0.77863291139240498</v>
      </c>
      <c r="Y312">
        <v>0.907645569620253</v>
      </c>
      <c r="Z312">
        <v>0.943291139240506</v>
      </c>
      <c r="AA312">
        <v>0.99291139240506299</v>
      </c>
      <c r="AB312">
        <v>0.85547079109624802</v>
      </c>
      <c r="AC312">
        <v>0.92622008569338499</v>
      </c>
      <c r="AD312">
        <v>0.95495872086947398</v>
      </c>
      <c r="AE312">
        <v>0.99707388441843403</v>
      </c>
    </row>
    <row r="313" spans="1:31" x14ac:dyDescent="0.3">
      <c r="A313" t="s">
        <v>57</v>
      </c>
      <c r="B313">
        <v>20</v>
      </c>
      <c r="C313" t="s">
        <v>67</v>
      </c>
      <c r="D313">
        <v>0.92789999999999995</v>
      </c>
      <c r="E313">
        <v>0.97960000000000003</v>
      </c>
      <c r="F313">
        <v>0.99380000000000002</v>
      </c>
      <c r="G313">
        <v>0.99970000000000003</v>
      </c>
      <c r="H313">
        <v>0.91790000000000005</v>
      </c>
      <c r="I313">
        <v>0.97299999999999998</v>
      </c>
      <c r="J313">
        <v>0.99429999999999996</v>
      </c>
      <c r="K313">
        <v>0.99939999999999996</v>
      </c>
      <c r="L313">
        <v>0.84470000000000001</v>
      </c>
      <c r="M313">
        <v>0.93300000000000005</v>
      </c>
      <c r="N313">
        <v>0.97160000000000002</v>
      </c>
      <c r="O313">
        <v>0.99670000000000003</v>
      </c>
      <c r="P313">
        <v>0.81159999999999999</v>
      </c>
      <c r="Q313">
        <v>0.90659999999999996</v>
      </c>
      <c r="R313" s="5">
        <v>0.95650000000000002</v>
      </c>
      <c r="S313">
        <v>0.99070000000000003</v>
      </c>
      <c r="T313">
        <v>0.80818081808180797</v>
      </c>
      <c r="U313">
        <v>0.90179017901790204</v>
      </c>
      <c r="V313">
        <v>0.95589558955895604</v>
      </c>
      <c r="W313">
        <v>0.99319931993199295</v>
      </c>
      <c r="X313">
        <v>0.78281139150704404</v>
      </c>
      <c r="Y313">
        <v>0.86226816661599304</v>
      </c>
      <c r="Z313">
        <v>0.91192865105908605</v>
      </c>
      <c r="AA313">
        <v>0.99655417046721395</v>
      </c>
      <c r="AB313">
        <v>0.68154226618705005</v>
      </c>
      <c r="AC313">
        <v>0.93952338129496404</v>
      </c>
      <c r="AD313">
        <v>0.98044064748201398</v>
      </c>
      <c r="AE313">
        <v>0.99640287769784197</v>
      </c>
    </row>
    <row r="314" spans="1:31" x14ac:dyDescent="0.3">
      <c r="A314" t="s">
        <v>57</v>
      </c>
      <c r="B314">
        <v>30</v>
      </c>
      <c r="C314" t="s">
        <v>67</v>
      </c>
      <c r="D314">
        <v>0.92490000000000006</v>
      </c>
      <c r="E314">
        <v>0.97889999999999999</v>
      </c>
      <c r="F314">
        <v>0.99350000000000005</v>
      </c>
      <c r="G314">
        <v>0.99980000000000002</v>
      </c>
      <c r="H314">
        <v>0.89749999999999996</v>
      </c>
      <c r="I314">
        <v>0.96640000000000004</v>
      </c>
      <c r="J314">
        <v>0.98760000000000003</v>
      </c>
      <c r="K314">
        <v>0.99950000000000006</v>
      </c>
      <c r="L314">
        <v>0.83409999999999995</v>
      </c>
      <c r="M314">
        <v>0.92010000000000003</v>
      </c>
      <c r="N314">
        <v>0.9667</v>
      </c>
      <c r="O314">
        <v>0.99399999999999999</v>
      </c>
      <c r="P314">
        <v>0.81389999999999996</v>
      </c>
      <c r="Q314">
        <v>0.91090000000000004</v>
      </c>
      <c r="R314" s="5">
        <v>0.95909999999999995</v>
      </c>
      <c r="S314">
        <v>0.99270000000000003</v>
      </c>
      <c r="T314">
        <v>0.81</v>
      </c>
      <c r="U314">
        <v>0.91120000000000001</v>
      </c>
      <c r="V314">
        <v>0.95320000000000005</v>
      </c>
      <c r="W314">
        <v>0.99039999999999995</v>
      </c>
      <c r="X314">
        <v>0.76578390897190596</v>
      </c>
      <c r="Y314">
        <v>0.91622193132615004</v>
      </c>
      <c r="Z314">
        <v>0.93938173396435398</v>
      </c>
      <c r="AA314">
        <v>0.99526734467828004</v>
      </c>
      <c r="AB314">
        <v>0.77446718269536596</v>
      </c>
      <c r="AC314">
        <v>0.82133389884423702</v>
      </c>
      <c r="AD314">
        <v>0.98261053970946899</v>
      </c>
      <c r="AE314">
        <v>0.99639486798854804</v>
      </c>
    </row>
    <row r="315" spans="1:31" x14ac:dyDescent="0.3">
      <c r="A315" t="s">
        <v>57</v>
      </c>
      <c r="B315">
        <v>50</v>
      </c>
      <c r="C315" t="s">
        <v>67</v>
      </c>
      <c r="D315">
        <v>0.91239999999999999</v>
      </c>
      <c r="E315">
        <v>0.97160000000000002</v>
      </c>
      <c r="F315">
        <v>0.99109999999999998</v>
      </c>
      <c r="G315">
        <v>0.99950000000000006</v>
      </c>
      <c r="H315">
        <v>0.87029999999999996</v>
      </c>
      <c r="I315">
        <v>0.95009999999999994</v>
      </c>
      <c r="J315">
        <v>0.98119999999999996</v>
      </c>
      <c r="K315">
        <v>0.99819999999999998</v>
      </c>
      <c r="L315">
        <v>0.82620000000000005</v>
      </c>
      <c r="M315">
        <v>0.91820000000000002</v>
      </c>
      <c r="N315">
        <v>0.96279999999999999</v>
      </c>
      <c r="O315">
        <v>0.99390000000000001</v>
      </c>
      <c r="P315">
        <v>0.81100000000000005</v>
      </c>
      <c r="Q315">
        <v>0.90859999999999996</v>
      </c>
      <c r="R315" s="5">
        <v>0.95599999999999996</v>
      </c>
      <c r="S315">
        <v>0.99099999999999999</v>
      </c>
      <c r="T315">
        <v>0.80589999999999995</v>
      </c>
      <c r="U315">
        <v>0.90459999999999996</v>
      </c>
      <c r="V315">
        <v>0.95269999999999999</v>
      </c>
      <c r="W315">
        <v>0.99099999999999999</v>
      </c>
      <c r="X315">
        <v>0.78475291281639203</v>
      </c>
      <c r="Y315">
        <v>0.91060666934511802</v>
      </c>
      <c r="Z315">
        <v>0.94395339493772601</v>
      </c>
      <c r="AA315">
        <v>0.99055845721173197</v>
      </c>
      <c r="AB315">
        <v>0.84168704156479202</v>
      </c>
      <c r="AC315">
        <v>0.90973920130399299</v>
      </c>
      <c r="AD315">
        <v>0.93846780766096205</v>
      </c>
      <c r="AE315">
        <v>0.99755501222493903</v>
      </c>
    </row>
    <row r="316" spans="1:31" x14ac:dyDescent="0.3">
      <c r="A316" t="s">
        <v>31</v>
      </c>
      <c r="B316">
        <v>20</v>
      </c>
      <c r="C316" t="s">
        <v>67</v>
      </c>
      <c r="D316">
        <v>0.69262418464626196</v>
      </c>
      <c r="E316">
        <v>0.95614651279478202</v>
      </c>
      <c r="F316">
        <v>0.98314099347716999</v>
      </c>
      <c r="G316">
        <v>0.99668840943301595</v>
      </c>
      <c r="H316">
        <v>0.79735682819383302</v>
      </c>
      <c r="I316">
        <v>0.88015618742490997</v>
      </c>
      <c r="J316">
        <v>0.93812575090108097</v>
      </c>
      <c r="K316">
        <v>0.99709651581898295</v>
      </c>
      <c r="L316">
        <v>0.80979999999999996</v>
      </c>
      <c r="M316">
        <v>0.90610000000000002</v>
      </c>
      <c r="N316">
        <v>0.95620000000000005</v>
      </c>
      <c r="O316">
        <v>0.99380000000000002</v>
      </c>
      <c r="P316">
        <v>0.81940000000000002</v>
      </c>
      <c r="Q316">
        <v>0.91569999999999996</v>
      </c>
      <c r="R316" s="5">
        <v>0.96209999999999996</v>
      </c>
      <c r="S316">
        <v>0.99270000000000003</v>
      </c>
      <c r="T316">
        <v>0.82520000000000004</v>
      </c>
      <c r="U316">
        <v>0.91610000000000003</v>
      </c>
      <c r="V316">
        <v>0.96289999999999998</v>
      </c>
      <c r="W316">
        <v>0.99309999999999998</v>
      </c>
      <c r="X316">
        <v>0.797658360852597</v>
      </c>
      <c r="Y316">
        <v>0.87741418993295295</v>
      </c>
      <c r="Z316">
        <v>0.93165215650955702</v>
      </c>
      <c r="AA316">
        <v>0.99669768838186701</v>
      </c>
      <c r="AB316">
        <v>0.69959432048681502</v>
      </c>
      <c r="AC316">
        <v>0.95811359026369203</v>
      </c>
      <c r="AD316">
        <v>0.98397565922920904</v>
      </c>
      <c r="AE316">
        <v>0.99746450304259604</v>
      </c>
    </row>
    <row r="317" spans="1:31" x14ac:dyDescent="0.3">
      <c r="A317" t="s">
        <v>31</v>
      </c>
      <c r="B317">
        <v>30</v>
      </c>
      <c r="C317" t="s">
        <v>67</v>
      </c>
      <c r="D317">
        <v>0.75570000000000004</v>
      </c>
      <c r="E317">
        <v>0.83299999999999996</v>
      </c>
      <c r="F317">
        <v>0.98299999999999998</v>
      </c>
      <c r="G317">
        <v>0.99670000000000003</v>
      </c>
      <c r="H317">
        <v>0.79101191071964805</v>
      </c>
      <c r="I317">
        <v>0.91532379141227105</v>
      </c>
      <c r="J317">
        <v>0.94575117605845305</v>
      </c>
      <c r="K317">
        <v>0.99629666700029995</v>
      </c>
      <c r="L317">
        <v>0.81340000000000001</v>
      </c>
      <c r="M317">
        <v>0.91310000000000002</v>
      </c>
      <c r="N317">
        <v>0.95389999999999997</v>
      </c>
      <c r="O317">
        <v>0.99199999999999999</v>
      </c>
      <c r="P317">
        <v>0.80740000000000001</v>
      </c>
      <c r="Q317">
        <v>0.90980000000000005</v>
      </c>
      <c r="R317" s="5">
        <v>0.95509999999999995</v>
      </c>
      <c r="S317">
        <v>0.99250000000000005</v>
      </c>
      <c r="T317">
        <v>0.81069999999999998</v>
      </c>
      <c r="U317">
        <v>0.90800000000000003</v>
      </c>
      <c r="V317">
        <v>0.95240000000000002</v>
      </c>
      <c r="W317">
        <v>0.99150000000000005</v>
      </c>
      <c r="X317">
        <v>0.78552842273819101</v>
      </c>
      <c r="Y317">
        <v>0.91463170536429095</v>
      </c>
      <c r="Z317">
        <v>0.94435548438751005</v>
      </c>
      <c r="AA317">
        <v>0.99729783827061602</v>
      </c>
      <c r="AB317">
        <v>0.75808890232839399</v>
      </c>
      <c r="AC317">
        <v>0.83277895373450295</v>
      </c>
      <c r="AD317">
        <v>0.98195746396532602</v>
      </c>
      <c r="AE317">
        <v>0.99556496320935395</v>
      </c>
    </row>
    <row r="318" spans="1:31" ht="15" thickBot="1" x14ac:dyDescent="0.35">
      <c r="A318" t="s">
        <v>31</v>
      </c>
      <c r="B318">
        <v>50</v>
      </c>
      <c r="C318" t="s">
        <v>67</v>
      </c>
      <c r="D318">
        <v>0.82210000000000005</v>
      </c>
      <c r="E318">
        <v>0.89139999999999997</v>
      </c>
      <c r="F318">
        <v>0.92820000000000003</v>
      </c>
      <c r="G318">
        <v>0.99719999999999998</v>
      </c>
      <c r="H318">
        <v>0.79481533380042002</v>
      </c>
      <c r="I318">
        <v>0.91282153938544697</v>
      </c>
      <c r="J318">
        <v>0.94975477930137098</v>
      </c>
      <c r="K318">
        <v>0.99079171254128695</v>
      </c>
      <c r="L318">
        <v>0.81230000000000002</v>
      </c>
      <c r="M318">
        <v>0.90629999999999999</v>
      </c>
      <c r="N318">
        <v>0.95730000000000004</v>
      </c>
      <c r="O318">
        <v>0.99199999999999999</v>
      </c>
      <c r="P318">
        <v>0.8085</v>
      </c>
      <c r="Q318">
        <v>0.90700000000000003</v>
      </c>
      <c r="R318" s="5">
        <v>0.95599999999999996</v>
      </c>
      <c r="S318">
        <v>0.99229999999999996</v>
      </c>
      <c r="T318">
        <v>0.80789999999999995</v>
      </c>
      <c r="U318">
        <v>0.90580000000000005</v>
      </c>
      <c r="V318">
        <v>0.95389999999999997</v>
      </c>
      <c r="W318">
        <v>0.99239999999999995</v>
      </c>
      <c r="X318">
        <v>0.79205841168233604</v>
      </c>
      <c r="Y318">
        <v>0.90788157631526301</v>
      </c>
      <c r="Z318">
        <v>0.94618923784756903</v>
      </c>
      <c r="AA318">
        <v>0.99119823964792997</v>
      </c>
      <c r="AB318">
        <v>0.82594746340485303</v>
      </c>
      <c r="AC318">
        <v>0.89552837377180705</v>
      </c>
      <c r="AD318">
        <v>0.92841387607780201</v>
      </c>
      <c r="AE318">
        <v>0.99679165831160998</v>
      </c>
    </row>
    <row r="319" spans="1:31" ht="15" thickTop="1" x14ac:dyDescent="0.3">
      <c r="A319" s="1" t="s">
        <v>56</v>
      </c>
      <c r="B319" s="1">
        <v>20</v>
      </c>
      <c r="C319" s="1" t="s">
        <v>37</v>
      </c>
      <c r="D319" s="1">
        <v>0.91459999999999997</v>
      </c>
      <c r="E319" s="1">
        <v>0.98009999999999997</v>
      </c>
      <c r="F319" s="1">
        <v>0.99339999999999995</v>
      </c>
      <c r="G319" s="1">
        <v>0.99960000000000004</v>
      </c>
      <c r="H319" s="1">
        <v>0.87719999999999998</v>
      </c>
      <c r="I319" s="1">
        <v>0.94820000000000004</v>
      </c>
      <c r="J319" s="1">
        <v>0.9839</v>
      </c>
      <c r="K319" s="1">
        <v>0.99890000000000001</v>
      </c>
      <c r="L319" s="1">
        <v>0.84009999999999996</v>
      </c>
      <c r="M319" s="1">
        <v>0.93230000000000002</v>
      </c>
      <c r="N319" s="1">
        <v>0.96950000000000003</v>
      </c>
      <c r="O319" s="1">
        <v>0.99539999999999995</v>
      </c>
      <c r="P319" s="1">
        <v>0.82040000000000002</v>
      </c>
      <c r="Q319" s="1">
        <v>0.91049999999999998</v>
      </c>
      <c r="R319" s="6">
        <v>0.95960000000000001</v>
      </c>
      <c r="S319" s="1">
        <v>0.99280000000000002</v>
      </c>
      <c r="T319" s="1">
        <v>0.81169999999999998</v>
      </c>
      <c r="U319" s="1">
        <v>0.90280000000000005</v>
      </c>
      <c r="V319" s="1">
        <v>0.95609999999999995</v>
      </c>
      <c r="W319" s="1">
        <v>0.99250000000000005</v>
      </c>
      <c r="X319" s="1">
        <v>0.78877921031426301</v>
      </c>
      <c r="Y319" s="1">
        <v>0.87066881547139396</v>
      </c>
      <c r="Z319" s="1">
        <v>0.92123287671232901</v>
      </c>
      <c r="AA319" s="1">
        <v>0.99607171635777603</v>
      </c>
      <c r="AB319" s="1">
        <v>0.67300586828950204</v>
      </c>
      <c r="AC319" s="1">
        <v>0.94164312106063897</v>
      </c>
      <c r="AD319" s="1">
        <v>0.98119973918713299</v>
      </c>
      <c r="AE319" s="1">
        <v>0.99673983916539899</v>
      </c>
    </row>
    <row r="320" spans="1:31" x14ac:dyDescent="0.3">
      <c r="A320" t="s">
        <v>56</v>
      </c>
      <c r="B320">
        <v>30</v>
      </c>
      <c r="C320" t="s">
        <v>37</v>
      </c>
      <c r="D320">
        <v>0.90659999999999996</v>
      </c>
      <c r="E320">
        <v>0.97450000000000003</v>
      </c>
      <c r="F320">
        <v>0.99170000000000003</v>
      </c>
      <c r="G320">
        <v>0.99939999999999996</v>
      </c>
      <c r="H320">
        <v>0.87029999999999996</v>
      </c>
      <c r="I320">
        <v>0.95130000000000003</v>
      </c>
      <c r="J320">
        <v>0.97870000000000001</v>
      </c>
      <c r="K320">
        <v>0.99870000000000003</v>
      </c>
      <c r="L320">
        <v>0.84250000000000003</v>
      </c>
      <c r="M320">
        <v>0.93179999999999996</v>
      </c>
      <c r="N320">
        <v>0.9667</v>
      </c>
      <c r="O320">
        <v>0.99560000000000004</v>
      </c>
      <c r="P320">
        <v>0.81869999999999998</v>
      </c>
      <c r="Q320">
        <v>0.91249999999999998</v>
      </c>
      <c r="R320" s="5">
        <v>0.95860000000000001</v>
      </c>
      <c r="S320">
        <v>0.99439999999999995</v>
      </c>
      <c r="T320">
        <v>0.81010000000000004</v>
      </c>
      <c r="U320">
        <v>0.91110000000000002</v>
      </c>
      <c r="V320">
        <v>0.95479999999999998</v>
      </c>
      <c r="W320">
        <v>0.99209999999999998</v>
      </c>
      <c r="X320">
        <v>0.791449739687625</v>
      </c>
      <c r="Y320">
        <v>0.92050460552663205</v>
      </c>
      <c r="Z320">
        <v>0.94443331998398095</v>
      </c>
      <c r="AA320">
        <v>0.99609531437725296</v>
      </c>
      <c r="AB320">
        <v>0.76446576181242998</v>
      </c>
      <c r="AC320">
        <v>0.82324727012960497</v>
      </c>
      <c r="AD320">
        <v>0.98479436677211996</v>
      </c>
      <c r="AE320">
        <v>0.99775487294621901</v>
      </c>
    </row>
    <row r="321" spans="1:31" x14ac:dyDescent="0.3">
      <c r="A321" t="s">
        <v>56</v>
      </c>
      <c r="B321">
        <v>50</v>
      </c>
      <c r="C321" t="s">
        <v>37</v>
      </c>
      <c r="D321">
        <v>0.90100000000000002</v>
      </c>
      <c r="E321">
        <v>0.96550000000000002</v>
      </c>
      <c r="F321">
        <v>0.99</v>
      </c>
      <c r="G321">
        <v>0.99880000000000002</v>
      </c>
      <c r="H321">
        <v>0.87380000000000002</v>
      </c>
      <c r="I321">
        <v>0.95140000000000002</v>
      </c>
      <c r="J321">
        <v>0.97950000000000004</v>
      </c>
      <c r="K321">
        <v>0.99760000000000004</v>
      </c>
      <c r="L321">
        <v>0.83650000000000002</v>
      </c>
      <c r="M321">
        <v>0.92900000000000005</v>
      </c>
      <c r="N321">
        <v>0.96850000000000003</v>
      </c>
      <c r="O321">
        <v>0.99560000000000004</v>
      </c>
      <c r="P321">
        <v>0.82809999999999995</v>
      </c>
      <c r="Q321">
        <v>0.91990000000000005</v>
      </c>
      <c r="R321" s="5">
        <v>0.96250000000000002</v>
      </c>
      <c r="S321">
        <v>0.99329999999999996</v>
      </c>
      <c r="T321">
        <v>0.81030000000000002</v>
      </c>
      <c r="U321">
        <v>0.90600000000000003</v>
      </c>
      <c r="V321">
        <v>0.95399999999999996</v>
      </c>
      <c r="W321">
        <v>0.98960000000000004</v>
      </c>
      <c r="X321">
        <v>0.80338033803380304</v>
      </c>
      <c r="Y321">
        <v>0.91129112911291099</v>
      </c>
      <c r="Z321">
        <v>0.95039503950394999</v>
      </c>
      <c r="AA321">
        <v>0.99169916991699203</v>
      </c>
      <c r="AB321">
        <v>0.82339380575323196</v>
      </c>
      <c r="AC321">
        <v>0.89285356319534903</v>
      </c>
      <c r="AD321">
        <v>0.92913701513480995</v>
      </c>
      <c r="AE321">
        <v>0.99709331462363404</v>
      </c>
    </row>
    <row r="322" spans="1:31" x14ac:dyDescent="0.3">
      <c r="A322" t="s">
        <v>57</v>
      </c>
      <c r="B322">
        <v>20</v>
      </c>
      <c r="C322" t="s">
        <v>37</v>
      </c>
      <c r="D322">
        <v>0.60629999999999995</v>
      </c>
      <c r="E322">
        <v>0.80869999999999997</v>
      </c>
      <c r="F322">
        <v>0.92100000000000004</v>
      </c>
      <c r="G322">
        <v>0.99280000000000002</v>
      </c>
      <c r="H322">
        <v>0.88460000000000005</v>
      </c>
      <c r="I322">
        <v>0.9627</v>
      </c>
      <c r="J322">
        <v>0.9889</v>
      </c>
      <c r="K322">
        <v>0.99950000000000006</v>
      </c>
      <c r="L322">
        <v>0.92989999999999995</v>
      </c>
      <c r="M322">
        <v>0.98089999999999999</v>
      </c>
      <c r="N322">
        <v>0.99519999999999997</v>
      </c>
      <c r="O322">
        <v>0.99960000000000004</v>
      </c>
      <c r="P322">
        <v>0.86360000000000003</v>
      </c>
      <c r="Q322">
        <v>0.93889999999999996</v>
      </c>
      <c r="R322" s="5">
        <v>0.97599999999999998</v>
      </c>
      <c r="S322">
        <v>0.99709999999999999</v>
      </c>
      <c r="T322">
        <v>0.83940000000000003</v>
      </c>
      <c r="U322">
        <v>0.93030000000000002</v>
      </c>
      <c r="V322">
        <v>0.96930000000000005</v>
      </c>
      <c r="W322">
        <v>0.99609999999999999</v>
      </c>
      <c r="X322">
        <v>0.81200000000000006</v>
      </c>
      <c r="Y322">
        <v>0.89629999999999999</v>
      </c>
      <c r="Z322">
        <v>0.95630000000000004</v>
      </c>
      <c r="AA322">
        <v>0.997</v>
      </c>
      <c r="AB322">
        <v>0.73199279711884802</v>
      </c>
      <c r="AC322">
        <v>0.96108443377350905</v>
      </c>
      <c r="AD322">
        <v>0.98399359743897596</v>
      </c>
      <c r="AE322">
        <v>0.997699079631853</v>
      </c>
    </row>
    <row r="323" spans="1:31" x14ac:dyDescent="0.3">
      <c r="A323" t="s">
        <v>57</v>
      </c>
      <c r="B323">
        <v>30</v>
      </c>
      <c r="C323" t="s">
        <v>37</v>
      </c>
      <c r="D323">
        <v>0.51259999999999994</v>
      </c>
      <c r="E323">
        <v>0.7379</v>
      </c>
      <c r="F323">
        <v>0.875</v>
      </c>
      <c r="G323">
        <v>0.98460000000000003</v>
      </c>
      <c r="H323">
        <v>0.86240000000000006</v>
      </c>
      <c r="I323">
        <v>0.95150000000000001</v>
      </c>
      <c r="J323">
        <v>0.98640000000000005</v>
      </c>
      <c r="K323">
        <v>0.99970000000000003</v>
      </c>
      <c r="L323">
        <v>0.92269999999999996</v>
      </c>
      <c r="M323">
        <v>0.97970000000000002</v>
      </c>
      <c r="N323">
        <v>0.99339999999999995</v>
      </c>
      <c r="O323">
        <v>0.99970000000000003</v>
      </c>
      <c r="P323">
        <v>0.86050000000000004</v>
      </c>
      <c r="Q323">
        <v>0.94199999999999995</v>
      </c>
      <c r="R323" s="5">
        <v>0.97550000000000003</v>
      </c>
      <c r="S323">
        <v>0.99670000000000003</v>
      </c>
      <c r="T323">
        <v>0.84179999999999999</v>
      </c>
      <c r="U323">
        <v>0.92989999999999995</v>
      </c>
      <c r="V323">
        <v>0.97009999999999996</v>
      </c>
      <c r="W323">
        <v>0.99460000000000004</v>
      </c>
      <c r="X323">
        <v>0.82120000000000004</v>
      </c>
      <c r="Y323">
        <v>0.92179999999999995</v>
      </c>
      <c r="Z323">
        <v>0.95789999999999997</v>
      </c>
      <c r="AA323">
        <v>0.99609999999999999</v>
      </c>
      <c r="AB323">
        <v>0.77039999999999997</v>
      </c>
      <c r="AC323">
        <v>0.873</v>
      </c>
      <c r="AD323">
        <v>0.98360000000000003</v>
      </c>
      <c r="AE323">
        <v>0.99719999999999998</v>
      </c>
    </row>
    <row r="324" spans="1:31" x14ac:dyDescent="0.3">
      <c r="A324" t="s">
        <v>57</v>
      </c>
      <c r="B324">
        <v>50</v>
      </c>
      <c r="C324" t="s">
        <v>37</v>
      </c>
      <c r="D324">
        <v>0.3695</v>
      </c>
      <c r="E324">
        <v>0.60519999999999996</v>
      </c>
      <c r="F324">
        <v>0.78090000000000004</v>
      </c>
      <c r="G324">
        <v>0.96220000000000006</v>
      </c>
      <c r="H324">
        <v>0.83230000000000004</v>
      </c>
      <c r="I324">
        <v>0.93759999999999999</v>
      </c>
      <c r="J324">
        <v>0.98140000000000005</v>
      </c>
      <c r="K324">
        <v>0.99880000000000002</v>
      </c>
      <c r="L324">
        <v>0.91620000000000001</v>
      </c>
      <c r="M324">
        <v>0.97489999999999999</v>
      </c>
      <c r="N324">
        <v>0.99199999999999999</v>
      </c>
      <c r="O324">
        <v>0.99990000000000001</v>
      </c>
      <c r="P324">
        <v>0.85099999999999998</v>
      </c>
      <c r="Q324">
        <v>0.93789999999999996</v>
      </c>
      <c r="R324" s="5">
        <v>0.97260000000000002</v>
      </c>
      <c r="S324">
        <v>0.99639999999999995</v>
      </c>
      <c r="T324">
        <v>0.83220000000000005</v>
      </c>
      <c r="U324">
        <v>0.92530000000000001</v>
      </c>
      <c r="V324">
        <v>0.96389999999999998</v>
      </c>
      <c r="W324">
        <v>0.99519999999999997</v>
      </c>
      <c r="X324">
        <v>0.81820000000000004</v>
      </c>
      <c r="Y324">
        <v>0.92049999999999998</v>
      </c>
      <c r="Z324">
        <v>0.95750000000000002</v>
      </c>
      <c r="AA324">
        <v>0.9929</v>
      </c>
      <c r="AB324">
        <v>0.83599999999999997</v>
      </c>
      <c r="AC324">
        <v>0.9093</v>
      </c>
      <c r="AD324">
        <v>0.95169999999999999</v>
      </c>
      <c r="AE324">
        <v>0.99729999999999996</v>
      </c>
    </row>
    <row r="325" spans="1:31" x14ac:dyDescent="0.3">
      <c r="A325" t="s">
        <v>31</v>
      </c>
      <c r="B325">
        <v>20</v>
      </c>
      <c r="C325" t="s">
        <v>37</v>
      </c>
      <c r="D325">
        <v>0.85199999999999998</v>
      </c>
      <c r="E325">
        <v>0.96450000000000002</v>
      </c>
      <c r="F325">
        <v>0.98470000000000002</v>
      </c>
      <c r="G325">
        <v>0.99790000000000001</v>
      </c>
      <c r="H325">
        <v>0.85329999999999995</v>
      </c>
      <c r="I325">
        <v>0.93810000000000004</v>
      </c>
      <c r="J325">
        <v>0.98260000000000003</v>
      </c>
      <c r="K325">
        <v>0.99750000000000005</v>
      </c>
      <c r="L325">
        <v>0.8508</v>
      </c>
      <c r="M325">
        <v>0.93820000000000003</v>
      </c>
      <c r="N325">
        <v>0.97399999999999998</v>
      </c>
      <c r="O325">
        <v>0.99729999999999996</v>
      </c>
      <c r="P325">
        <v>0.86140000000000005</v>
      </c>
      <c r="Q325">
        <v>0.94389999999999996</v>
      </c>
      <c r="R325" s="5">
        <v>0.97550000000000003</v>
      </c>
      <c r="S325">
        <v>0.99709999999999999</v>
      </c>
      <c r="T325">
        <v>0.86529999999999996</v>
      </c>
      <c r="U325">
        <v>0.94479999999999997</v>
      </c>
      <c r="V325">
        <v>0.97619999999999996</v>
      </c>
      <c r="W325">
        <v>0.99639999999999995</v>
      </c>
      <c r="X325">
        <v>0.84970000000000001</v>
      </c>
      <c r="Y325">
        <v>0.9355</v>
      </c>
      <c r="Z325">
        <v>0.97989999999999999</v>
      </c>
      <c r="AA325">
        <v>0.99690000000000001</v>
      </c>
      <c r="AB325">
        <v>0.85709999999999997</v>
      </c>
      <c r="AC325">
        <v>0.96699999999999997</v>
      </c>
      <c r="AD325">
        <v>0.98570000000000002</v>
      </c>
      <c r="AE325">
        <v>0.99780000000000002</v>
      </c>
    </row>
    <row r="326" spans="1:31" x14ac:dyDescent="0.3">
      <c r="A326" t="s">
        <v>31</v>
      </c>
      <c r="B326">
        <v>30</v>
      </c>
      <c r="C326" t="s">
        <v>37</v>
      </c>
      <c r="D326">
        <v>0.84360000000000002</v>
      </c>
      <c r="E326">
        <v>0.94720000000000004</v>
      </c>
      <c r="F326">
        <v>0.98380000000000001</v>
      </c>
      <c r="G326">
        <v>0.99770000000000003</v>
      </c>
      <c r="H326">
        <v>0.85660000000000003</v>
      </c>
      <c r="I326">
        <v>0.93940000000000001</v>
      </c>
      <c r="J326">
        <v>0.97430000000000005</v>
      </c>
      <c r="K326">
        <v>0.99709999999999999</v>
      </c>
      <c r="L326">
        <v>0.85589999999999999</v>
      </c>
      <c r="M326">
        <v>0.93899999999999995</v>
      </c>
      <c r="N326">
        <v>0.97460000000000002</v>
      </c>
      <c r="O326">
        <v>0.99680000000000002</v>
      </c>
      <c r="P326">
        <v>0.84830000000000005</v>
      </c>
      <c r="Q326">
        <v>0.93579999999999997</v>
      </c>
      <c r="R326" s="5">
        <v>0.9738</v>
      </c>
      <c r="S326">
        <v>0.99609999999999999</v>
      </c>
      <c r="T326">
        <v>0.85109999999999997</v>
      </c>
      <c r="U326">
        <v>0.93340000000000001</v>
      </c>
      <c r="V326">
        <v>0.97270000000000001</v>
      </c>
      <c r="W326">
        <v>0.99690000000000001</v>
      </c>
      <c r="X326">
        <v>0.85519999999999996</v>
      </c>
      <c r="Y326">
        <v>0.93659999999999999</v>
      </c>
      <c r="Z326">
        <v>0.97350000000000003</v>
      </c>
      <c r="AA326">
        <v>0.99770000000000003</v>
      </c>
      <c r="AB326">
        <v>0.84340000000000004</v>
      </c>
      <c r="AC326">
        <v>0.94330000000000003</v>
      </c>
      <c r="AD326">
        <v>0.98199999999999998</v>
      </c>
      <c r="AE326">
        <v>0.99690000000000001</v>
      </c>
    </row>
    <row r="327" spans="1:31" ht="15" thickBot="1" x14ac:dyDescent="0.35">
      <c r="A327" t="s">
        <v>31</v>
      </c>
      <c r="B327">
        <v>50</v>
      </c>
      <c r="C327" t="s">
        <v>37</v>
      </c>
      <c r="D327">
        <v>0.85219999999999996</v>
      </c>
      <c r="E327">
        <v>0.93530000000000002</v>
      </c>
      <c r="F327">
        <v>0.97489999999999999</v>
      </c>
      <c r="G327">
        <v>0.99819999999999998</v>
      </c>
      <c r="H327">
        <v>0.84670000000000001</v>
      </c>
      <c r="I327">
        <v>0.93600000000000005</v>
      </c>
      <c r="J327">
        <v>0.97260000000000002</v>
      </c>
      <c r="K327">
        <v>0.99590000000000001</v>
      </c>
      <c r="L327">
        <v>0.84989999999999999</v>
      </c>
      <c r="M327">
        <v>0.93120000000000003</v>
      </c>
      <c r="N327">
        <v>0.97040000000000004</v>
      </c>
      <c r="O327">
        <v>0.99609999999999999</v>
      </c>
      <c r="P327">
        <v>0.84709999999999996</v>
      </c>
      <c r="Q327">
        <v>0.93520000000000003</v>
      </c>
      <c r="R327" s="5">
        <v>0.97030000000000005</v>
      </c>
      <c r="S327">
        <v>0.99639999999999995</v>
      </c>
      <c r="T327">
        <v>0.84799999999999998</v>
      </c>
      <c r="U327">
        <v>0.93300000000000005</v>
      </c>
      <c r="V327">
        <v>0.97270000000000001</v>
      </c>
      <c r="W327">
        <v>0.99660000000000004</v>
      </c>
      <c r="X327">
        <v>0.84430000000000005</v>
      </c>
      <c r="Y327">
        <v>0.93149999999999999</v>
      </c>
      <c r="Z327">
        <v>0.97109999999999996</v>
      </c>
      <c r="AA327">
        <v>0.996</v>
      </c>
      <c r="AB327">
        <v>0.85709999999999997</v>
      </c>
      <c r="AC327">
        <v>0.93430000000000002</v>
      </c>
      <c r="AD327">
        <v>0.97509999999999997</v>
      </c>
      <c r="AE327">
        <v>0.99790000000000001</v>
      </c>
    </row>
    <row r="328" spans="1:31" ht="15" thickTop="1" x14ac:dyDescent="0.3">
      <c r="A328" s="1" t="s">
        <v>56</v>
      </c>
      <c r="B328" s="1">
        <v>20</v>
      </c>
      <c r="C328" s="1" t="s">
        <v>47</v>
      </c>
      <c r="D328" s="1">
        <v>0.72089999999999999</v>
      </c>
      <c r="E328" s="1">
        <v>0.87919999999999998</v>
      </c>
      <c r="F328" s="1">
        <v>0.95860000000000001</v>
      </c>
      <c r="G328" s="1">
        <v>0.99739999999999995</v>
      </c>
      <c r="H328" s="1">
        <v>0.88970000000000005</v>
      </c>
      <c r="I328" s="1">
        <v>0.96609999999999996</v>
      </c>
      <c r="J328" s="1">
        <v>0.98899999999999999</v>
      </c>
      <c r="K328" s="1">
        <v>0.99950000000000006</v>
      </c>
      <c r="L328" s="1">
        <v>0.92769999999999997</v>
      </c>
      <c r="M328" s="1">
        <v>0.9798</v>
      </c>
      <c r="N328" s="1">
        <v>0.99409999999999998</v>
      </c>
      <c r="O328" s="1">
        <v>0.99990000000000001</v>
      </c>
      <c r="P328" s="1">
        <v>0.87070000000000003</v>
      </c>
      <c r="Q328" s="1">
        <v>0.9536</v>
      </c>
      <c r="R328" s="6">
        <v>0.98170000000000002</v>
      </c>
      <c r="S328" s="1">
        <v>0.99790000000000001</v>
      </c>
      <c r="T328" s="1">
        <v>0.84719999999999995</v>
      </c>
      <c r="U328" s="1">
        <v>0.93510000000000004</v>
      </c>
      <c r="V328" s="1">
        <v>0.97070000000000001</v>
      </c>
      <c r="W328" s="1">
        <v>0.99639999999999995</v>
      </c>
      <c r="X328" s="1">
        <v>0.83560000000000001</v>
      </c>
      <c r="Y328" s="1">
        <v>0.92190000000000005</v>
      </c>
      <c r="Z328" s="1">
        <v>0.97319999999999995</v>
      </c>
      <c r="AA328" s="1">
        <v>0.99670000000000003</v>
      </c>
      <c r="AB328" s="1">
        <v>0.7853</v>
      </c>
      <c r="AC328" s="1">
        <v>0.96099999999999997</v>
      </c>
      <c r="AD328" s="1">
        <v>0.98370000000000002</v>
      </c>
      <c r="AE328" s="1">
        <v>0.99750000000000005</v>
      </c>
    </row>
    <row r="329" spans="1:31" x14ac:dyDescent="0.3">
      <c r="A329" t="s">
        <v>56</v>
      </c>
      <c r="B329">
        <v>30</v>
      </c>
      <c r="C329" t="s">
        <v>47</v>
      </c>
      <c r="D329">
        <v>0.65549999999999997</v>
      </c>
      <c r="E329">
        <v>0.83989999999999998</v>
      </c>
      <c r="F329">
        <v>0.93379999999999996</v>
      </c>
      <c r="G329">
        <v>0.99329999999999996</v>
      </c>
      <c r="H329">
        <v>0.86970000000000003</v>
      </c>
      <c r="I329">
        <v>0.95430000000000004</v>
      </c>
      <c r="J329">
        <v>0.98570000000000002</v>
      </c>
      <c r="K329">
        <v>0.999</v>
      </c>
      <c r="L329">
        <v>0.92679999999999996</v>
      </c>
      <c r="M329">
        <v>0.97619999999999996</v>
      </c>
      <c r="N329">
        <v>0.99370000000000003</v>
      </c>
      <c r="O329">
        <v>0.99960000000000004</v>
      </c>
      <c r="P329">
        <v>0.8669</v>
      </c>
      <c r="Q329">
        <v>0.9466</v>
      </c>
      <c r="R329" s="5">
        <v>0.97929999999999995</v>
      </c>
      <c r="S329">
        <v>0.998</v>
      </c>
      <c r="T329">
        <v>0.8498</v>
      </c>
      <c r="U329">
        <v>0.93559999999999999</v>
      </c>
      <c r="V329">
        <v>0.97350000000000003</v>
      </c>
      <c r="W329">
        <v>0.99570000000000003</v>
      </c>
      <c r="X329">
        <v>0.84889999999999999</v>
      </c>
      <c r="Y329">
        <v>0.93069999999999997</v>
      </c>
      <c r="Z329">
        <v>0.96619999999999995</v>
      </c>
      <c r="AA329">
        <v>0.99709999999999999</v>
      </c>
      <c r="AB329">
        <v>0.80410000000000004</v>
      </c>
      <c r="AC329">
        <v>0.9163</v>
      </c>
      <c r="AD329">
        <v>0.98480000000000001</v>
      </c>
      <c r="AE329">
        <v>0.99809999999999999</v>
      </c>
    </row>
    <row r="330" spans="1:31" x14ac:dyDescent="0.3">
      <c r="A330" t="s">
        <v>56</v>
      </c>
      <c r="B330">
        <v>50</v>
      </c>
      <c r="C330" t="s">
        <v>47</v>
      </c>
      <c r="D330">
        <v>0.55559999999999998</v>
      </c>
      <c r="E330">
        <v>0.77029999999999998</v>
      </c>
      <c r="F330">
        <v>0.89539999999999997</v>
      </c>
      <c r="G330">
        <v>0.98619999999999997</v>
      </c>
      <c r="H330">
        <v>0.84630000000000005</v>
      </c>
      <c r="I330">
        <v>0.94279999999999997</v>
      </c>
      <c r="J330">
        <v>0.97950000000000004</v>
      </c>
      <c r="K330">
        <v>0.99860000000000004</v>
      </c>
      <c r="L330">
        <v>0.91290000000000004</v>
      </c>
      <c r="M330">
        <v>0.97470000000000001</v>
      </c>
      <c r="N330">
        <v>0.99199999999999999</v>
      </c>
      <c r="O330">
        <v>0.99919999999999998</v>
      </c>
      <c r="P330">
        <v>0.86570000000000003</v>
      </c>
      <c r="Q330">
        <v>0.94540000000000002</v>
      </c>
      <c r="R330" s="5">
        <v>0.97789999999999999</v>
      </c>
      <c r="S330">
        <v>0.99760000000000004</v>
      </c>
      <c r="T330">
        <v>0.84030000000000005</v>
      </c>
      <c r="U330">
        <v>0.9274</v>
      </c>
      <c r="V330">
        <v>0.96850000000000003</v>
      </c>
      <c r="W330">
        <v>0.99480000000000002</v>
      </c>
      <c r="X330">
        <v>0.83399999999999996</v>
      </c>
      <c r="Y330">
        <v>0.92620000000000002</v>
      </c>
      <c r="Z330">
        <v>0.96950000000000003</v>
      </c>
      <c r="AA330">
        <v>0.99480000000000002</v>
      </c>
      <c r="AB330">
        <v>0.83699999999999997</v>
      </c>
      <c r="AC330">
        <v>0.91869999999999996</v>
      </c>
      <c r="AD330">
        <v>0.96140000000000003</v>
      </c>
      <c r="AE330">
        <v>0.99739999999999995</v>
      </c>
    </row>
    <row r="331" spans="1:31" x14ac:dyDescent="0.3">
      <c r="A331" t="s">
        <v>57</v>
      </c>
      <c r="B331">
        <v>20</v>
      </c>
      <c r="C331" t="s">
        <v>47</v>
      </c>
      <c r="D331">
        <v>3.7000000000000401E-3</v>
      </c>
      <c r="E331">
        <v>1.9300000000000001E-2</v>
      </c>
      <c r="F331">
        <v>7.2700000000000001E-2</v>
      </c>
      <c r="G331">
        <v>0.39979999999999999</v>
      </c>
      <c r="H331">
        <v>0.12540000000000001</v>
      </c>
      <c r="I331">
        <v>0.34110000000000001</v>
      </c>
      <c r="J331">
        <v>0.59230000000000005</v>
      </c>
      <c r="K331">
        <v>0.94259999999999999</v>
      </c>
      <c r="L331">
        <v>0.94350000000000001</v>
      </c>
      <c r="M331">
        <v>0.99160000000000004</v>
      </c>
      <c r="N331">
        <v>0.99919999999999998</v>
      </c>
      <c r="O331">
        <v>1</v>
      </c>
      <c r="P331">
        <v>0.92069999999999996</v>
      </c>
      <c r="Q331">
        <v>0.9798</v>
      </c>
      <c r="R331" s="5">
        <v>0.99509999999999998</v>
      </c>
      <c r="S331">
        <v>0.99990000000000001</v>
      </c>
      <c r="T331">
        <v>0.78180000000000005</v>
      </c>
      <c r="U331">
        <v>0.90639999999999998</v>
      </c>
      <c r="V331">
        <v>0.96250000000000002</v>
      </c>
      <c r="W331">
        <v>0.99690000000000001</v>
      </c>
      <c r="X331">
        <v>0.84319999999999995</v>
      </c>
      <c r="Y331">
        <v>0.93100000000000005</v>
      </c>
      <c r="Z331">
        <v>0.97019999999999995</v>
      </c>
      <c r="AA331">
        <v>0.99529999999999996</v>
      </c>
      <c r="AB331">
        <v>0.89129999999999998</v>
      </c>
      <c r="AC331">
        <v>0.95240000000000002</v>
      </c>
      <c r="AD331">
        <v>0.97899999999999998</v>
      </c>
      <c r="AE331">
        <v>0.997</v>
      </c>
    </row>
    <row r="332" spans="1:31" x14ac:dyDescent="0.3">
      <c r="A332" t="s">
        <v>57</v>
      </c>
      <c r="B332">
        <v>30</v>
      </c>
      <c r="C332" t="s">
        <v>47</v>
      </c>
      <c r="D332" s="3">
        <v>9.9999999999989E-5</v>
      </c>
      <c r="E332">
        <v>2.8000000000000199E-3</v>
      </c>
      <c r="F332">
        <v>1.1900000000000001E-2</v>
      </c>
      <c r="G332">
        <v>0.13270000000000001</v>
      </c>
      <c r="H332">
        <v>4.2500000000000003E-2</v>
      </c>
      <c r="I332">
        <v>0.16270000000000001</v>
      </c>
      <c r="J332">
        <v>0.36549999999999999</v>
      </c>
      <c r="K332">
        <v>0.82220000000000004</v>
      </c>
      <c r="L332">
        <v>0.92879999999999996</v>
      </c>
      <c r="M332">
        <v>0.98740000000000006</v>
      </c>
      <c r="N332">
        <v>0.99809999999999999</v>
      </c>
      <c r="O332">
        <v>1</v>
      </c>
      <c r="P332">
        <v>0.88239999999999996</v>
      </c>
      <c r="Q332">
        <v>0.9657</v>
      </c>
      <c r="R332" s="5">
        <v>0.9909</v>
      </c>
      <c r="S332">
        <v>0.99960000000000004</v>
      </c>
      <c r="T332">
        <v>0.74670000000000003</v>
      </c>
      <c r="U332">
        <v>0.88329999999999997</v>
      </c>
      <c r="V332">
        <v>0.95030000000000003</v>
      </c>
      <c r="W332">
        <v>0.99509999999999998</v>
      </c>
      <c r="X332">
        <v>0.82979999999999998</v>
      </c>
      <c r="Y332">
        <v>0.92310000000000003</v>
      </c>
      <c r="Z332">
        <v>0.96709999999999996</v>
      </c>
      <c r="AA332">
        <v>0.99360000000000004</v>
      </c>
      <c r="AB332">
        <v>0.86980000000000002</v>
      </c>
      <c r="AC332">
        <v>0.94579999999999997</v>
      </c>
      <c r="AD332">
        <v>0.97709999999999997</v>
      </c>
      <c r="AE332">
        <v>0.99690000000000001</v>
      </c>
    </row>
    <row r="333" spans="1:31" x14ac:dyDescent="0.3">
      <c r="A333" t="s">
        <v>57</v>
      </c>
      <c r="B333">
        <v>50</v>
      </c>
      <c r="C333" t="s">
        <v>47</v>
      </c>
      <c r="D333">
        <v>0</v>
      </c>
      <c r="E333">
        <v>0</v>
      </c>
      <c r="F333">
        <v>2.9999999999996701E-4</v>
      </c>
      <c r="G333">
        <v>8.9000000000000207E-3</v>
      </c>
      <c r="H333">
        <v>7.0000000000000097E-3</v>
      </c>
      <c r="I333">
        <v>3.95E-2</v>
      </c>
      <c r="J333">
        <v>0.12659999999999999</v>
      </c>
      <c r="K333">
        <v>0.53759999999999997</v>
      </c>
      <c r="L333">
        <v>0.91620000000000001</v>
      </c>
      <c r="M333">
        <v>0.98170000000000002</v>
      </c>
      <c r="N333">
        <v>0.99729999999999996</v>
      </c>
      <c r="O333">
        <v>1</v>
      </c>
      <c r="P333">
        <v>0.8125</v>
      </c>
      <c r="Q333">
        <v>0.93300000000000005</v>
      </c>
      <c r="R333" s="5">
        <v>0.97699999999999998</v>
      </c>
      <c r="S333">
        <v>0.99880000000000002</v>
      </c>
      <c r="T333">
        <v>0.68620000000000003</v>
      </c>
      <c r="U333">
        <v>0.8377</v>
      </c>
      <c r="V333">
        <v>0.9224</v>
      </c>
      <c r="W333">
        <v>0.98919999999999997</v>
      </c>
      <c r="X333">
        <v>0.80889999999999995</v>
      </c>
      <c r="Y333">
        <v>0.91010000000000002</v>
      </c>
      <c r="Z333">
        <v>0.95840000000000003</v>
      </c>
      <c r="AA333">
        <v>0.99399999999999999</v>
      </c>
      <c r="AB333">
        <v>0.85929999999999995</v>
      </c>
      <c r="AC333">
        <v>0.94089999999999996</v>
      </c>
      <c r="AD333">
        <v>0.97699999999999998</v>
      </c>
      <c r="AE333">
        <v>0.996</v>
      </c>
    </row>
    <row r="334" spans="1:31" x14ac:dyDescent="0.3">
      <c r="A334" t="s">
        <v>31</v>
      </c>
      <c r="B334">
        <v>20</v>
      </c>
      <c r="C334" t="s">
        <v>47</v>
      </c>
      <c r="D334">
        <v>0.72199999999999998</v>
      </c>
      <c r="E334">
        <v>0.86770000000000003</v>
      </c>
      <c r="F334">
        <v>0.94620000000000004</v>
      </c>
      <c r="G334">
        <v>0.99209999999999998</v>
      </c>
      <c r="H334">
        <v>0.76600000000000001</v>
      </c>
      <c r="I334">
        <v>0.90290000000000004</v>
      </c>
      <c r="J334">
        <v>0.96279999999999999</v>
      </c>
      <c r="K334">
        <v>0.99619999999999997</v>
      </c>
      <c r="L334">
        <v>0.88139999999999996</v>
      </c>
      <c r="M334">
        <v>0.95950000000000002</v>
      </c>
      <c r="N334">
        <v>0.98650000000000004</v>
      </c>
      <c r="O334">
        <v>0.99929999999999997</v>
      </c>
      <c r="P334">
        <v>0.9587</v>
      </c>
      <c r="Q334">
        <v>0.99039999999999995</v>
      </c>
      <c r="R334" s="5">
        <v>0.99809999999999999</v>
      </c>
      <c r="S334">
        <v>1</v>
      </c>
      <c r="T334">
        <v>0.89119999999999999</v>
      </c>
      <c r="U334">
        <v>0.96450000000000002</v>
      </c>
      <c r="V334">
        <v>0.98909999999999998</v>
      </c>
      <c r="W334">
        <v>0.99929999999999997</v>
      </c>
      <c r="X334">
        <v>0.76800000000000002</v>
      </c>
      <c r="Y334">
        <v>0.89880000000000004</v>
      </c>
      <c r="Z334">
        <v>0.95950000000000002</v>
      </c>
      <c r="AA334">
        <v>0.99570000000000003</v>
      </c>
      <c r="AB334">
        <v>0.73070000000000002</v>
      </c>
      <c r="AC334">
        <v>0.87760000000000005</v>
      </c>
      <c r="AD334">
        <v>0.94530000000000003</v>
      </c>
      <c r="AE334">
        <v>0.99470000000000003</v>
      </c>
    </row>
    <row r="335" spans="1:31" x14ac:dyDescent="0.3">
      <c r="A335" t="s">
        <v>31</v>
      </c>
      <c r="B335">
        <v>30</v>
      </c>
      <c r="C335" t="s">
        <v>47</v>
      </c>
      <c r="D335">
        <v>0.68430000000000002</v>
      </c>
      <c r="E335">
        <v>0.84309999999999996</v>
      </c>
      <c r="F335">
        <v>0.92879999999999996</v>
      </c>
      <c r="G335">
        <v>0.99029999999999996</v>
      </c>
      <c r="H335">
        <v>0.72889999999999999</v>
      </c>
      <c r="I335">
        <v>0.87519999999999998</v>
      </c>
      <c r="J335">
        <v>0.94720000000000004</v>
      </c>
      <c r="K335">
        <v>0.99439999999999995</v>
      </c>
      <c r="L335">
        <v>0.86629999999999996</v>
      </c>
      <c r="M335">
        <v>0.9506</v>
      </c>
      <c r="N335">
        <v>0.98250000000000004</v>
      </c>
      <c r="O335">
        <v>0.99919999999999998</v>
      </c>
      <c r="P335">
        <v>0.94820000000000004</v>
      </c>
      <c r="Q335">
        <v>0.98740000000000006</v>
      </c>
      <c r="R335" s="5">
        <v>0.997</v>
      </c>
      <c r="S335">
        <v>0.99990000000000001</v>
      </c>
      <c r="T335">
        <v>0.86080000000000001</v>
      </c>
      <c r="U335">
        <v>0.94799999999999995</v>
      </c>
      <c r="V335">
        <v>0.98219999999999996</v>
      </c>
      <c r="W335">
        <v>0.99909999999999999</v>
      </c>
      <c r="X335">
        <v>0.72809999999999997</v>
      </c>
      <c r="Y335">
        <v>0.87360000000000004</v>
      </c>
      <c r="Z335">
        <v>0.9425</v>
      </c>
      <c r="AA335">
        <v>0.99350000000000005</v>
      </c>
      <c r="AB335">
        <v>0.68410000000000004</v>
      </c>
      <c r="AC335">
        <v>0.84530000000000005</v>
      </c>
      <c r="AD335">
        <v>0.93220000000000003</v>
      </c>
      <c r="AE335">
        <v>0.99050000000000005</v>
      </c>
    </row>
    <row r="336" spans="1:31" ht="15" thickBot="1" x14ac:dyDescent="0.35">
      <c r="A336" t="s">
        <v>31</v>
      </c>
      <c r="B336">
        <v>50</v>
      </c>
      <c r="C336" t="s">
        <v>47</v>
      </c>
      <c r="D336">
        <v>0.63639999999999997</v>
      </c>
      <c r="E336">
        <v>0.80469999999999997</v>
      </c>
      <c r="F336">
        <v>0.90569999999999995</v>
      </c>
      <c r="G336">
        <v>0.98729999999999996</v>
      </c>
      <c r="H336">
        <v>0.67410000000000003</v>
      </c>
      <c r="I336">
        <v>0.83819999999999995</v>
      </c>
      <c r="J336">
        <v>0.92490000000000006</v>
      </c>
      <c r="K336">
        <v>0.98950000000000005</v>
      </c>
      <c r="L336">
        <v>0.8296</v>
      </c>
      <c r="M336">
        <v>0.92789999999999995</v>
      </c>
      <c r="N336">
        <v>0.97030000000000005</v>
      </c>
      <c r="O336">
        <v>0.99760000000000004</v>
      </c>
      <c r="P336">
        <v>0.93569999999999998</v>
      </c>
      <c r="Q336">
        <v>0.98309999999999997</v>
      </c>
      <c r="R336" s="5">
        <v>0.99560000000000004</v>
      </c>
      <c r="S336">
        <v>0.99990000000000001</v>
      </c>
      <c r="T336">
        <v>0.83179999999999998</v>
      </c>
      <c r="U336">
        <v>0.93379999999999996</v>
      </c>
      <c r="V336">
        <v>0.97350000000000003</v>
      </c>
      <c r="W336">
        <v>0.99809999999999999</v>
      </c>
      <c r="X336">
        <v>0.6744</v>
      </c>
      <c r="Y336">
        <v>0.83220000000000005</v>
      </c>
      <c r="Z336">
        <v>0.92290000000000005</v>
      </c>
      <c r="AA336">
        <v>0.98860000000000003</v>
      </c>
      <c r="AB336">
        <v>0.62890000000000001</v>
      </c>
      <c r="AC336">
        <v>0.80420000000000003</v>
      </c>
      <c r="AD336">
        <v>0.90300000000000002</v>
      </c>
      <c r="AE336">
        <v>0.98729999999999996</v>
      </c>
    </row>
    <row r="337" spans="1:31" ht="15" thickTop="1" x14ac:dyDescent="0.3">
      <c r="A337" s="1" t="s">
        <v>56</v>
      </c>
      <c r="B337" s="1">
        <v>20</v>
      </c>
      <c r="C337" s="1" t="s">
        <v>75</v>
      </c>
      <c r="D337" s="1">
        <v>0.84140000000000004</v>
      </c>
      <c r="E337" s="1">
        <v>0.97860000000000003</v>
      </c>
      <c r="F337" s="1">
        <v>0.99099999999999999</v>
      </c>
      <c r="G337" s="1">
        <v>0.99929999999999997</v>
      </c>
      <c r="H337" s="1">
        <v>0.83169999999999999</v>
      </c>
      <c r="I337" s="1">
        <v>0.90980000000000005</v>
      </c>
      <c r="J337" s="1">
        <v>0.96160000000000001</v>
      </c>
      <c r="K337" s="1">
        <v>0.99790000000000001</v>
      </c>
      <c r="L337" s="1">
        <v>0.82040000000000002</v>
      </c>
      <c r="M337" s="1">
        <v>0.91339999999999999</v>
      </c>
      <c r="N337" s="1">
        <v>0.96140000000000003</v>
      </c>
      <c r="O337" s="1">
        <v>0.99350000000000005</v>
      </c>
      <c r="P337" s="1">
        <v>0.80430000000000001</v>
      </c>
      <c r="Q337" s="1">
        <v>0.90100000000000002</v>
      </c>
      <c r="R337" s="6">
        <v>0.95440000000000003</v>
      </c>
      <c r="S337" s="1">
        <v>0.99070000000000003</v>
      </c>
      <c r="T337" s="1">
        <v>0.80544708120556696</v>
      </c>
      <c r="U337" s="1">
        <v>0.88945629318113595</v>
      </c>
      <c r="V337" s="1">
        <v>0.95464103334334605</v>
      </c>
      <c r="W337" s="1">
        <v>0.99188945629318104</v>
      </c>
      <c r="X337" s="1">
        <v>0.78773388773388797</v>
      </c>
      <c r="Y337" s="1">
        <v>0.87338877338877297</v>
      </c>
      <c r="Z337" s="1">
        <v>0.92151767151767106</v>
      </c>
      <c r="AA337" s="1">
        <v>0.99594594594594599</v>
      </c>
      <c r="AB337" s="1">
        <v>0.71734317343173404</v>
      </c>
      <c r="AC337" s="1">
        <v>0.92275522755227601</v>
      </c>
      <c r="AD337" s="1">
        <v>0.97872078720787203</v>
      </c>
      <c r="AE337" s="1">
        <v>0.99655596555965598</v>
      </c>
    </row>
    <row r="338" spans="1:31" x14ac:dyDescent="0.3">
      <c r="A338" t="s">
        <v>56</v>
      </c>
      <c r="B338">
        <v>30</v>
      </c>
      <c r="C338" t="s">
        <v>75</v>
      </c>
      <c r="D338">
        <v>0.82620000000000005</v>
      </c>
      <c r="E338">
        <v>0.92679999999999996</v>
      </c>
      <c r="F338">
        <v>0.98850000000000005</v>
      </c>
      <c r="G338">
        <v>0.99860000000000004</v>
      </c>
      <c r="H338">
        <v>0.8155</v>
      </c>
      <c r="I338">
        <v>0.91949999999999998</v>
      </c>
      <c r="J338">
        <v>0.95809999999999995</v>
      </c>
      <c r="K338">
        <v>0.99760000000000004</v>
      </c>
      <c r="L338">
        <v>0.81930000000000003</v>
      </c>
      <c r="M338">
        <v>0.91590000000000005</v>
      </c>
      <c r="N338">
        <v>0.95830000000000004</v>
      </c>
      <c r="O338">
        <v>0.99270000000000003</v>
      </c>
      <c r="P338">
        <v>0.80420000000000003</v>
      </c>
      <c r="Q338">
        <v>0.90210000000000001</v>
      </c>
      <c r="R338" s="5">
        <v>0.95279999999999998</v>
      </c>
      <c r="S338">
        <v>0.99160000000000004</v>
      </c>
      <c r="T338">
        <v>0.8</v>
      </c>
      <c r="U338">
        <v>0.90849999999999997</v>
      </c>
      <c r="V338">
        <v>0.94720000000000004</v>
      </c>
      <c r="W338">
        <v>0.98939999999999995</v>
      </c>
      <c r="X338">
        <v>0.77324216756811903</v>
      </c>
      <c r="Y338">
        <v>0.93070721502194098</v>
      </c>
      <c r="Z338">
        <v>0.94611695070925605</v>
      </c>
      <c r="AA338">
        <v>0.99550974589243801</v>
      </c>
      <c r="AB338">
        <v>0.81323772752344203</v>
      </c>
      <c r="AC338">
        <v>0.84688361831218995</v>
      </c>
      <c r="AD338">
        <v>0.98433535576392694</v>
      </c>
      <c r="AE338">
        <v>0.99757308328736904</v>
      </c>
    </row>
    <row r="339" spans="1:31" x14ac:dyDescent="0.3">
      <c r="A339" t="s">
        <v>56</v>
      </c>
      <c r="B339">
        <v>50</v>
      </c>
      <c r="C339" t="s">
        <v>75</v>
      </c>
      <c r="D339">
        <v>0.83830000000000005</v>
      </c>
      <c r="E339">
        <v>0.91579999999999995</v>
      </c>
      <c r="F339">
        <v>0.95620000000000005</v>
      </c>
      <c r="G339">
        <v>0.99790000000000001</v>
      </c>
      <c r="H339">
        <v>0.82330000000000003</v>
      </c>
      <c r="I339">
        <v>0.92010000000000003</v>
      </c>
      <c r="J339">
        <v>0.95920000000000005</v>
      </c>
      <c r="K339">
        <v>0.99329999999999996</v>
      </c>
      <c r="L339">
        <v>0.81010000000000004</v>
      </c>
      <c r="M339">
        <v>0.90890000000000004</v>
      </c>
      <c r="N339">
        <v>0.95789999999999997</v>
      </c>
      <c r="O339">
        <v>0.99129999999999996</v>
      </c>
      <c r="P339">
        <v>0.81599999999999995</v>
      </c>
      <c r="Q339">
        <v>0.90859999999999996</v>
      </c>
      <c r="R339" s="5">
        <v>0.95589999999999997</v>
      </c>
      <c r="S339">
        <v>0.99119999999999997</v>
      </c>
      <c r="T339">
        <v>0.80159999999999998</v>
      </c>
      <c r="U339">
        <v>0.89790000000000003</v>
      </c>
      <c r="V339">
        <v>0.94899999999999995</v>
      </c>
      <c r="W339">
        <v>0.98609999999999998</v>
      </c>
      <c r="X339">
        <v>0.78447755184215795</v>
      </c>
      <c r="Y339">
        <v>0.907590094624522</v>
      </c>
      <c r="Z339">
        <v>0.94352728004831898</v>
      </c>
      <c r="AA339">
        <v>0.99204751358969201</v>
      </c>
      <c r="AB339">
        <v>0.84585184419878101</v>
      </c>
      <c r="AC339">
        <v>0.91590040293418695</v>
      </c>
      <c r="AD339">
        <v>0.946068808761236</v>
      </c>
      <c r="AE339">
        <v>0.99721045562558097</v>
      </c>
    </row>
    <row r="340" spans="1:31" x14ac:dyDescent="0.3">
      <c r="A340" t="s">
        <v>57</v>
      </c>
      <c r="B340">
        <v>20</v>
      </c>
      <c r="C340" t="s">
        <v>75</v>
      </c>
      <c r="D340">
        <v>0.86670000000000003</v>
      </c>
      <c r="E340">
        <v>0.95440000000000003</v>
      </c>
      <c r="F340">
        <v>0.98629999999999995</v>
      </c>
      <c r="G340">
        <v>0.99929999999999997</v>
      </c>
      <c r="H340">
        <v>0.93559999999999999</v>
      </c>
      <c r="I340">
        <v>0.98119999999999996</v>
      </c>
      <c r="J340">
        <v>0.99570000000000003</v>
      </c>
      <c r="K340">
        <v>0.99960000000000004</v>
      </c>
      <c r="L340">
        <v>0.87770000000000004</v>
      </c>
      <c r="M340">
        <v>0.95299999999999996</v>
      </c>
      <c r="N340">
        <v>0.9829</v>
      </c>
      <c r="O340">
        <v>0.99890000000000001</v>
      </c>
      <c r="P340">
        <v>0.82920000000000005</v>
      </c>
      <c r="Q340">
        <v>0.91959999999999997</v>
      </c>
      <c r="R340" s="5">
        <v>0.96230000000000004</v>
      </c>
      <c r="S340">
        <v>0.99350000000000005</v>
      </c>
      <c r="T340">
        <v>0.81759999999999999</v>
      </c>
      <c r="U340">
        <v>0.91339999999999999</v>
      </c>
      <c r="V340">
        <v>0.95899999999999996</v>
      </c>
      <c r="W340">
        <v>0.99390000000000001</v>
      </c>
      <c r="X340">
        <v>0.79142456421558804</v>
      </c>
      <c r="Y340">
        <v>0.87116810258465205</v>
      </c>
      <c r="Z340">
        <v>0.92546583850931696</v>
      </c>
      <c r="AA340">
        <v>0.99679422961330399</v>
      </c>
      <c r="AB340">
        <v>0.67251219259105499</v>
      </c>
      <c r="AC340">
        <v>0.95164470270831203</v>
      </c>
      <c r="AD340">
        <v>0.98235965549444804</v>
      </c>
      <c r="AE340">
        <v>0.99678323129604696</v>
      </c>
    </row>
    <row r="341" spans="1:31" x14ac:dyDescent="0.3">
      <c r="A341" t="s">
        <v>57</v>
      </c>
      <c r="B341">
        <v>30</v>
      </c>
      <c r="C341" t="s">
        <v>75</v>
      </c>
      <c r="D341">
        <v>0.89759999999999995</v>
      </c>
      <c r="E341">
        <v>0.96609999999999996</v>
      </c>
      <c r="F341">
        <v>0.98860000000000003</v>
      </c>
      <c r="G341">
        <v>0.99939999999999996</v>
      </c>
      <c r="H341">
        <v>0.92579999999999996</v>
      </c>
      <c r="I341">
        <v>0.97989999999999999</v>
      </c>
      <c r="J341">
        <v>0.99390000000000001</v>
      </c>
      <c r="K341">
        <v>0.99970000000000003</v>
      </c>
      <c r="L341">
        <v>0.85729999999999995</v>
      </c>
      <c r="M341">
        <v>0.93679999999999997</v>
      </c>
      <c r="N341">
        <v>0.97570000000000001</v>
      </c>
      <c r="O341">
        <v>0.99660000000000004</v>
      </c>
      <c r="P341">
        <v>0.82720000000000005</v>
      </c>
      <c r="Q341">
        <v>0.91869999999999996</v>
      </c>
      <c r="R341" s="5">
        <v>0.96340000000000003</v>
      </c>
      <c r="S341">
        <v>0.99409999999999998</v>
      </c>
      <c r="T341">
        <v>0.81810000000000005</v>
      </c>
      <c r="U341">
        <v>0.91500000000000004</v>
      </c>
      <c r="V341">
        <v>0.95669999999999999</v>
      </c>
      <c r="W341">
        <v>0.99209999999999998</v>
      </c>
      <c r="X341">
        <v>0.78099339074704599</v>
      </c>
      <c r="Y341">
        <v>0.914480272381334</v>
      </c>
      <c r="Z341">
        <v>0.94382134988984601</v>
      </c>
      <c r="AA341">
        <v>0.99599439214900898</v>
      </c>
      <c r="AB341">
        <v>0.75218985536769201</v>
      </c>
      <c r="AC341">
        <v>0.81360765940110003</v>
      </c>
      <c r="AD341">
        <v>0.98309227948665701</v>
      </c>
      <c r="AE341">
        <v>0.99684253412100199</v>
      </c>
    </row>
    <row r="342" spans="1:31" x14ac:dyDescent="0.3">
      <c r="A342" t="s">
        <v>57</v>
      </c>
      <c r="B342">
        <v>50</v>
      </c>
      <c r="C342" t="s">
        <v>75</v>
      </c>
      <c r="D342">
        <v>0.91159999999999997</v>
      </c>
      <c r="E342">
        <v>0.97309999999999997</v>
      </c>
      <c r="F342">
        <v>0.99209999999999998</v>
      </c>
      <c r="G342">
        <v>0.99960000000000004</v>
      </c>
      <c r="H342">
        <v>0.90369999999999995</v>
      </c>
      <c r="I342">
        <v>0.96989999999999998</v>
      </c>
      <c r="J342">
        <v>0.98970000000000002</v>
      </c>
      <c r="K342">
        <v>0.99950000000000006</v>
      </c>
      <c r="L342">
        <v>0.84</v>
      </c>
      <c r="M342">
        <v>0.92569999999999997</v>
      </c>
      <c r="N342">
        <v>0.9698</v>
      </c>
      <c r="O342">
        <v>0.99539999999999995</v>
      </c>
      <c r="P342">
        <v>0.81950000000000001</v>
      </c>
      <c r="Q342">
        <v>0.91420000000000001</v>
      </c>
      <c r="R342" s="5">
        <v>0.95850000000000002</v>
      </c>
      <c r="S342">
        <v>0.99219999999999997</v>
      </c>
      <c r="T342">
        <v>0.80789999999999995</v>
      </c>
      <c r="U342">
        <v>0.90620000000000001</v>
      </c>
      <c r="V342">
        <v>0.95489999999999997</v>
      </c>
      <c r="W342">
        <v>0.99199999999999999</v>
      </c>
      <c r="X342">
        <v>0.79161245120608503</v>
      </c>
      <c r="Y342">
        <v>0.91132018816935201</v>
      </c>
      <c r="Z342">
        <v>0.94475027524772304</v>
      </c>
      <c r="AA342">
        <v>0.99009108197377604</v>
      </c>
      <c r="AB342">
        <v>0.83351797764125302</v>
      </c>
      <c r="AC342">
        <v>0.90039278880048301</v>
      </c>
      <c r="AD342">
        <v>0.93221875314734604</v>
      </c>
      <c r="AE342">
        <v>0.99738140799677699</v>
      </c>
    </row>
    <row r="343" spans="1:31" x14ac:dyDescent="0.3">
      <c r="A343" t="s">
        <v>31</v>
      </c>
      <c r="B343">
        <v>20</v>
      </c>
      <c r="C343" t="s">
        <v>75</v>
      </c>
      <c r="D343">
        <v>0.754326297889367</v>
      </c>
      <c r="E343">
        <v>0.96168850655196603</v>
      </c>
      <c r="F343">
        <v>0.98419525857757295</v>
      </c>
      <c r="G343">
        <v>0.997299189756927</v>
      </c>
      <c r="H343">
        <v>0.81520000000000004</v>
      </c>
      <c r="I343">
        <v>0.90339999999999998</v>
      </c>
      <c r="J343">
        <v>0.95920000000000005</v>
      </c>
      <c r="K343">
        <v>0.99729999999999996</v>
      </c>
      <c r="L343">
        <v>0.82110000000000005</v>
      </c>
      <c r="M343">
        <v>0.91769999999999996</v>
      </c>
      <c r="N343">
        <v>0.96179999999999999</v>
      </c>
      <c r="O343">
        <v>0.99439999999999995</v>
      </c>
      <c r="P343">
        <v>0.83540000000000003</v>
      </c>
      <c r="Q343">
        <v>0.92679999999999996</v>
      </c>
      <c r="R343" s="5">
        <v>0.96719999999999995</v>
      </c>
      <c r="S343">
        <v>0.99450000000000005</v>
      </c>
      <c r="T343">
        <v>0.83730000000000004</v>
      </c>
      <c r="U343">
        <v>0.92720000000000002</v>
      </c>
      <c r="V343">
        <v>0.96689999999999998</v>
      </c>
      <c r="W343">
        <v>0.99399999999999999</v>
      </c>
      <c r="X343">
        <v>0.8175</v>
      </c>
      <c r="Y343">
        <v>0.89800000000000002</v>
      </c>
      <c r="Z343">
        <v>0.95720000000000005</v>
      </c>
      <c r="AA343">
        <v>0.99680000000000002</v>
      </c>
      <c r="AB343">
        <v>0.75703273600961096</v>
      </c>
      <c r="AC343">
        <v>0.96376013614976497</v>
      </c>
      <c r="AD343">
        <v>0.98508359195114603</v>
      </c>
      <c r="AE343">
        <v>0.99729702672940201</v>
      </c>
    </row>
    <row r="344" spans="1:31" x14ac:dyDescent="0.3">
      <c r="A344" t="s">
        <v>31</v>
      </c>
      <c r="B344">
        <v>30</v>
      </c>
      <c r="C344" t="s">
        <v>75</v>
      </c>
      <c r="D344">
        <v>0.77600000000000002</v>
      </c>
      <c r="E344">
        <v>0.87029999999999996</v>
      </c>
      <c r="F344">
        <v>0.98329999999999995</v>
      </c>
      <c r="G344">
        <v>0.99709999999999999</v>
      </c>
      <c r="H344">
        <v>0.80989999999999995</v>
      </c>
      <c r="I344">
        <v>0.91739999999999999</v>
      </c>
      <c r="J344">
        <v>0.95309999999999995</v>
      </c>
      <c r="K344">
        <v>0.99690000000000001</v>
      </c>
      <c r="L344">
        <v>0.82350000000000001</v>
      </c>
      <c r="M344">
        <v>0.91759999999999997</v>
      </c>
      <c r="N344">
        <v>0.96089999999999998</v>
      </c>
      <c r="O344">
        <v>0.99299999999999999</v>
      </c>
      <c r="P344">
        <v>0.81730000000000003</v>
      </c>
      <c r="Q344">
        <v>0.91439999999999999</v>
      </c>
      <c r="R344" s="5">
        <v>0.9597</v>
      </c>
      <c r="S344">
        <v>0.99370000000000003</v>
      </c>
      <c r="T344">
        <v>0.82110000000000005</v>
      </c>
      <c r="U344">
        <v>0.91320000000000001</v>
      </c>
      <c r="V344">
        <v>0.9587</v>
      </c>
      <c r="W344">
        <v>0.99390000000000001</v>
      </c>
      <c r="X344">
        <v>0.80558055805580597</v>
      </c>
      <c r="Y344">
        <v>0.91709170917091698</v>
      </c>
      <c r="Z344">
        <v>0.95219521952195196</v>
      </c>
      <c r="AA344">
        <v>0.99719971997199697</v>
      </c>
      <c r="AB344">
        <v>0.77286371823093902</v>
      </c>
      <c r="AC344">
        <v>0.86551931158695194</v>
      </c>
      <c r="AD344">
        <v>0.98208925355213095</v>
      </c>
      <c r="AE344">
        <v>0.99569741845107096</v>
      </c>
    </row>
    <row r="345" spans="1:31" ht="15" thickBot="1" x14ac:dyDescent="0.35">
      <c r="A345" t="s">
        <v>31</v>
      </c>
      <c r="B345">
        <v>50</v>
      </c>
      <c r="C345" t="s">
        <v>75</v>
      </c>
      <c r="D345">
        <v>0.8256</v>
      </c>
      <c r="E345">
        <v>0.8972</v>
      </c>
      <c r="F345">
        <v>0.9375</v>
      </c>
      <c r="G345">
        <v>0.99739999999999995</v>
      </c>
      <c r="H345">
        <v>0.80530000000000002</v>
      </c>
      <c r="I345">
        <v>0.91420000000000001</v>
      </c>
      <c r="J345">
        <v>0.95469999999999999</v>
      </c>
      <c r="K345">
        <v>0.99109999999999998</v>
      </c>
      <c r="L345">
        <v>0.81689999999999996</v>
      </c>
      <c r="M345">
        <v>0.91020000000000001</v>
      </c>
      <c r="N345">
        <v>0.95940000000000003</v>
      </c>
      <c r="O345">
        <v>0.9929</v>
      </c>
      <c r="P345">
        <v>0.81410000000000005</v>
      </c>
      <c r="Q345">
        <v>0.91169999999999995</v>
      </c>
      <c r="R345" s="5">
        <v>0.95950000000000002</v>
      </c>
      <c r="S345">
        <v>0.99280000000000002</v>
      </c>
      <c r="T345">
        <v>0.8145</v>
      </c>
      <c r="U345">
        <v>0.91039999999999999</v>
      </c>
      <c r="V345">
        <v>0.95630000000000004</v>
      </c>
      <c r="W345">
        <v>0.99270000000000003</v>
      </c>
      <c r="X345">
        <v>0.79859999999999998</v>
      </c>
      <c r="Y345">
        <v>0.91</v>
      </c>
      <c r="Z345">
        <v>0.95150000000000001</v>
      </c>
      <c r="AA345">
        <v>0.99209999999999998</v>
      </c>
      <c r="AB345">
        <v>0.82728272827282701</v>
      </c>
      <c r="AC345">
        <v>0.89718971897189703</v>
      </c>
      <c r="AD345">
        <v>0.93519351935193495</v>
      </c>
      <c r="AE345">
        <v>0.99699969996999704</v>
      </c>
    </row>
    <row r="346" spans="1:31" ht="15" thickTop="1" x14ac:dyDescent="0.3">
      <c r="A346" s="1" t="s">
        <v>56</v>
      </c>
      <c r="B346" s="1">
        <v>20</v>
      </c>
      <c r="C346" s="1" t="s">
        <v>52</v>
      </c>
      <c r="D346" s="1">
        <v>0.48980000000000001</v>
      </c>
      <c r="E346" s="1">
        <v>0.72330000000000005</v>
      </c>
      <c r="F346" s="1">
        <v>0.86809999999999998</v>
      </c>
      <c r="G346" s="1">
        <v>0.98960000000000004</v>
      </c>
      <c r="H346" s="1">
        <v>0.80320000000000003</v>
      </c>
      <c r="I346" s="1">
        <v>0.9284</v>
      </c>
      <c r="J346" s="1">
        <v>0.97909999999999997</v>
      </c>
      <c r="K346" s="1">
        <v>0.99909999999999999</v>
      </c>
      <c r="L346" s="1">
        <v>0.95150000000000001</v>
      </c>
      <c r="M346" s="1">
        <v>0.98860000000000003</v>
      </c>
      <c r="N346" s="1">
        <v>0.99660000000000004</v>
      </c>
      <c r="O346" s="1">
        <v>1</v>
      </c>
      <c r="P346" s="1">
        <v>0.89370000000000005</v>
      </c>
      <c r="Q346" s="1">
        <v>0.96550000000000002</v>
      </c>
      <c r="R346" s="6">
        <v>0.98719999999999997</v>
      </c>
      <c r="S346" s="1">
        <v>0.99890000000000001</v>
      </c>
      <c r="T346" s="1">
        <v>0.8599</v>
      </c>
      <c r="U346" s="1">
        <v>0.94399999999999995</v>
      </c>
      <c r="V346" s="1">
        <v>0.97619999999999996</v>
      </c>
      <c r="W346" s="1">
        <v>0.99719999999999998</v>
      </c>
      <c r="X346" s="1">
        <v>0.85440000000000005</v>
      </c>
      <c r="Y346" s="1">
        <v>0.9395</v>
      </c>
      <c r="Z346" s="1">
        <v>0.9819</v>
      </c>
      <c r="AA346" s="1">
        <v>0.99670000000000003</v>
      </c>
      <c r="AB346" s="1">
        <v>0.84150000000000003</v>
      </c>
      <c r="AC346" s="1">
        <v>0.96160000000000001</v>
      </c>
      <c r="AD346" s="1">
        <v>0.98319999999999996</v>
      </c>
      <c r="AE346" s="1">
        <v>0.99760000000000004</v>
      </c>
    </row>
    <row r="347" spans="1:31" x14ac:dyDescent="0.3">
      <c r="A347" t="s">
        <v>56</v>
      </c>
      <c r="B347">
        <v>30</v>
      </c>
      <c r="C347" t="s">
        <v>52</v>
      </c>
      <c r="D347">
        <v>0.3715</v>
      </c>
      <c r="E347">
        <v>0.61680000000000001</v>
      </c>
      <c r="F347">
        <v>0.80359999999999998</v>
      </c>
      <c r="G347">
        <v>0.96919999999999995</v>
      </c>
      <c r="H347">
        <v>0.75180000000000002</v>
      </c>
      <c r="I347">
        <v>0.90039999999999998</v>
      </c>
      <c r="J347">
        <v>0.96389999999999998</v>
      </c>
      <c r="K347">
        <v>0.99819999999999998</v>
      </c>
      <c r="L347">
        <v>0.94630000000000003</v>
      </c>
      <c r="M347">
        <v>0.98719999999999997</v>
      </c>
      <c r="N347">
        <v>0.99719999999999998</v>
      </c>
      <c r="O347">
        <v>0.99990000000000001</v>
      </c>
      <c r="P347">
        <v>0.88419999999999999</v>
      </c>
      <c r="Q347">
        <v>0.9577</v>
      </c>
      <c r="R347" s="5">
        <v>0.98240000000000005</v>
      </c>
      <c r="S347">
        <v>0.99880000000000002</v>
      </c>
      <c r="T347">
        <v>0.86270000000000002</v>
      </c>
      <c r="U347">
        <v>0.94179999999999997</v>
      </c>
      <c r="V347">
        <v>0.97440000000000004</v>
      </c>
      <c r="W347">
        <v>0.99629999999999996</v>
      </c>
      <c r="X347">
        <v>0.86439999999999995</v>
      </c>
      <c r="Y347">
        <v>0.94110000000000005</v>
      </c>
      <c r="Z347">
        <v>0.97399999999999998</v>
      </c>
      <c r="AA347">
        <v>0.99709999999999999</v>
      </c>
      <c r="AB347">
        <v>0.83409999999999995</v>
      </c>
      <c r="AC347">
        <v>0.94359999999999999</v>
      </c>
      <c r="AD347">
        <v>0.98380000000000001</v>
      </c>
      <c r="AE347">
        <v>0.99819999999999998</v>
      </c>
    </row>
    <row r="348" spans="1:31" x14ac:dyDescent="0.3">
      <c r="A348" t="s">
        <v>56</v>
      </c>
      <c r="B348">
        <v>50</v>
      </c>
      <c r="C348" t="s">
        <v>52</v>
      </c>
      <c r="D348">
        <v>0.2364</v>
      </c>
      <c r="E348">
        <v>0.45479999999999998</v>
      </c>
      <c r="F348">
        <v>0.66279999999999994</v>
      </c>
      <c r="G348">
        <v>0.92920000000000003</v>
      </c>
      <c r="H348">
        <v>0.68420000000000003</v>
      </c>
      <c r="I348">
        <v>0.86029999999999995</v>
      </c>
      <c r="J348">
        <v>0.94799999999999995</v>
      </c>
      <c r="K348">
        <v>0.995</v>
      </c>
      <c r="L348">
        <v>0.93720000000000003</v>
      </c>
      <c r="M348">
        <v>0.98560000000000003</v>
      </c>
      <c r="N348">
        <v>0.99529999999999996</v>
      </c>
      <c r="O348">
        <v>0.99980000000000002</v>
      </c>
      <c r="P348">
        <v>0.87570000000000003</v>
      </c>
      <c r="Q348">
        <v>0.95120000000000005</v>
      </c>
      <c r="R348" s="5">
        <v>0.9829</v>
      </c>
      <c r="S348">
        <v>0.998</v>
      </c>
      <c r="T348">
        <v>0.8468</v>
      </c>
      <c r="U348">
        <v>0.93320000000000003</v>
      </c>
      <c r="V348">
        <v>0.97050000000000003</v>
      </c>
      <c r="W348">
        <v>0.99550000000000005</v>
      </c>
      <c r="X348">
        <v>0.84570000000000001</v>
      </c>
      <c r="Y348">
        <v>0.93259999999999998</v>
      </c>
      <c r="Z348">
        <v>0.97340000000000004</v>
      </c>
      <c r="AA348">
        <v>0.99590000000000001</v>
      </c>
      <c r="AB348">
        <v>0.84789999999999999</v>
      </c>
      <c r="AC348">
        <v>0.93130000000000002</v>
      </c>
      <c r="AD348">
        <v>0.97250000000000003</v>
      </c>
      <c r="AE348">
        <v>0.99739999999999995</v>
      </c>
    </row>
    <row r="349" spans="1:31" x14ac:dyDescent="0.3">
      <c r="A349" t="s">
        <v>57</v>
      </c>
      <c r="B349">
        <v>20</v>
      </c>
      <c r="C349" t="s">
        <v>52</v>
      </c>
      <c r="D349">
        <v>1.99999999999978E-4</v>
      </c>
      <c r="E349">
        <v>1.1999999999999799E-3</v>
      </c>
      <c r="F349">
        <v>7.1000000000000004E-3</v>
      </c>
      <c r="G349">
        <v>0.1024</v>
      </c>
      <c r="H349">
        <v>1.67E-2</v>
      </c>
      <c r="I349">
        <v>9.3199999999999894E-2</v>
      </c>
      <c r="J349">
        <v>0.26550000000000001</v>
      </c>
      <c r="K349">
        <v>0.78839999999999999</v>
      </c>
      <c r="L349">
        <v>0.88480000000000003</v>
      </c>
      <c r="M349">
        <v>0.98229999999999995</v>
      </c>
      <c r="N349">
        <v>0.99860000000000004</v>
      </c>
      <c r="O349">
        <v>1</v>
      </c>
      <c r="P349">
        <v>0.94789999999999996</v>
      </c>
      <c r="Q349">
        <v>0.99060000000000004</v>
      </c>
      <c r="R349" s="5">
        <v>0.99890000000000001</v>
      </c>
      <c r="S349">
        <v>1</v>
      </c>
      <c r="T349">
        <v>0.63839999999999997</v>
      </c>
      <c r="U349">
        <v>0.83889999999999998</v>
      </c>
      <c r="V349">
        <v>0.93789999999999996</v>
      </c>
      <c r="W349">
        <v>0.996</v>
      </c>
      <c r="X349">
        <v>0.69850000000000001</v>
      </c>
      <c r="Y349">
        <v>0.85450000000000004</v>
      </c>
      <c r="Z349">
        <v>0.93559999999999999</v>
      </c>
      <c r="AA349">
        <v>0.99080000000000001</v>
      </c>
      <c r="AB349">
        <v>0.8034</v>
      </c>
      <c r="AC349">
        <v>0.91400000000000003</v>
      </c>
      <c r="AD349">
        <v>0.96199999999999997</v>
      </c>
      <c r="AE349">
        <v>0.99490000000000001</v>
      </c>
    </row>
    <row r="350" spans="1:31" x14ac:dyDescent="0.3">
      <c r="A350" t="s">
        <v>57</v>
      </c>
      <c r="B350">
        <v>30</v>
      </c>
      <c r="C350" t="s">
        <v>52</v>
      </c>
      <c r="D350">
        <v>0</v>
      </c>
      <c r="E350">
        <v>0</v>
      </c>
      <c r="F350" s="2">
        <v>9.9999999999989E-5</v>
      </c>
      <c r="G350">
        <v>1.01E-2</v>
      </c>
      <c r="H350">
        <v>1.29999999999997E-3</v>
      </c>
      <c r="I350">
        <v>1.54E-2</v>
      </c>
      <c r="J350">
        <v>7.2499999999999995E-2</v>
      </c>
      <c r="K350">
        <v>0.46539999999999998</v>
      </c>
      <c r="L350">
        <v>0.8347</v>
      </c>
      <c r="M350">
        <v>0.96560000000000001</v>
      </c>
      <c r="N350">
        <v>0.99519999999999997</v>
      </c>
      <c r="O350">
        <v>1</v>
      </c>
      <c r="P350">
        <v>0.90980000000000005</v>
      </c>
      <c r="Q350">
        <v>0.9798</v>
      </c>
      <c r="R350" s="5">
        <v>0.99609999999999999</v>
      </c>
      <c r="S350">
        <v>1</v>
      </c>
      <c r="T350">
        <v>0.54590000000000005</v>
      </c>
      <c r="U350">
        <v>0.76559999999999995</v>
      </c>
      <c r="V350">
        <v>0.89710000000000001</v>
      </c>
      <c r="W350">
        <v>0.98909999999999998</v>
      </c>
      <c r="X350">
        <v>0.66549999999999998</v>
      </c>
      <c r="Y350">
        <v>0.82909999999999995</v>
      </c>
      <c r="Z350">
        <v>0.91930000000000001</v>
      </c>
      <c r="AA350">
        <v>0.9869</v>
      </c>
      <c r="AB350">
        <v>0.78849999999999998</v>
      </c>
      <c r="AC350">
        <v>0.89810000000000001</v>
      </c>
      <c r="AD350">
        <v>0.9556</v>
      </c>
      <c r="AE350">
        <v>0.99319999999999997</v>
      </c>
    </row>
    <row r="351" spans="1:31" x14ac:dyDescent="0.3">
      <c r="A351" t="s">
        <v>57</v>
      </c>
      <c r="B351">
        <v>50</v>
      </c>
      <c r="C351" t="s">
        <v>52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4.9999999999994504E-4</v>
      </c>
      <c r="J351">
        <v>6.09999999999999E-3</v>
      </c>
      <c r="K351">
        <v>0.10979999999999999</v>
      </c>
      <c r="L351">
        <v>0.75649999999999995</v>
      </c>
      <c r="M351">
        <v>0.93930000000000002</v>
      </c>
      <c r="N351">
        <v>0.98740000000000006</v>
      </c>
      <c r="O351">
        <v>1</v>
      </c>
      <c r="P351">
        <v>0.82299999999999995</v>
      </c>
      <c r="Q351">
        <v>0.94679999999999997</v>
      </c>
      <c r="R351" s="5">
        <v>0.98560000000000003</v>
      </c>
      <c r="S351">
        <v>0.99929999999999997</v>
      </c>
      <c r="T351">
        <v>0.41139999999999999</v>
      </c>
      <c r="U351">
        <v>0.64049999999999996</v>
      </c>
      <c r="V351">
        <v>0.80249999999999999</v>
      </c>
      <c r="W351">
        <v>0.96609999999999996</v>
      </c>
      <c r="X351">
        <v>0.61980000000000002</v>
      </c>
      <c r="Y351">
        <v>0.7923</v>
      </c>
      <c r="Z351">
        <v>0.89439999999999997</v>
      </c>
      <c r="AA351">
        <v>0.98050000000000004</v>
      </c>
      <c r="AB351">
        <v>0.77569999999999995</v>
      </c>
      <c r="AC351">
        <v>0.88990000000000002</v>
      </c>
      <c r="AD351">
        <v>0.95040000000000002</v>
      </c>
      <c r="AE351">
        <v>0.99099999999999999</v>
      </c>
    </row>
    <row r="352" spans="1:31" x14ac:dyDescent="0.3">
      <c r="A352" t="s">
        <v>31</v>
      </c>
      <c r="B352">
        <v>20</v>
      </c>
      <c r="C352" t="s">
        <v>52</v>
      </c>
      <c r="D352">
        <v>0.4083</v>
      </c>
      <c r="E352">
        <v>0.65910000000000002</v>
      </c>
      <c r="F352">
        <v>0.82909999999999995</v>
      </c>
      <c r="G352">
        <v>0.97640000000000005</v>
      </c>
      <c r="H352">
        <v>0.53349999999999997</v>
      </c>
      <c r="I352">
        <v>0.76259999999999994</v>
      </c>
      <c r="J352">
        <v>0.90049999999999997</v>
      </c>
      <c r="K352">
        <v>0.99019999999999997</v>
      </c>
      <c r="L352">
        <v>0.83540000000000003</v>
      </c>
      <c r="M352">
        <v>0.94730000000000003</v>
      </c>
      <c r="N352">
        <v>0.98429999999999995</v>
      </c>
      <c r="O352">
        <v>0.99970000000000003</v>
      </c>
      <c r="P352">
        <v>0.9819</v>
      </c>
      <c r="Q352">
        <v>0.99709999999999999</v>
      </c>
      <c r="R352" s="5">
        <v>0.99980000000000002</v>
      </c>
      <c r="S352">
        <v>1</v>
      </c>
      <c r="T352">
        <v>0.84260000000000002</v>
      </c>
      <c r="U352">
        <v>0.95220000000000005</v>
      </c>
      <c r="V352">
        <v>0.98650000000000004</v>
      </c>
      <c r="W352">
        <v>0.99950000000000006</v>
      </c>
      <c r="X352">
        <v>0.54190000000000005</v>
      </c>
      <c r="Y352">
        <v>0.76819999999999999</v>
      </c>
      <c r="Z352">
        <v>0.89890000000000003</v>
      </c>
      <c r="AA352">
        <v>0.99070000000000003</v>
      </c>
      <c r="AB352">
        <v>0.4052</v>
      </c>
      <c r="AC352">
        <v>0.66439999999999999</v>
      </c>
      <c r="AD352">
        <v>0.83479999999999999</v>
      </c>
      <c r="AE352">
        <v>0.97640000000000005</v>
      </c>
    </row>
    <row r="353" spans="1:31" x14ac:dyDescent="0.3">
      <c r="A353" t="s">
        <v>31</v>
      </c>
      <c r="B353">
        <v>30</v>
      </c>
      <c r="C353" t="s">
        <v>52</v>
      </c>
      <c r="D353">
        <v>0.31840000000000002</v>
      </c>
      <c r="E353">
        <v>0.57240000000000002</v>
      </c>
      <c r="F353">
        <v>0.75890000000000002</v>
      </c>
      <c r="G353">
        <v>0.95650000000000002</v>
      </c>
      <c r="H353">
        <v>0.43940000000000001</v>
      </c>
      <c r="I353">
        <v>0.6835</v>
      </c>
      <c r="J353">
        <v>0.85029999999999994</v>
      </c>
      <c r="K353">
        <v>0.98009999999999997</v>
      </c>
      <c r="L353">
        <v>0.79569999999999996</v>
      </c>
      <c r="M353">
        <v>0.9244</v>
      </c>
      <c r="N353">
        <v>0.97629999999999995</v>
      </c>
      <c r="O353">
        <v>0.99909999999999999</v>
      </c>
      <c r="P353">
        <v>0.9738</v>
      </c>
      <c r="Q353">
        <v>0.995</v>
      </c>
      <c r="R353" s="5">
        <v>0.99929999999999997</v>
      </c>
      <c r="S353">
        <v>0.99990000000000001</v>
      </c>
      <c r="T353">
        <v>0.79</v>
      </c>
      <c r="U353">
        <v>0.91869999999999996</v>
      </c>
      <c r="V353">
        <v>0.97470000000000001</v>
      </c>
      <c r="W353">
        <v>0.999</v>
      </c>
      <c r="X353">
        <v>0.44009999999999999</v>
      </c>
      <c r="Y353">
        <v>0.68789999999999996</v>
      </c>
      <c r="Z353">
        <v>0.84440000000000004</v>
      </c>
      <c r="AA353">
        <v>0.97719999999999996</v>
      </c>
      <c r="AB353">
        <v>0.32600000000000001</v>
      </c>
      <c r="AC353">
        <v>0.56740000000000002</v>
      </c>
      <c r="AD353">
        <v>0.75880000000000003</v>
      </c>
      <c r="AE353">
        <v>0.95989999999999998</v>
      </c>
    </row>
    <row r="354" spans="1:31" ht="15" thickBot="1" x14ac:dyDescent="0.35">
      <c r="A354" t="s">
        <v>31</v>
      </c>
      <c r="B354">
        <v>50</v>
      </c>
      <c r="C354" t="s">
        <v>52</v>
      </c>
      <c r="D354">
        <v>0.23780000000000001</v>
      </c>
      <c r="E354">
        <v>0.4556</v>
      </c>
      <c r="F354">
        <v>0.66020000000000001</v>
      </c>
      <c r="G354">
        <v>0.91700000000000004</v>
      </c>
      <c r="H354">
        <v>0.33900000000000002</v>
      </c>
      <c r="I354">
        <v>0.57079999999999997</v>
      </c>
      <c r="J354">
        <v>0.76019999999999999</v>
      </c>
      <c r="K354">
        <v>0.95609999999999995</v>
      </c>
      <c r="L354">
        <v>0.71379999999999999</v>
      </c>
      <c r="M354">
        <v>0.87780000000000002</v>
      </c>
      <c r="N354">
        <v>0.94879999999999998</v>
      </c>
      <c r="O354">
        <v>0.996</v>
      </c>
      <c r="P354">
        <v>0.96560000000000001</v>
      </c>
      <c r="Q354">
        <v>0.99339999999999995</v>
      </c>
      <c r="R354" s="5">
        <v>0.99960000000000004</v>
      </c>
      <c r="S354">
        <v>1</v>
      </c>
      <c r="T354">
        <v>0.71719999999999995</v>
      </c>
      <c r="U354">
        <v>0.877</v>
      </c>
      <c r="V354">
        <v>0.95489999999999997</v>
      </c>
      <c r="W354">
        <v>0.99680000000000002</v>
      </c>
      <c r="X354">
        <v>0.34129999999999999</v>
      </c>
      <c r="Y354">
        <v>0.57599999999999996</v>
      </c>
      <c r="Z354">
        <v>0.75539999999999996</v>
      </c>
      <c r="AA354">
        <v>0.9526</v>
      </c>
      <c r="AB354">
        <v>0.22620000000000001</v>
      </c>
      <c r="AC354">
        <v>0.44359999999999999</v>
      </c>
      <c r="AD354">
        <v>0.65449999999999997</v>
      </c>
      <c r="AE354">
        <v>0.91749999999999998</v>
      </c>
    </row>
    <row r="355" spans="1:31" ht="15" thickTop="1" x14ac:dyDescent="0.3">
      <c r="A355" s="1" t="s">
        <v>56</v>
      </c>
      <c r="B355" s="1">
        <v>20</v>
      </c>
      <c r="C355" s="1" t="s">
        <v>80</v>
      </c>
      <c r="D355" s="1">
        <v>0.88570000000000004</v>
      </c>
      <c r="E355" s="1">
        <v>0.98029999999999995</v>
      </c>
      <c r="F355" s="1">
        <v>0.99270000000000003</v>
      </c>
      <c r="G355" s="1">
        <v>0.99939999999999996</v>
      </c>
      <c r="H355" s="1">
        <v>0.85419999999999996</v>
      </c>
      <c r="I355" s="1">
        <v>0.93130000000000002</v>
      </c>
      <c r="J355" s="1">
        <v>0.97450000000000003</v>
      </c>
      <c r="K355" s="1">
        <v>0.99850000000000005</v>
      </c>
      <c r="L355" s="1">
        <v>0.82889999999999997</v>
      </c>
      <c r="M355" s="1">
        <v>0.92410000000000003</v>
      </c>
      <c r="N355" s="1">
        <v>0.96509999999999996</v>
      </c>
      <c r="O355" s="1">
        <v>0.99460000000000004</v>
      </c>
      <c r="P355" s="1">
        <v>0.81369999999999998</v>
      </c>
      <c r="Q355" s="1">
        <v>0.90480000000000005</v>
      </c>
      <c r="R355" s="6">
        <v>0.95699999999999996</v>
      </c>
      <c r="S355" s="1">
        <v>0.99150000000000005</v>
      </c>
      <c r="T355" s="1">
        <v>0.80686137227445498</v>
      </c>
      <c r="U355" s="1">
        <v>0.89617923584716896</v>
      </c>
      <c r="V355" s="1">
        <v>0.95539107821564295</v>
      </c>
      <c r="W355" s="1">
        <v>0.99209841968393697</v>
      </c>
      <c r="X355" s="1">
        <v>0.78498572011423895</v>
      </c>
      <c r="Y355" s="1">
        <v>0.867911056711546</v>
      </c>
      <c r="Z355" s="1">
        <v>0.91799265605875202</v>
      </c>
      <c r="AA355" s="1">
        <v>0.99602203182374505</v>
      </c>
      <c r="AB355" s="1">
        <v>0.68910182405910902</v>
      </c>
      <c r="AC355" s="1">
        <v>0.93200184714846501</v>
      </c>
      <c r="AD355" s="1">
        <v>0.98025860078503801</v>
      </c>
      <c r="AE355" s="1">
        <v>0.99665204340798896</v>
      </c>
    </row>
    <row r="356" spans="1:31" x14ac:dyDescent="0.3">
      <c r="A356" t="s">
        <v>56</v>
      </c>
      <c r="B356">
        <v>30</v>
      </c>
      <c r="C356" t="s">
        <v>80</v>
      </c>
      <c r="D356">
        <v>0.8579</v>
      </c>
      <c r="E356">
        <v>0.95030000000000003</v>
      </c>
      <c r="F356">
        <v>0.99029999999999996</v>
      </c>
      <c r="G356">
        <v>0.99890000000000001</v>
      </c>
      <c r="H356">
        <v>0.83320000000000005</v>
      </c>
      <c r="I356">
        <v>0.93100000000000005</v>
      </c>
      <c r="J356">
        <v>0.96560000000000001</v>
      </c>
      <c r="K356">
        <v>0.99809999999999999</v>
      </c>
      <c r="L356">
        <v>0.82520000000000004</v>
      </c>
      <c r="M356">
        <v>0.91820000000000002</v>
      </c>
      <c r="N356">
        <v>0.96020000000000005</v>
      </c>
      <c r="O356">
        <v>0.99380000000000002</v>
      </c>
      <c r="P356">
        <v>0.80840000000000001</v>
      </c>
      <c r="Q356">
        <v>0.90369999999999995</v>
      </c>
      <c r="R356" s="5">
        <v>0.95420000000000005</v>
      </c>
      <c r="S356">
        <v>0.99250000000000005</v>
      </c>
      <c r="T356">
        <v>0.80289999999999995</v>
      </c>
      <c r="U356">
        <v>0.9083</v>
      </c>
      <c r="V356">
        <v>0.9496</v>
      </c>
      <c r="W356">
        <v>0.9899</v>
      </c>
      <c r="X356">
        <v>0.77804730139478495</v>
      </c>
      <c r="Y356">
        <v>0.92490398221144099</v>
      </c>
      <c r="Z356">
        <v>0.94309682635940995</v>
      </c>
      <c r="AA356">
        <v>0.99565393167576299</v>
      </c>
      <c r="AB356">
        <v>0.79147934061228897</v>
      </c>
      <c r="AC356">
        <v>0.833440376792978</v>
      </c>
      <c r="AD356">
        <v>0.98458574181117497</v>
      </c>
      <c r="AE356">
        <v>0.99764504388781805</v>
      </c>
    </row>
    <row r="357" spans="1:31" x14ac:dyDescent="0.3">
      <c r="A357" t="s">
        <v>56</v>
      </c>
      <c r="B357">
        <v>50</v>
      </c>
      <c r="C357" t="s">
        <v>80</v>
      </c>
      <c r="D357">
        <v>0.84819999999999995</v>
      </c>
      <c r="E357">
        <v>0.92889999999999995</v>
      </c>
      <c r="F357">
        <v>0.96889999999999998</v>
      </c>
      <c r="G357">
        <v>0.99809999999999999</v>
      </c>
      <c r="H357">
        <v>0.83240000000000003</v>
      </c>
      <c r="I357">
        <v>0.92520000000000002</v>
      </c>
      <c r="J357">
        <v>0.9647</v>
      </c>
      <c r="K357">
        <v>0.99439999999999995</v>
      </c>
      <c r="L357">
        <v>0.81489999999999996</v>
      </c>
      <c r="M357">
        <v>0.91300000000000003</v>
      </c>
      <c r="N357">
        <v>0.96</v>
      </c>
      <c r="O357">
        <v>0.99229999999999996</v>
      </c>
      <c r="P357">
        <v>0.81850000000000001</v>
      </c>
      <c r="Q357">
        <v>0.91149999999999998</v>
      </c>
      <c r="R357" s="5">
        <v>0.95830000000000004</v>
      </c>
      <c r="S357">
        <v>0.99180000000000001</v>
      </c>
      <c r="T357">
        <v>0.80220000000000002</v>
      </c>
      <c r="U357">
        <v>0.89839999999999998</v>
      </c>
      <c r="V357">
        <v>0.94920000000000004</v>
      </c>
      <c r="W357">
        <v>0.9869</v>
      </c>
      <c r="X357">
        <v>0.79002914865815699</v>
      </c>
      <c r="Y357">
        <v>0.90652326867021804</v>
      </c>
      <c r="Z357">
        <v>0.94481857473112896</v>
      </c>
      <c r="AA357">
        <v>0.99165745301035302</v>
      </c>
      <c r="AB357">
        <v>0.83861730415217794</v>
      </c>
      <c r="AC357">
        <v>0.90703620372264304</v>
      </c>
      <c r="AD357">
        <v>0.93853548782982199</v>
      </c>
      <c r="AE357">
        <v>0.99713642871752906</v>
      </c>
    </row>
    <row r="358" spans="1:31" x14ac:dyDescent="0.3">
      <c r="A358" t="s">
        <v>57</v>
      </c>
      <c r="B358">
        <v>20</v>
      </c>
      <c r="C358" t="s">
        <v>80</v>
      </c>
      <c r="D358">
        <v>0.76100000000000001</v>
      </c>
      <c r="E358">
        <v>0.90500000000000003</v>
      </c>
      <c r="F358">
        <v>0.96540000000000004</v>
      </c>
      <c r="G358">
        <v>0.99760000000000004</v>
      </c>
      <c r="H358">
        <v>0.92349999999999999</v>
      </c>
      <c r="I358">
        <v>0.97650000000000003</v>
      </c>
      <c r="J358">
        <v>0.99429999999999996</v>
      </c>
      <c r="K358">
        <v>0.99960000000000004</v>
      </c>
      <c r="L358">
        <v>0.90429999999999999</v>
      </c>
      <c r="M358">
        <v>0.96870000000000001</v>
      </c>
      <c r="N358">
        <v>0.9899</v>
      </c>
      <c r="O358">
        <v>0.99939999999999996</v>
      </c>
      <c r="P358">
        <v>0.84509999999999996</v>
      </c>
      <c r="Q358">
        <v>0.92849999999999999</v>
      </c>
      <c r="R358" s="5">
        <v>0.96960000000000002</v>
      </c>
      <c r="S358">
        <v>0.996</v>
      </c>
      <c r="T358">
        <v>0.82740000000000002</v>
      </c>
      <c r="U358">
        <v>0.92179999999999995</v>
      </c>
      <c r="V358">
        <v>0.96460000000000001</v>
      </c>
      <c r="W358">
        <v>0.995</v>
      </c>
      <c r="X358">
        <v>0.80148014801480105</v>
      </c>
      <c r="Y358">
        <v>0.88158815881588204</v>
      </c>
      <c r="Z358">
        <v>0.94229422942294205</v>
      </c>
      <c r="AA358">
        <v>0.99699969996999704</v>
      </c>
      <c r="AB358">
        <v>0.69658162750831898</v>
      </c>
      <c r="AC358">
        <v>0.95825350408389598</v>
      </c>
      <c r="AD358">
        <v>0.98376525158818195</v>
      </c>
      <c r="AE358">
        <v>0.99727740244025398</v>
      </c>
    </row>
    <row r="359" spans="1:31" x14ac:dyDescent="0.3">
      <c r="A359" t="s">
        <v>57</v>
      </c>
      <c r="B359">
        <v>30</v>
      </c>
      <c r="C359" t="s">
        <v>80</v>
      </c>
      <c r="D359">
        <v>0.82650000000000001</v>
      </c>
      <c r="E359">
        <v>0.93459999999999999</v>
      </c>
      <c r="F359">
        <v>0.97629999999999995</v>
      </c>
      <c r="G359">
        <v>0.99809999999999999</v>
      </c>
      <c r="H359">
        <v>0.92959999999999998</v>
      </c>
      <c r="I359">
        <v>0.98129999999999995</v>
      </c>
      <c r="J359">
        <v>0.99519999999999997</v>
      </c>
      <c r="K359">
        <v>0.99970000000000003</v>
      </c>
      <c r="L359">
        <v>0.87949999999999995</v>
      </c>
      <c r="M359">
        <v>0.95369999999999999</v>
      </c>
      <c r="N359">
        <v>0.98380000000000001</v>
      </c>
      <c r="O359">
        <v>0.99790000000000001</v>
      </c>
      <c r="P359">
        <v>0.83679999999999999</v>
      </c>
      <c r="Q359">
        <v>0.92659999999999998</v>
      </c>
      <c r="R359" s="5">
        <v>0.96640000000000004</v>
      </c>
      <c r="S359">
        <v>0.99480000000000002</v>
      </c>
      <c r="T359">
        <v>0.82489999999999997</v>
      </c>
      <c r="U359">
        <v>0.91839999999999999</v>
      </c>
      <c r="V359">
        <v>0.96089999999999998</v>
      </c>
      <c r="W359">
        <v>0.99309999999999998</v>
      </c>
      <c r="X359">
        <v>0.79517951795179498</v>
      </c>
      <c r="Y359">
        <v>0.91489148914891505</v>
      </c>
      <c r="Z359">
        <v>0.94769476947694797</v>
      </c>
      <c r="AA359">
        <v>0.99619961996199602</v>
      </c>
      <c r="AB359">
        <v>0.75</v>
      </c>
      <c r="AC359">
        <v>0.82717041800643099</v>
      </c>
      <c r="AD359">
        <v>0.98331993569131804</v>
      </c>
      <c r="AE359">
        <v>0.99698553054662398</v>
      </c>
    </row>
    <row r="360" spans="1:31" x14ac:dyDescent="0.3">
      <c r="A360" t="s">
        <v>57</v>
      </c>
      <c r="B360">
        <v>50</v>
      </c>
      <c r="C360" t="s">
        <v>80</v>
      </c>
      <c r="D360">
        <v>0.87509999999999999</v>
      </c>
      <c r="E360">
        <v>0.95609999999999995</v>
      </c>
      <c r="F360">
        <v>0.98499999999999999</v>
      </c>
      <c r="G360">
        <v>0.99909999999999999</v>
      </c>
      <c r="H360">
        <v>0.92290000000000005</v>
      </c>
      <c r="I360">
        <v>0.9778</v>
      </c>
      <c r="J360">
        <v>0.99360000000000004</v>
      </c>
      <c r="K360">
        <v>0.99970000000000003</v>
      </c>
      <c r="L360">
        <v>0.85719999999999996</v>
      </c>
      <c r="M360">
        <v>0.9365</v>
      </c>
      <c r="N360">
        <v>0.97650000000000003</v>
      </c>
      <c r="O360">
        <v>0.99680000000000002</v>
      </c>
      <c r="P360">
        <v>0.82630000000000003</v>
      </c>
      <c r="Q360">
        <v>0.91839999999999999</v>
      </c>
      <c r="R360" s="5">
        <v>0.9607</v>
      </c>
      <c r="S360">
        <v>0.99299999999999999</v>
      </c>
      <c r="T360">
        <v>0.81200000000000006</v>
      </c>
      <c r="U360">
        <v>0.90910000000000002</v>
      </c>
      <c r="V360">
        <v>0.95640000000000003</v>
      </c>
      <c r="W360">
        <v>0.99260000000000004</v>
      </c>
      <c r="X360">
        <v>0.79657965796579699</v>
      </c>
      <c r="Y360">
        <v>0.91279127912791302</v>
      </c>
      <c r="Z360">
        <v>0.947194719471947</v>
      </c>
      <c r="AA360">
        <v>0.99069906990699097</v>
      </c>
      <c r="AB360">
        <v>0.82999198075380898</v>
      </c>
      <c r="AC360">
        <v>0.89895749799518798</v>
      </c>
      <c r="AD360">
        <v>0.93263833199679202</v>
      </c>
      <c r="AE360">
        <v>0.99749398556535696</v>
      </c>
    </row>
    <row r="361" spans="1:31" x14ac:dyDescent="0.3">
      <c r="A361" t="s">
        <v>31</v>
      </c>
      <c r="B361">
        <v>20</v>
      </c>
      <c r="C361" t="s">
        <v>80</v>
      </c>
      <c r="D361">
        <v>0.80789999999999995</v>
      </c>
      <c r="E361">
        <v>0.96399999999999997</v>
      </c>
      <c r="F361">
        <v>0.98450000000000004</v>
      </c>
      <c r="G361">
        <v>0.99760000000000004</v>
      </c>
      <c r="H361">
        <v>0.83209999999999995</v>
      </c>
      <c r="I361">
        <v>0.92159999999999997</v>
      </c>
      <c r="J361">
        <v>0.97340000000000004</v>
      </c>
      <c r="K361">
        <v>0.99729999999999996</v>
      </c>
      <c r="L361">
        <v>0.83460000000000001</v>
      </c>
      <c r="M361">
        <v>0.92730000000000001</v>
      </c>
      <c r="N361">
        <v>0.96719999999999995</v>
      </c>
      <c r="O361">
        <v>0.99570000000000003</v>
      </c>
      <c r="P361">
        <v>0.8478</v>
      </c>
      <c r="Q361">
        <v>0.93500000000000005</v>
      </c>
      <c r="R361" s="5">
        <v>0.97070000000000001</v>
      </c>
      <c r="S361">
        <v>0.99560000000000004</v>
      </c>
      <c r="T361">
        <v>0.85189999999999999</v>
      </c>
      <c r="U361">
        <v>0.93640000000000001</v>
      </c>
      <c r="V361">
        <v>0.97150000000000003</v>
      </c>
      <c r="W361">
        <v>0.99550000000000005</v>
      </c>
      <c r="X361">
        <v>0.83330000000000004</v>
      </c>
      <c r="Y361">
        <v>0.91659999999999997</v>
      </c>
      <c r="Z361">
        <v>0.97030000000000005</v>
      </c>
      <c r="AA361">
        <v>0.99680000000000002</v>
      </c>
      <c r="AB361">
        <v>0.80969999999999998</v>
      </c>
      <c r="AC361">
        <v>0.96640000000000004</v>
      </c>
      <c r="AD361">
        <v>0.98570000000000002</v>
      </c>
      <c r="AE361">
        <v>0.99760000000000004</v>
      </c>
    </row>
    <row r="362" spans="1:31" x14ac:dyDescent="0.3">
      <c r="A362" t="s">
        <v>31</v>
      </c>
      <c r="B362">
        <v>30</v>
      </c>
      <c r="C362" t="s">
        <v>80</v>
      </c>
      <c r="D362">
        <v>0.7944</v>
      </c>
      <c r="E362">
        <v>0.90169999999999995</v>
      </c>
      <c r="F362">
        <v>0.98370000000000002</v>
      </c>
      <c r="G362">
        <v>0.99739999999999995</v>
      </c>
      <c r="H362">
        <v>0.82469999999999999</v>
      </c>
      <c r="I362">
        <v>0.92430000000000001</v>
      </c>
      <c r="J362">
        <v>0.95979999999999999</v>
      </c>
      <c r="K362">
        <v>0.997</v>
      </c>
      <c r="L362">
        <v>0.83379999999999999</v>
      </c>
      <c r="M362">
        <v>0.9234</v>
      </c>
      <c r="N362">
        <v>0.9657</v>
      </c>
      <c r="O362">
        <v>0.99470000000000003</v>
      </c>
      <c r="P362">
        <v>0.82679999999999998</v>
      </c>
      <c r="Q362">
        <v>0.91949999999999998</v>
      </c>
      <c r="R362" s="5">
        <v>0.96409999999999996</v>
      </c>
      <c r="S362">
        <v>0.99429999999999996</v>
      </c>
      <c r="T362">
        <v>0.83</v>
      </c>
      <c r="U362">
        <v>0.91769999999999996</v>
      </c>
      <c r="V362">
        <v>0.96289999999999998</v>
      </c>
      <c r="W362">
        <v>0.99490000000000001</v>
      </c>
      <c r="X362">
        <v>0.82130000000000003</v>
      </c>
      <c r="Y362">
        <v>0.92159999999999997</v>
      </c>
      <c r="Z362">
        <v>0.95989999999999998</v>
      </c>
      <c r="AA362">
        <v>0.99719999999999998</v>
      </c>
      <c r="AB362">
        <v>0.79210000000000003</v>
      </c>
      <c r="AC362">
        <v>0.89580000000000004</v>
      </c>
      <c r="AD362">
        <v>0.98209999999999997</v>
      </c>
      <c r="AE362">
        <v>0.996</v>
      </c>
    </row>
    <row r="363" spans="1:31" x14ac:dyDescent="0.3">
      <c r="A363" t="s">
        <v>31</v>
      </c>
      <c r="B363">
        <v>50</v>
      </c>
      <c r="C363" t="s">
        <v>80</v>
      </c>
      <c r="D363">
        <v>0.82899999999999996</v>
      </c>
      <c r="E363">
        <v>0.90459999999999996</v>
      </c>
      <c r="F363">
        <v>0.94579999999999997</v>
      </c>
      <c r="G363">
        <v>0.99780000000000002</v>
      </c>
      <c r="H363">
        <v>0.81230000000000002</v>
      </c>
      <c r="I363">
        <v>0.91669999999999996</v>
      </c>
      <c r="J363">
        <v>0.9587</v>
      </c>
      <c r="K363">
        <v>0.9919</v>
      </c>
      <c r="L363">
        <v>0.82240000000000002</v>
      </c>
      <c r="M363">
        <v>0.91339999999999999</v>
      </c>
      <c r="N363">
        <v>0.96079999999999999</v>
      </c>
      <c r="O363">
        <v>0.99360000000000004</v>
      </c>
      <c r="P363">
        <v>0.82089999999999996</v>
      </c>
      <c r="Q363">
        <v>0.91620000000000001</v>
      </c>
      <c r="R363" s="5">
        <v>0.96150000000000002</v>
      </c>
      <c r="S363">
        <v>0.99350000000000005</v>
      </c>
      <c r="T363">
        <v>0.82069999999999999</v>
      </c>
      <c r="U363">
        <v>0.91359999999999997</v>
      </c>
      <c r="V363">
        <v>0.95920000000000005</v>
      </c>
      <c r="W363">
        <v>0.99329999999999996</v>
      </c>
      <c r="X363">
        <v>0.80730000000000002</v>
      </c>
      <c r="Y363">
        <v>0.91359999999999997</v>
      </c>
      <c r="Z363">
        <v>0.95589999999999997</v>
      </c>
      <c r="AA363">
        <v>0.99280000000000002</v>
      </c>
      <c r="AB363">
        <v>0.8306</v>
      </c>
      <c r="AC363">
        <v>0.90449999999999997</v>
      </c>
      <c r="AD363">
        <v>0.94540000000000002</v>
      </c>
      <c r="AE363">
        <v>0.99719999999999998</v>
      </c>
    </row>
  </sheetData>
  <autoFilter ref="A3:AE3" xr:uid="{3204248D-8679-4F58-8BF9-9ACD38CE88B7}"/>
  <sortState xmlns:xlrd2="http://schemas.microsoft.com/office/spreadsheetml/2017/richdata2" ref="A4:AE363">
    <sortCondition ref="C4:C363"/>
    <sortCondition ref="A4:A363"/>
    <sortCondition ref="B4:B363"/>
  </sortState>
  <conditionalFormatting sqref="D4:D363">
    <cfRule type="colorScale" priority="28">
      <colorScale>
        <cfvo type="min"/>
        <cfvo type="num" val="0.8"/>
        <cfvo type="max"/>
        <color theme="7" tint="0.59999389629810485"/>
        <color rgb="FF92D050"/>
        <color rgb="FFFF0000"/>
      </colorScale>
    </cfRule>
  </conditionalFormatting>
  <conditionalFormatting sqref="E4:E363">
    <cfRule type="colorScale" priority="27">
      <colorScale>
        <cfvo type="min"/>
        <cfvo type="num" val="0.9"/>
        <cfvo type="max"/>
        <color theme="7" tint="0.59999389629810485"/>
        <color rgb="FF92D050"/>
        <color rgb="FFFF0000"/>
      </colorScale>
    </cfRule>
  </conditionalFormatting>
  <conditionalFormatting sqref="F4:F363">
    <cfRule type="colorScale" priority="26">
      <colorScale>
        <cfvo type="min"/>
        <cfvo type="num" val="0.95"/>
        <cfvo type="max"/>
        <color theme="7" tint="0.59999389629810485"/>
        <color rgb="FF92D050"/>
        <color rgb="FFFF0000"/>
      </colorScale>
    </cfRule>
  </conditionalFormatting>
  <conditionalFormatting sqref="G4:G363">
    <cfRule type="colorScale" priority="25">
      <colorScale>
        <cfvo type="min"/>
        <cfvo type="num" val="0.99"/>
        <cfvo type="max"/>
        <color theme="7" tint="0.59999389629810485"/>
        <color rgb="FF92D050"/>
        <color rgb="FFFF0000"/>
      </colorScale>
    </cfRule>
  </conditionalFormatting>
  <conditionalFormatting sqref="H4:H363">
    <cfRule type="colorScale" priority="24">
      <colorScale>
        <cfvo type="min"/>
        <cfvo type="num" val="0.8"/>
        <cfvo type="max"/>
        <color theme="7" tint="0.59999389629810485"/>
        <color rgb="FF92D050"/>
        <color rgb="FFFF0000"/>
      </colorScale>
    </cfRule>
  </conditionalFormatting>
  <conditionalFormatting sqref="I4:I363">
    <cfRule type="colorScale" priority="23">
      <colorScale>
        <cfvo type="min"/>
        <cfvo type="num" val="0.9"/>
        <cfvo type="max"/>
        <color theme="7" tint="0.59999389629810485"/>
        <color rgb="FF92D050"/>
        <color rgb="FFFF0000"/>
      </colorScale>
    </cfRule>
  </conditionalFormatting>
  <conditionalFormatting sqref="J4:J363">
    <cfRule type="colorScale" priority="22">
      <colorScale>
        <cfvo type="min"/>
        <cfvo type="num" val="0.95"/>
        <cfvo type="max"/>
        <color theme="7" tint="0.59999389629810485"/>
        <color rgb="FF92D050"/>
        <color rgb="FFFF0000"/>
      </colorScale>
    </cfRule>
  </conditionalFormatting>
  <conditionalFormatting sqref="K4:K363">
    <cfRule type="colorScale" priority="21">
      <colorScale>
        <cfvo type="min"/>
        <cfvo type="num" val="0.99"/>
        <cfvo type="max"/>
        <color theme="7" tint="0.59999389629810485"/>
        <color rgb="FF92D050"/>
        <color rgb="FFFF0000"/>
      </colorScale>
    </cfRule>
  </conditionalFormatting>
  <conditionalFormatting sqref="L4:L363">
    <cfRule type="colorScale" priority="20">
      <colorScale>
        <cfvo type="min"/>
        <cfvo type="num" val="0.8"/>
        <cfvo type="max"/>
        <color theme="7" tint="0.59999389629810485"/>
        <color rgb="FF92D050"/>
        <color rgb="FFFF0000"/>
      </colorScale>
    </cfRule>
  </conditionalFormatting>
  <conditionalFormatting sqref="M4:M363">
    <cfRule type="colorScale" priority="19">
      <colorScale>
        <cfvo type="min"/>
        <cfvo type="num" val="0.9"/>
        <cfvo type="max"/>
        <color theme="7" tint="0.59999389629810485"/>
        <color rgb="FF92D050"/>
        <color rgb="FFFF0000"/>
      </colorScale>
    </cfRule>
  </conditionalFormatting>
  <conditionalFormatting sqref="N4:N363">
    <cfRule type="colorScale" priority="18">
      <colorScale>
        <cfvo type="min"/>
        <cfvo type="num" val="0.95"/>
        <cfvo type="max"/>
        <color theme="7" tint="0.59999389629810485"/>
        <color rgb="FF92D050"/>
        <color rgb="FFFF0000"/>
      </colorScale>
    </cfRule>
  </conditionalFormatting>
  <conditionalFormatting sqref="O4:O363">
    <cfRule type="colorScale" priority="17">
      <colorScale>
        <cfvo type="min"/>
        <cfvo type="num" val="0.99"/>
        <cfvo type="max"/>
        <color theme="7" tint="0.59999389629810485"/>
        <color rgb="FF92D050"/>
        <color rgb="FFFF0000"/>
      </colorScale>
    </cfRule>
  </conditionalFormatting>
  <conditionalFormatting sqref="P4:P363">
    <cfRule type="colorScale" priority="16">
      <colorScale>
        <cfvo type="min"/>
        <cfvo type="num" val="0.8"/>
        <cfvo type="max"/>
        <color theme="7" tint="0.59999389629810485"/>
        <color rgb="FF92D050"/>
        <color rgb="FFFF0000"/>
      </colorScale>
    </cfRule>
  </conditionalFormatting>
  <conditionalFormatting sqref="Q4:Q363">
    <cfRule type="colorScale" priority="15">
      <colorScale>
        <cfvo type="min"/>
        <cfvo type="num" val="0.9"/>
        <cfvo type="max"/>
        <color theme="7" tint="0.59999389629810485"/>
        <color rgb="FF92D050"/>
        <color rgb="FFFF0000"/>
      </colorScale>
    </cfRule>
  </conditionalFormatting>
  <conditionalFormatting sqref="R4:R363">
    <cfRule type="colorScale" priority="14">
      <colorScale>
        <cfvo type="min"/>
        <cfvo type="num" val="0.95"/>
        <cfvo type="max"/>
        <color theme="7" tint="0.59999389629810485"/>
        <color rgb="FF92D050"/>
        <color rgb="FFFF0000"/>
      </colorScale>
    </cfRule>
  </conditionalFormatting>
  <conditionalFormatting sqref="S4:S363">
    <cfRule type="colorScale" priority="13">
      <colorScale>
        <cfvo type="min"/>
        <cfvo type="num" val="0.99"/>
        <cfvo type="max"/>
        <color theme="7" tint="0.59999389629810485"/>
        <color rgb="FF92D050"/>
        <color rgb="FFFF0000"/>
      </colorScale>
    </cfRule>
  </conditionalFormatting>
  <conditionalFormatting sqref="T4:T363">
    <cfRule type="colorScale" priority="12">
      <colorScale>
        <cfvo type="min"/>
        <cfvo type="num" val="0.8"/>
        <cfvo type="max"/>
        <color theme="7" tint="0.59999389629810485"/>
        <color rgb="FF92D050"/>
        <color rgb="FFFF0000"/>
      </colorScale>
    </cfRule>
  </conditionalFormatting>
  <conditionalFormatting sqref="U4:U363">
    <cfRule type="colorScale" priority="11">
      <colorScale>
        <cfvo type="min"/>
        <cfvo type="num" val="0.9"/>
        <cfvo type="max"/>
        <color theme="7" tint="0.59999389629810485"/>
        <color rgb="FF92D050"/>
        <color rgb="FFFF0000"/>
      </colorScale>
    </cfRule>
  </conditionalFormatting>
  <conditionalFormatting sqref="V4:V363">
    <cfRule type="colorScale" priority="10">
      <colorScale>
        <cfvo type="min"/>
        <cfvo type="num" val="0.95"/>
        <cfvo type="max"/>
        <color theme="7" tint="0.59999389629810485"/>
        <color rgb="FF92D050"/>
        <color rgb="FFFF0000"/>
      </colorScale>
    </cfRule>
  </conditionalFormatting>
  <conditionalFormatting sqref="W4:W363">
    <cfRule type="colorScale" priority="9">
      <colorScale>
        <cfvo type="min"/>
        <cfvo type="num" val="0.99"/>
        <cfvo type="max"/>
        <color theme="7" tint="0.59999389629810485"/>
        <color rgb="FF92D050"/>
        <color rgb="FFFF0000"/>
      </colorScale>
    </cfRule>
  </conditionalFormatting>
  <conditionalFormatting sqref="X4:X363">
    <cfRule type="colorScale" priority="8">
      <colorScale>
        <cfvo type="min"/>
        <cfvo type="num" val="0.8"/>
        <cfvo type="max"/>
        <color theme="7" tint="0.59999389629810485"/>
        <color rgb="FF92D050"/>
        <color rgb="FFFF0000"/>
      </colorScale>
    </cfRule>
  </conditionalFormatting>
  <conditionalFormatting sqref="Y4:Y363">
    <cfRule type="colorScale" priority="7">
      <colorScale>
        <cfvo type="min"/>
        <cfvo type="num" val="0.9"/>
        <cfvo type="max"/>
        <color theme="7" tint="0.59999389629810485"/>
        <color rgb="FF92D050"/>
        <color rgb="FFFF0000"/>
      </colorScale>
    </cfRule>
  </conditionalFormatting>
  <conditionalFormatting sqref="Z4:Z363">
    <cfRule type="colorScale" priority="6">
      <colorScale>
        <cfvo type="min"/>
        <cfvo type="num" val="0.95"/>
        <cfvo type="max"/>
        <color theme="7" tint="0.59999389629810485"/>
        <color rgb="FF92D050"/>
        <color rgb="FFFF0000"/>
      </colorScale>
    </cfRule>
  </conditionalFormatting>
  <conditionalFormatting sqref="AA4:AA363">
    <cfRule type="colorScale" priority="5">
      <colorScale>
        <cfvo type="min"/>
        <cfvo type="num" val="0.99"/>
        <cfvo type="max"/>
        <color theme="7" tint="0.59999389629810485"/>
        <color rgb="FF92D050"/>
        <color rgb="FFFF0000"/>
      </colorScale>
    </cfRule>
  </conditionalFormatting>
  <conditionalFormatting sqref="AB4:AB363">
    <cfRule type="colorScale" priority="4">
      <colorScale>
        <cfvo type="min"/>
        <cfvo type="num" val="0.8"/>
        <cfvo type="max"/>
        <color theme="7" tint="0.59999389629810485"/>
        <color rgb="FF92D050"/>
        <color rgb="FFFF0000"/>
      </colorScale>
    </cfRule>
  </conditionalFormatting>
  <conditionalFormatting sqref="AC4:AC363">
    <cfRule type="colorScale" priority="3">
      <colorScale>
        <cfvo type="min"/>
        <cfvo type="num" val="0.9"/>
        <cfvo type="max"/>
        <color theme="7" tint="0.59999389629810485"/>
        <color rgb="FF92D050"/>
        <color rgb="FFFF0000"/>
      </colorScale>
    </cfRule>
  </conditionalFormatting>
  <conditionalFormatting sqref="AD4:AD363">
    <cfRule type="colorScale" priority="2">
      <colorScale>
        <cfvo type="min"/>
        <cfvo type="num" val="0.95"/>
        <cfvo type="max"/>
        <color theme="7" tint="0.59999389629810485"/>
        <color rgb="FF92D050"/>
        <color rgb="FFFF0000"/>
      </colorScale>
    </cfRule>
  </conditionalFormatting>
  <conditionalFormatting sqref="AE4:AE363">
    <cfRule type="colorScale" priority="1">
      <colorScale>
        <cfvo type="min"/>
        <cfvo type="num" val="0.99"/>
        <cfvo type="max"/>
        <color theme="7" tint="0.59999389629810485"/>
        <color rgb="FF92D050"/>
        <color rgb="FFFF00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5B2A-F046-4F62-ADCC-E24A872FD22E}">
  <dimension ref="A1:AE183"/>
  <sheetViews>
    <sheetView topLeftCell="A52" zoomScale="70" zoomScaleNormal="70" workbookViewId="0">
      <selection activeCell="C1" sqref="C1"/>
    </sheetView>
  </sheetViews>
  <sheetFormatPr defaultRowHeight="14.4" x14ac:dyDescent="0.3"/>
  <cols>
    <col min="3" max="3" width="24" bestFit="1" customWidth="1"/>
  </cols>
  <sheetData>
    <row r="1" spans="1:31" x14ac:dyDescent="0.3">
      <c r="C1" t="s">
        <v>60</v>
      </c>
      <c r="D1" t="str">
        <f>LEFT(D3,FIND("_",D3)-1)</f>
        <v>0.05</v>
      </c>
      <c r="E1" t="str">
        <f t="shared" ref="E1:AE1" si="0">LEFT(E3,FIND("_",E3)-1)</f>
        <v>0.05</v>
      </c>
      <c r="F1" t="str">
        <f t="shared" si="0"/>
        <v>0.05</v>
      </c>
      <c r="G1" t="str">
        <f t="shared" si="0"/>
        <v>0.05</v>
      </c>
      <c r="H1" t="str">
        <f t="shared" si="0"/>
        <v>0.1</v>
      </c>
      <c r="I1" t="str">
        <f t="shared" si="0"/>
        <v>0.1</v>
      </c>
      <c r="J1" t="str">
        <f t="shared" si="0"/>
        <v>0.1</v>
      </c>
      <c r="K1" t="str">
        <f t="shared" si="0"/>
        <v>0.1</v>
      </c>
      <c r="L1" t="str">
        <f t="shared" si="0"/>
        <v>0.25</v>
      </c>
      <c r="M1" t="str">
        <f t="shared" si="0"/>
        <v>0.25</v>
      </c>
      <c r="N1" t="str">
        <f t="shared" si="0"/>
        <v>0.25</v>
      </c>
      <c r="O1" t="str">
        <f t="shared" si="0"/>
        <v>0.25</v>
      </c>
      <c r="P1" t="str">
        <f t="shared" si="0"/>
        <v>0.5</v>
      </c>
      <c r="Q1" t="str">
        <f t="shared" si="0"/>
        <v>0.5</v>
      </c>
      <c r="R1" t="str">
        <f t="shared" si="0"/>
        <v>0.5</v>
      </c>
      <c r="S1" t="str">
        <f t="shared" si="0"/>
        <v>0.5</v>
      </c>
      <c r="T1" t="str">
        <f t="shared" si="0"/>
        <v>0.75</v>
      </c>
      <c r="U1" t="str">
        <f t="shared" si="0"/>
        <v>0.75</v>
      </c>
      <c r="V1" t="str">
        <f t="shared" si="0"/>
        <v>0.75</v>
      </c>
      <c r="W1" t="str">
        <f t="shared" si="0"/>
        <v>0.75</v>
      </c>
      <c r="X1" t="str">
        <f t="shared" si="0"/>
        <v>0.9</v>
      </c>
      <c r="Y1" t="str">
        <f t="shared" si="0"/>
        <v>0.9</v>
      </c>
      <c r="Z1" t="str">
        <f t="shared" si="0"/>
        <v>0.9</v>
      </c>
      <c r="AA1" t="str">
        <f t="shared" si="0"/>
        <v>0.9</v>
      </c>
      <c r="AB1" t="str">
        <f t="shared" si="0"/>
        <v>0.95</v>
      </c>
      <c r="AC1" t="str">
        <f t="shared" si="0"/>
        <v>0.95</v>
      </c>
      <c r="AD1" t="str">
        <f t="shared" si="0"/>
        <v>0.95</v>
      </c>
      <c r="AE1" t="str">
        <f t="shared" si="0"/>
        <v>0.95</v>
      </c>
    </row>
    <row r="2" spans="1:31" x14ac:dyDescent="0.3">
      <c r="C2" t="s">
        <v>61</v>
      </c>
      <c r="D2" t="str">
        <f>RIGHT(D3,LEN(D3)-FIND("_",D3))</f>
        <v>0.8</v>
      </c>
      <c r="E2" t="str">
        <f t="shared" ref="E2:AE2" si="1">RIGHT(E3,LEN(E3)-FIND("_",E3))</f>
        <v>0.9</v>
      </c>
      <c r="F2" t="str">
        <f t="shared" si="1"/>
        <v>0.95</v>
      </c>
      <c r="G2" t="str">
        <f t="shared" si="1"/>
        <v>0.99</v>
      </c>
      <c r="H2" t="str">
        <f t="shared" si="1"/>
        <v>0.8</v>
      </c>
      <c r="I2" t="str">
        <f t="shared" si="1"/>
        <v>0.9</v>
      </c>
      <c r="J2" t="str">
        <f t="shared" si="1"/>
        <v>0.95</v>
      </c>
      <c r="K2" t="str">
        <f t="shared" si="1"/>
        <v>0.99</v>
      </c>
      <c r="L2" t="str">
        <f t="shared" si="1"/>
        <v>0.8</v>
      </c>
      <c r="M2" t="str">
        <f t="shared" si="1"/>
        <v>0.9</v>
      </c>
      <c r="N2" t="str">
        <f t="shared" si="1"/>
        <v>0.95</v>
      </c>
      <c r="O2" t="str">
        <f t="shared" si="1"/>
        <v>0.99</v>
      </c>
      <c r="P2" t="str">
        <f t="shared" si="1"/>
        <v>0.8</v>
      </c>
      <c r="Q2" t="str">
        <f t="shared" si="1"/>
        <v>0.9</v>
      </c>
      <c r="R2" t="str">
        <f t="shared" si="1"/>
        <v>0.95</v>
      </c>
      <c r="S2" t="str">
        <f t="shared" si="1"/>
        <v>0.99</v>
      </c>
      <c r="T2" t="str">
        <f t="shared" si="1"/>
        <v>0.8</v>
      </c>
      <c r="U2" t="str">
        <f t="shared" si="1"/>
        <v>0.9</v>
      </c>
      <c r="V2" t="str">
        <f t="shared" si="1"/>
        <v>0.95</v>
      </c>
      <c r="W2" t="str">
        <f t="shared" si="1"/>
        <v>0.99</v>
      </c>
      <c r="X2" t="str">
        <f t="shared" si="1"/>
        <v>0.8</v>
      </c>
      <c r="Y2" t="str">
        <f t="shared" si="1"/>
        <v>0.9</v>
      </c>
      <c r="Z2" t="str">
        <f t="shared" si="1"/>
        <v>0.95</v>
      </c>
      <c r="AA2" t="str">
        <f t="shared" si="1"/>
        <v>0.99</v>
      </c>
      <c r="AB2" t="str">
        <f t="shared" si="1"/>
        <v>0.8</v>
      </c>
      <c r="AC2" t="str">
        <f t="shared" si="1"/>
        <v>0.9</v>
      </c>
      <c r="AD2" t="str">
        <f t="shared" si="1"/>
        <v>0.95</v>
      </c>
      <c r="AE2" t="str">
        <f t="shared" si="1"/>
        <v>0.99</v>
      </c>
    </row>
    <row r="3" spans="1:31" x14ac:dyDescent="0.3">
      <c r="A3" t="s">
        <v>0</v>
      </c>
      <c r="B3" t="s">
        <v>1</v>
      </c>
      <c r="C3" t="s">
        <v>62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</row>
    <row r="4" spans="1:31" x14ac:dyDescent="0.3">
      <c r="A4" t="s">
        <v>56</v>
      </c>
      <c r="B4">
        <v>20</v>
      </c>
      <c r="C4" t="s">
        <v>34</v>
      </c>
      <c r="D4">
        <v>0.88460332392599605</v>
      </c>
      <c r="E4">
        <v>0.95845092505487595</v>
      </c>
      <c r="F4">
        <v>0.97554092191909703</v>
      </c>
      <c r="G4">
        <v>0.99608027594857296</v>
      </c>
      <c r="H4">
        <v>0.91113906678865497</v>
      </c>
      <c r="I4">
        <v>0.95345379688929599</v>
      </c>
      <c r="J4">
        <v>0.97930009149130803</v>
      </c>
      <c r="K4">
        <v>0.996111619396157</v>
      </c>
      <c r="L4">
        <v>0.80613779961889498</v>
      </c>
      <c r="M4">
        <v>0.91274696620198603</v>
      </c>
      <c r="N4">
        <v>0.95587202888376299</v>
      </c>
      <c r="O4">
        <v>0.99388225854979395</v>
      </c>
      <c r="P4">
        <v>0.80979999999999996</v>
      </c>
      <c r="Q4">
        <v>0.90159999999999996</v>
      </c>
      <c r="R4">
        <v>0.9506</v>
      </c>
      <c r="S4">
        <v>0.99050000000000005</v>
      </c>
      <c r="T4">
        <v>0.80536036940373401</v>
      </c>
      <c r="U4">
        <v>0.91035936558923902</v>
      </c>
      <c r="V4">
        <v>0.95442682192330897</v>
      </c>
      <c r="W4">
        <v>0.99427825737803699</v>
      </c>
      <c r="X4">
        <v>0.90441009320300103</v>
      </c>
      <c r="Y4">
        <v>0.95396681063878197</v>
      </c>
      <c r="Z4">
        <v>0.98045010229597596</v>
      </c>
      <c r="AA4">
        <v>0.99533984996590097</v>
      </c>
      <c r="AB4">
        <v>0.87488314116547194</v>
      </c>
      <c r="AC4">
        <v>0.94079152383920195</v>
      </c>
      <c r="AD4">
        <v>0.97023995014023101</v>
      </c>
      <c r="AE4">
        <v>0.99470239950140205</v>
      </c>
    </row>
    <row r="5" spans="1:31" x14ac:dyDescent="0.3">
      <c r="A5" t="s">
        <v>56</v>
      </c>
      <c r="B5">
        <v>30</v>
      </c>
      <c r="C5" t="s">
        <v>34</v>
      </c>
      <c r="D5">
        <v>0.90670739467990302</v>
      </c>
      <c r="E5">
        <v>0.95799923634975204</v>
      </c>
      <c r="F5">
        <v>0.97798141784396098</v>
      </c>
      <c r="G5">
        <v>0.99529082346951803</v>
      </c>
      <c r="H5">
        <v>0.84756416972236803</v>
      </c>
      <c r="I5">
        <v>0.94824515453116798</v>
      </c>
      <c r="J5">
        <v>0.97988475641697204</v>
      </c>
      <c r="K5">
        <v>0.99654269250916705</v>
      </c>
      <c r="L5">
        <v>0.80744223266980097</v>
      </c>
      <c r="M5">
        <v>0.905771731519456</v>
      </c>
      <c r="N5">
        <v>0.95578673602080599</v>
      </c>
      <c r="O5">
        <v>0.99319795938781597</v>
      </c>
      <c r="P5">
        <v>0.7984</v>
      </c>
      <c r="Q5">
        <v>0.89700000000000002</v>
      </c>
      <c r="R5">
        <v>0.94989999999999997</v>
      </c>
      <c r="S5">
        <v>0.99229999999999996</v>
      </c>
      <c r="T5">
        <v>0.79861944777911198</v>
      </c>
      <c r="U5">
        <v>0.90386154461784696</v>
      </c>
      <c r="V5">
        <v>0.95388155262104801</v>
      </c>
      <c r="W5">
        <v>0.99239695878351297</v>
      </c>
      <c r="X5">
        <v>0.87392939210361398</v>
      </c>
      <c r="Y5">
        <v>0.95226655525381199</v>
      </c>
      <c r="Z5">
        <v>0.97931898892834801</v>
      </c>
      <c r="AA5">
        <v>0.99582201796532299</v>
      </c>
      <c r="AB5">
        <v>0.903114628542252</v>
      </c>
      <c r="AC5">
        <v>0.95557824865968899</v>
      </c>
      <c r="AD5">
        <v>0.97932090885882095</v>
      </c>
      <c r="AE5">
        <v>0.99706407965279598</v>
      </c>
    </row>
    <row r="6" spans="1:31" x14ac:dyDescent="0.3">
      <c r="A6" t="s">
        <v>56</v>
      </c>
      <c r="B6">
        <v>50</v>
      </c>
      <c r="C6" t="s">
        <v>34</v>
      </c>
      <c r="D6">
        <v>0.88083631242552296</v>
      </c>
      <c r="E6">
        <v>0.955042790596902</v>
      </c>
      <c r="F6">
        <v>0.97985050373740701</v>
      </c>
      <c r="G6">
        <v>0.99620842812263</v>
      </c>
      <c r="H6">
        <v>0.80815998392121402</v>
      </c>
      <c r="I6">
        <v>0.91588785046729004</v>
      </c>
      <c r="J6">
        <v>0.95678826248618198</v>
      </c>
      <c r="K6">
        <v>0.99577931866144098</v>
      </c>
      <c r="L6">
        <v>0.80149999999999999</v>
      </c>
      <c r="M6">
        <v>0.90380000000000005</v>
      </c>
      <c r="N6">
        <v>0.95550000000000002</v>
      </c>
      <c r="O6">
        <v>0.99109999999999998</v>
      </c>
      <c r="P6">
        <v>0.81040000000000001</v>
      </c>
      <c r="Q6">
        <v>0.90900000000000003</v>
      </c>
      <c r="R6">
        <v>0.95520000000000005</v>
      </c>
      <c r="S6">
        <v>0.99060000000000004</v>
      </c>
      <c r="T6">
        <v>0.79710000000000003</v>
      </c>
      <c r="U6">
        <v>0.89749999999999996</v>
      </c>
      <c r="V6">
        <v>0.94799999999999995</v>
      </c>
      <c r="W6">
        <v>0.9879</v>
      </c>
      <c r="X6">
        <v>0.801104972375691</v>
      </c>
      <c r="Y6">
        <v>0.91210447011551998</v>
      </c>
      <c r="Z6">
        <v>0.95740833751883503</v>
      </c>
      <c r="AA6">
        <v>0.99537920642892996</v>
      </c>
      <c r="AB6">
        <v>0.88611983963593</v>
      </c>
      <c r="AC6">
        <v>0.95752519232852995</v>
      </c>
      <c r="AD6">
        <v>0.98082132408711697</v>
      </c>
      <c r="AE6">
        <v>0.99664102286271505</v>
      </c>
    </row>
    <row r="7" spans="1:31" x14ac:dyDescent="0.3">
      <c r="A7" t="s">
        <v>57</v>
      </c>
      <c r="B7">
        <v>20</v>
      </c>
      <c r="C7" t="s">
        <v>34</v>
      </c>
      <c r="D7">
        <v>0.87852359445569195</v>
      </c>
      <c r="E7">
        <v>0.95966360380003102</v>
      </c>
      <c r="F7">
        <v>0.97523750194673697</v>
      </c>
      <c r="G7">
        <v>0.99501635259305399</v>
      </c>
      <c r="H7">
        <v>0.909142661960606</v>
      </c>
      <c r="I7">
        <v>0.95286348628031403</v>
      </c>
      <c r="J7">
        <v>0.98053057042013003</v>
      </c>
      <c r="K7">
        <v>0.99647045428669001</v>
      </c>
      <c r="L7">
        <v>0.80377207062600298</v>
      </c>
      <c r="M7">
        <v>0.90449438202247201</v>
      </c>
      <c r="N7">
        <v>0.95455457463884397</v>
      </c>
      <c r="O7">
        <v>0.99438202247190999</v>
      </c>
      <c r="P7">
        <v>0.79920000000000002</v>
      </c>
      <c r="Q7">
        <v>0.89490000000000003</v>
      </c>
      <c r="R7">
        <v>0.94710000000000005</v>
      </c>
      <c r="S7">
        <v>0.98809999999999998</v>
      </c>
      <c r="T7">
        <v>0.80056151609345205</v>
      </c>
      <c r="U7">
        <v>0.91266419332196902</v>
      </c>
      <c r="V7">
        <v>0.95377519302115699</v>
      </c>
      <c r="W7">
        <v>0.99488619272034495</v>
      </c>
      <c r="X7">
        <v>0.902611472231725</v>
      </c>
      <c r="Y7">
        <v>0.955183031132398</v>
      </c>
      <c r="Z7">
        <v>0.978560839320333</v>
      </c>
      <c r="AA7">
        <v>0.99600866689474299</v>
      </c>
      <c r="AB7">
        <v>0.87949390526153404</v>
      </c>
      <c r="AC7">
        <v>0.94429871933343601</v>
      </c>
      <c r="AD7">
        <v>0.97099213084400604</v>
      </c>
      <c r="AE7">
        <v>0.99413670729825598</v>
      </c>
    </row>
    <row r="8" spans="1:31" x14ac:dyDescent="0.3">
      <c r="A8" t="s">
        <v>57</v>
      </c>
      <c r="B8">
        <v>30</v>
      </c>
      <c r="C8" t="s">
        <v>34</v>
      </c>
      <c r="D8">
        <v>0.90843621399176999</v>
      </c>
      <c r="E8">
        <v>0.95884773662551404</v>
      </c>
      <c r="F8">
        <v>0.97839506172839497</v>
      </c>
      <c r="G8">
        <v>0.99562757201646102</v>
      </c>
      <c r="H8">
        <v>0.84178203393358997</v>
      </c>
      <c r="I8">
        <v>0.94535234724679895</v>
      </c>
      <c r="J8">
        <v>0.980951389611741</v>
      </c>
      <c r="K8">
        <v>0.99573227854689295</v>
      </c>
      <c r="L8">
        <v>0.80046009201840396</v>
      </c>
      <c r="M8">
        <v>0.89697939587917597</v>
      </c>
      <c r="N8">
        <v>0.94998999799960004</v>
      </c>
      <c r="O8">
        <v>0.99179835967193397</v>
      </c>
      <c r="P8">
        <v>0.79169999999999996</v>
      </c>
      <c r="Q8">
        <v>0.90080000000000005</v>
      </c>
      <c r="R8">
        <v>0.95199999999999996</v>
      </c>
      <c r="S8">
        <v>0.99170000000000003</v>
      </c>
      <c r="T8">
        <v>0.803780378037804</v>
      </c>
      <c r="U8">
        <v>0.90689068906890702</v>
      </c>
      <c r="V8">
        <v>0.95469546954695494</v>
      </c>
      <c r="W8">
        <v>0.99139913991399098</v>
      </c>
      <c r="X8">
        <v>0.86421558387298902</v>
      </c>
      <c r="Y8">
        <v>0.94662627950699796</v>
      </c>
      <c r="Z8">
        <v>0.97660330060580702</v>
      </c>
      <c r="AA8">
        <v>0.99571756841445602</v>
      </c>
      <c r="AB8">
        <v>0.89736707566462204</v>
      </c>
      <c r="AC8">
        <v>0.95283742331288301</v>
      </c>
      <c r="AD8">
        <v>0.97699386503067498</v>
      </c>
      <c r="AE8">
        <v>0.99565439672801603</v>
      </c>
    </row>
    <row r="9" spans="1:31" x14ac:dyDescent="0.3">
      <c r="A9" t="s">
        <v>57</v>
      </c>
      <c r="B9">
        <v>50</v>
      </c>
      <c r="C9" t="s">
        <v>34</v>
      </c>
      <c r="D9">
        <v>0.87701809513490103</v>
      </c>
      <c r="E9">
        <v>0.954166215191245</v>
      </c>
      <c r="F9">
        <v>0.98060461588471104</v>
      </c>
      <c r="G9">
        <v>0.99555748185068804</v>
      </c>
      <c r="H9">
        <v>0.80503965465314697</v>
      </c>
      <c r="I9">
        <v>0.91245858849513095</v>
      </c>
      <c r="J9">
        <v>0.95542616203192499</v>
      </c>
      <c r="K9">
        <v>0.99548238128701905</v>
      </c>
      <c r="L9">
        <v>0.80079999999999996</v>
      </c>
      <c r="M9">
        <v>0.9022</v>
      </c>
      <c r="N9">
        <v>0.95199999999999996</v>
      </c>
      <c r="O9">
        <v>0.99080000000000001</v>
      </c>
      <c r="P9">
        <v>0.79930000000000001</v>
      </c>
      <c r="Q9">
        <v>0.90259999999999996</v>
      </c>
      <c r="R9">
        <v>0.95250000000000001</v>
      </c>
      <c r="S9">
        <v>0.9899</v>
      </c>
      <c r="T9">
        <v>0.79979999999999996</v>
      </c>
      <c r="U9">
        <v>0.90129999999999999</v>
      </c>
      <c r="V9">
        <v>0.9516</v>
      </c>
      <c r="W9">
        <v>0.99070000000000003</v>
      </c>
      <c r="X9">
        <v>0.79778560644187202</v>
      </c>
      <c r="Y9">
        <v>0.91474584801207803</v>
      </c>
      <c r="Z9">
        <v>0.95681932561650695</v>
      </c>
      <c r="AA9">
        <v>0.99547055863110201</v>
      </c>
      <c r="AB9">
        <v>0.88740148979812195</v>
      </c>
      <c r="AC9">
        <v>0.96005613732052297</v>
      </c>
      <c r="AD9">
        <v>0.98229515275828605</v>
      </c>
      <c r="AE9">
        <v>0.99719313397387499</v>
      </c>
    </row>
    <row r="10" spans="1:31" x14ac:dyDescent="0.3">
      <c r="A10" t="s">
        <v>31</v>
      </c>
      <c r="B10">
        <v>20</v>
      </c>
      <c r="C10" t="s">
        <v>34</v>
      </c>
      <c r="D10">
        <v>0.87343918606443705</v>
      </c>
      <c r="E10">
        <v>0.94465854786496095</v>
      </c>
      <c r="F10">
        <v>0.97132726992446405</v>
      </c>
      <c r="G10">
        <v>0.99445043934021904</v>
      </c>
      <c r="H10">
        <v>0.90348982607707196</v>
      </c>
      <c r="I10">
        <v>0.95430260316016802</v>
      </c>
      <c r="J10">
        <v>0.98192565647379804</v>
      </c>
      <c r="K10">
        <v>0.99624872115493901</v>
      </c>
      <c r="L10">
        <v>0.79825441412520104</v>
      </c>
      <c r="M10">
        <v>0.90920947030497601</v>
      </c>
      <c r="N10">
        <v>0.95365168539325795</v>
      </c>
      <c r="O10">
        <v>0.99508426966292096</v>
      </c>
      <c r="P10">
        <v>0.81469999999999998</v>
      </c>
      <c r="Q10">
        <v>0.90749999999999997</v>
      </c>
      <c r="R10">
        <v>0.95579999999999998</v>
      </c>
      <c r="S10">
        <v>0.99170000000000003</v>
      </c>
      <c r="T10">
        <v>0.81581059390048205</v>
      </c>
      <c r="U10">
        <v>0.92064606741572996</v>
      </c>
      <c r="V10">
        <v>0.95987158908507197</v>
      </c>
      <c r="W10">
        <v>0.99367977528089901</v>
      </c>
      <c r="X10">
        <v>0.90427350427350395</v>
      </c>
      <c r="Y10">
        <v>0.95327635327635296</v>
      </c>
      <c r="Z10">
        <v>0.97925925925925905</v>
      </c>
      <c r="AA10">
        <v>0.99555555555555597</v>
      </c>
      <c r="AB10">
        <v>0.87968627450980397</v>
      </c>
      <c r="AC10">
        <v>0.94776470588235295</v>
      </c>
      <c r="AD10">
        <v>0.97349019607843101</v>
      </c>
      <c r="AE10">
        <v>0.995294117647059</v>
      </c>
    </row>
    <row r="11" spans="1:31" x14ac:dyDescent="0.3">
      <c r="A11" t="s">
        <v>31</v>
      </c>
      <c r="B11">
        <v>30</v>
      </c>
      <c r="C11" t="s">
        <v>34</v>
      </c>
      <c r="D11">
        <v>0.89609404626469502</v>
      </c>
      <c r="E11">
        <v>0.95272405511313396</v>
      </c>
      <c r="F11">
        <v>0.97686765263557096</v>
      </c>
      <c r="G11">
        <v>0.99582859309821803</v>
      </c>
      <c r="H11">
        <v>0.86326573280368002</v>
      </c>
      <c r="I11">
        <v>0.95024043487350995</v>
      </c>
      <c r="J11">
        <v>0.98013798871001501</v>
      </c>
      <c r="K11">
        <v>0.996027597742003</v>
      </c>
      <c r="L11">
        <v>0.802480248024802</v>
      </c>
      <c r="M11">
        <v>0.90709070907090705</v>
      </c>
      <c r="N11">
        <v>0.95289528952895297</v>
      </c>
      <c r="O11">
        <v>0.99249924992499206</v>
      </c>
      <c r="P11">
        <v>0.79610000000000003</v>
      </c>
      <c r="Q11">
        <v>0.89829999999999999</v>
      </c>
      <c r="R11">
        <v>0.94940000000000002</v>
      </c>
      <c r="S11">
        <v>0.99160000000000004</v>
      </c>
      <c r="T11">
        <v>0.80188018801880201</v>
      </c>
      <c r="U11">
        <v>0.90229022902290201</v>
      </c>
      <c r="V11">
        <v>0.95049504950495001</v>
      </c>
      <c r="W11">
        <v>0.99239923992399204</v>
      </c>
      <c r="X11">
        <v>0.86210493376447295</v>
      </c>
      <c r="Y11">
        <v>0.94607280692604601</v>
      </c>
      <c r="Z11">
        <v>0.97840826118702395</v>
      </c>
      <c r="AA11">
        <v>0.99666214665693098</v>
      </c>
      <c r="AB11">
        <v>0.89915966386554602</v>
      </c>
      <c r="AC11">
        <v>0.949452508276038</v>
      </c>
      <c r="AD11">
        <v>0.975044563279857</v>
      </c>
      <c r="AE11">
        <v>0.99376114081996403</v>
      </c>
    </row>
    <row r="12" spans="1:31" x14ac:dyDescent="0.3">
      <c r="A12" t="s">
        <v>31</v>
      </c>
      <c r="B12">
        <v>50</v>
      </c>
      <c r="C12" t="s">
        <v>34</v>
      </c>
      <c r="D12">
        <v>0.88291891891891905</v>
      </c>
      <c r="E12">
        <v>0.95416216216216199</v>
      </c>
      <c r="F12">
        <v>0.98162162162162203</v>
      </c>
      <c r="G12">
        <v>0.99675675675675701</v>
      </c>
      <c r="H12">
        <v>0.79776749798873703</v>
      </c>
      <c r="I12">
        <v>0.91281174577634805</v>
      </c>
      <c r="J12">
        <v>0.959875301689461</v>
      </c>
      <c r="K12">
        <v>0.99607803700724096</v>
      </c>
      <c r="L12">
        <v>0.80310000000000004</v>
      </c>
      <c r="M12">
        <v>0.9022</v>
      </c>
      <c r="N12">
        <v>0.95409999999999995</v>
      </c>
      <c r="O12">
        <v>0.99180000000000001</v>
      </c>
      <c r="P12">
        <v>0.79910000000000003</v>
      </c>
      <c r="Q12">
        <v>0.90239999999999998</v>
      </c>
      <c r="R12">
        <v>0.95469999999999999</v>
      </c>
      <c r="S12">
        <v>0.9919</v>
      </c>
      <c r="T12">
        <v>0.80200000000000005</v>
      </c>
      <c r="U12">
        <v>0.9002</v>
      </c>
      <c r="V12">
        <v>0.95089999999999997</v>
      </c>
      <c r="W12">
        <v>0.99219999999999997</v>
      </c>
      <c r="X12">
        <v>0.79376571141276997</v>
      </c>
      <c r="Y12">
        <v>0.90879839115133199</v>
      </c>
      <c r="Z12">
        <v>0.955656108597285</v>
      </c>
      <c r="AA12">
        <v>0.99587732528909001</v>
      </c>
      <c r="AB12">
        <v>0.88594307975327302</v>
      </c>
      <c r="AC12">
        <v>0.95833784222486695</v>
      </c>
      <c r="AD12">
        <v>0.98030516177902804</v>
      </c>
      <c r="AE12">
        <v>0.99653717130180697</v>
      </c>
    </row>
    <row r="13" spans="1:31" x14ac:dyDescent="0.3">
      <c r="A13" t="s">
        <v>56</v>
      </c>
      <c r="B13">
        <v>20</v>
      </c>
      <c r="C13" t="s">
        <v>33</v>
      </c>
      <c r="D13">
        <v>0.30546211757168001</v>
      </c>
      <c r="E13">
        <v>0.39644401729937501</v>
      </c>
      <c r="F13">
        <v>0.41630626301457602</v>
      </c>
      <c r="G13">
        <v>0.41983020983501501</v>
      </c>
      <c r="H13">
        <v>0.76415490004193998</v>
      </c>
      <c r="I13">
        <v>0.80861177128477602</v>
      </c>
      <c r="J13">
        <v>0.80861177128477602</v>
      </c>
      <c r="K13">
        <v>0.82371033132951199</v>
      </c>
      <c r="L13">
        <v>0.80649999999999999</v>
      </c>
      <c r="M13">
        <v>0.93759999999999999</v>
      </c>
      <c r="N13">
        <v>0.96150000000000002</v>
      </c>
      <c r="O13">
        <v>0.99639999999999995</v>
      </c>
      <c r="P13">
        <v>0.88260000000000005</v>
      </c>
      <c r="Q13">
        <v>0.9577</v>
      </c>
      <c r="R13">
        <v>0.9577</v>
      </c>
      <c r="S13">
        <v>0.99870000000000003</v>
      </c>
      <c r="T13">
        <v>0.80310000000000004</v>
      </c>
      <c r="U13">
        <v>0.93069999999999997</v>
      </c>
      <c r="V13">
        <v>0.96089999999999998</v>
      </c>
      <c r="W13">
        <v>0.99539999999999995</v>
      </c>
      <c r="X13">
        <v>0.83799999999999997</v>
      </c>
      <c r="Y13">
        <v>0.86880000000000002</v>
      </c>
      <c r="Z13">
        <v>0.86880000000000002</v>
      </c>
      <c r="AA13">
        <v>0.87880000000000003</v>
      </c>
      <c r="AB13">
        <v>0.30293835835196398</v>
      </c>
      <c r="AC13">
        <v>0.40099009900990101</v>
      </c>
      <c r="AD13">
        <v>0.42398594698179498</v>
      </c>
      <c r="AE13">
        <v>0.42749920153305698</v>
      </c>
    </row>
    <row r="14" spans="1:31" x14ac:dyDescent="0.3">
      <c r="A14" t="s">
        <v>56</v>
      </c>
      <c r="B14">
        <v>30</v>
      </c>
      <c r="C14" t="s">
        <v>33</v>
      </c>
      <c r="D14">
        <v>0.72689999999999999</v>
      </c>
      <c r="E14">
        <v>0.77100000000000002</v>
      </c>
      <c r="F14">
        <v>0.77100000000000002</v>
      </c>
      <c r="G14">
        <v>0.78490000000000004</v>
      </c>
      <c r="H14">
        <v>0.65828556539864502</v>
      </c>
      <c r="I14">
        <v>0.90724335591453897</v>
      </c>
      <c r="J14">
        <v>0.93121417404898399</v>
      </c>
      <c r="K14">
        <v>0.93824908806670104</v>
      </c>
      <c r="L14">
        <v>0.79669999999999996</v>
      </c>
      <c r="M14">
        <v>0.94159999999999999</v>
      </c>
      <c r="N14">
        <v>0.96960000000000002</v>
      </c>
      <c r="O14">
        <v>0.99529999999999996</v>
      </c>
      <c r="P14">
        <v>0.79900000000000004</v>
      </c>
      <c r="Q14">
        <v>0.89900000000000002</v>
      </c>
      <c r="R14">
        <v>0.95489999999999997</v>
      </c>
      <c r="S14">
        <v>0.99570000000000003</v>
      </c>
      <c r="T14">
        <v>0.79520000000000002</v>
      </c>
      <c r="U14">
        <v>0.94010000000000005</v>
      </c>
      <c r="V14">
        <v>0.96809999999999996</v>
      </c>
      <c r="W14">
        <v>0.995</v>
      </c>
      <c r="X14">
        <v>0.75109999999999999</v>
      </c>
      <c r="Y14">
        <v>0.93340000000000001</v>
      </c>
      <c r="Z14">
        <v>0.94989999999999997</v>
      </c>
      <c r="AA14">
        <v>0.95489999999999997</v>
      </c>
      <c r="AB14">
        <v>0.72760000000000002</v>
      </c>
      <c r="AC14">
        <v>0.77</v>
      </c>
      <c r="AD14">
        <v>0.77</v>
      </c>
      <c r="AE14">
        <v>0.78259999999999996</v>
      </c>
    </row>
    <row r="15" spans="1:31" x14ac:dyDescent="0.3">
      <c r="A15" t="s">
        <v>56</v>
      </c>
      <c r="B15">
        <v>50</v>
      </c>
      <c r="C15" t="s">
        <v>33</v>
      </c>
      <c r="D15">
        <v>0.81659999999999999</v>
      </c>
      <c r="E15">
        <v>0.88400000000000001</v>
      </c>
      <c r="F15">
        <v>0.91139999999999999</v>
      </c>
      <c r="G15">
        <v>0.91979999999999995</v>
      </c>
      <c r="H15">
        <v>0.79688658265381795</v>
      </c>
      <c r="I15">
        <v>0.93093649617000296</v>
      </c>
      <c r="J15">
        <v>0.95144551519644205</v>
      </c>
      <c r="K15">
        <v>0.99048678033110904</v>
      </c>
      <c r="L15">
        <v>0.80959999999999999</v>
      </c>
      <c r="M15">
        <v>0.92720000000000002</v>
      </c>
      <c r="N15">
        <v>0.96830000000000005</v>
      </c>
      <c r="O15">
        <v>0.99550000000000005</v>
      </c>
      <c r="P15">
        <v>0.80779999999999996</v>
      </c>
      <c r="Q15">
        <v>0.9385</v>
      </c>
      <c r="R15">
        <v>0.9698</v>
      </c>
      <c r="S15">
        <v>0.99339999999999995</v>
      </c>
      <c r="T15">
        <v>0.80559999999999998</v>
      </c>
      <c r="U15">
        <v>0.92220000000000002</v>
      </c>
      <c r="V15">
        <v>0.96409999999999996</v>
      </c>
      <c r="W15">
        <v>0.99439999999999995</v>
      </c>
      <c r="X15">
        <v>0.83030000000000004</v>
      </c>
      <c r="Y15">
        <v>0.94040000000000001</v>
      </c>
      <c r="Z15">
        <v>0.95579999999999998</v>
      </c>
      <c r="AA15">
        <v>0.9919</v>
      </c>
      <c r="AB15">
        <v>0.81850000000000001</v>
      </c>
      <c r="AC15">
        <v>0.88680000000000003</v>
      </c>
      <c r="AD15">
        <v>0.91159999999999997</v>
      </c>
      <c r="AE15">
        <v>0.92030000000000001</v>
      </c>
    </row>
    <row r="16" spans="1:31" x14ac:dyDescent="0.3">
      <c r="A16" t="s">
        <v>57</v>
      </c>
      <c r="B16">
        <v>20</v>
      </c>
      <c r="C16" t="s">
        <v>33</v>
      </c>
      <c r="D16">
        <v>0.30390110772194601</v>
      </c>
      <c r="E16">
        <v>0.401830149301654</v>
      </c>
      <c r="F16">
        <v>0.42109487879274399</v>
      </c>
      <c r="G16">
        <v>0.42542944292823898</v>
      </c>
      <c r="H16">
        <v>0.76742873271239098</v>
      </c>
      <c r="I16">
        <v>0.81188258537962199</v>
      </c>
      <c r="J16">
        <v>0.81188258537962199</v>
      </c>
      <c r="K16">
        <v>0.82754727631950298</v>
      </c>
      <c r="L16">
        <v>0.80489999999999995</v>
      </c>
      <c r="M16">
        <v>0.93</v>
      </c>
      <c r="N16">
        <v>0.96079999999999999</v>
      </c>
      <c r="O16">
        <v>0.99609999999999999</v>
      </c>
      <c r="P16">
        <v>0.87780000000000002</v>
      </c>
      <c r="Q16">
        <v>0.9546</v>
      </c>
      <c r="R16">
        <v>0.9546</v>
      </c>
      <c r="S16">
        <v>0.99660000000000004</v>
      </c>
      <c r="T16">
        <v>0.80300000000000005</v>
      </c>
      <c r="U16">
        <v>0.93540000000000001</v>
      </c>
      <c r="V16">
        <v>0.9597</v>
      </c>
      <c r="W16">
        <v>0.99660000000000004</v>
      </c>
      <c r="X16">
        <v>0.83609999999999995</v>
      </c>
      <c r="Y16">
        <v>0.86629999999999996</v>
      </c>
      <c r="Z16">
        <v>0.86629999999999996</v>
      </c>
      <c r="AA16">
        <v>0.87639999999999996</v>
      </c>
      <c r="AB16">
        <v>0.31210805595754898</v>
      </c>
      <c r="AC16">
        <v>0.40665701881331401</v>
      </c>
      <c r="AD16">
        <v>0.42916867663611502</v>
      </c>
      <c r="AE16">
        <v>0.434153400868307</v>
      </c>
    </row>
    <row r="17" spans="1:31" x14ac:dyDescent="0.3">
      <c r="A17" t="s">
        <v>57</v>
      </c>
      <c r="B17">
        <v>30</v>
      </c>
      <c r="C17" t="s">
        <v>33</v>
      </c>
      <c r="D17">
        <v>0.71799999999999997</v>
      </c>
      <c r="E17">
        <v>0.7621</v>
      </c>
      <c r="F17">
        <v>0.7621</v>
      </c>
      <c r="G17">
        <v>0.77690000000000003</v>
      </c>
      <c r="H17">
        <v>0.66474140194276699</v>
      </c>
      <c r="I17">
        <v>0.91428196377001802</v>
      </c>
      <c r="J17">
        <v>0.93777894460488298</v>
      </c>
      <c r="K17">
        <v>0.94526122341822005</v>
      </c>
      <c r="L17">
        <v>0.79479999999999995</v>
      </c>
      <c r="M17">
        <v>0.93769999999999998</v>
      </c>
      <c r="N17">
        <v>0.96699999999999997</v>
      </c>
      <c r="O17">
        <v>0.99470000000000003</v>
      </c>
      <c r="P17">
        <v>0.79259999999999997</v>
      </c>
      <c r="Q17">
        <v>0.90310000000000001</v>
      </c>
      <c r="R17">
        <v>0.95809999999999995</v>
      </c>
      <c r="S17">
        <v>0.99350000000000005</v>
      </c>
      <c r="T17">
        <v>0.79820000000000002</v>
      </c>
      <c r="U17">
        <v>0.94289999999999996</v>
      </c>
      <c r="V17">
        <v>0.96740000000000004</v>
      </c>
      <c r="W17">
        <v>0.99509999999999998</v>
      </c>
      <c r="X17">
        <v>0.73799999999999999</v>
      </c>
      <c r="Y17">
        <v>0.92869999999999997</v>
      </c>
      <c r="Z17">
        <v>0.94850000000000001</v>
      </c>
      <c r="AA17">
        <v>0.95499999999999996</v>
      </c>
      <c r="AB17">
        <v>0.72060000000000002</v>
      </c>
      <c r="AC17">
        <v>0.76719999999999999</v>
      </c>
      <c r="AD17">
        <v>0.76719999999999999</v>
      </c>
      <c r="AE17">
        <v>0.78169999999999995</v>
      </c>
    </row>
    <row r="18" spans="1:31" x14ac:dyDescent="0.3">
      <c r="A18" t="s">
        <v>57</v>
      </c>
      <c r="B18">
        <v>50</v>
      </c>
      <c r="C18" t="s">
        <v>33</v>
      </c>
      <c r="D18">
        <v>0.8175</v>
      </c>
      <c r="E18">
        <v>0.88439999999999996</v>
      </c>
      <c r="F18">
        <v>0.91049999999999998</v>
      </c>
      <c r="G18">
        <v>0.91949999999999998</v>
      </c>
      <c r="H18">
        <v>0.79469956033219302</v>
      </c>
      <c r="I18">
        <v>0.93124084025402998</v>
      </c>
      <c r="J18">
        <v>0.94809477283830002</v>
      </c>
      <c r="K18">
        <v>0.99071812408402504</v>
      </c>
      <c r="L18">
        <v>0.80989999999999995</v>
      </c>
      <c r="M18">
        <v>0.9274</v>
      </c>
      <c r="N18">
        <v>0.96719999999999995</v>
      </c>
      <c r="O18">
        <v>0.99529999999999996</v>
      </c>
      <c r="P18">
        <v>0.7984</v>
      </c>
      <c r="Q18">
        <v>0.93710000000000004</v>
      </c>
      <c r="R18">
        <v>0.96489999999999998</v>
      </c>
      <c r="S18">
        <v>0.99309999999999998</v>
      </c>
      <c r="T18">
        <v>0.80740000000000001</v>
      </c>
      <c r="U18">
        <v>0.92659999999999998</v>
      </c>
      <c r="V18">
        <v>0.96619999999999995</v>
      </c>
      <c r="W18">
        <v>0.99519999999999997</v>
      </c>
      <c r="X18">
        <v>0.8246</v>
      </c>
      <c r="Y18">
        <v>0.93879999999999997</v>
      </c>
      <c r="Z18">
        <v>0.95530000000000004</v>
      </c>
      <c r="AA18">
        <v>0.9909</v>
      </c>
      <c r="AB18">
        <v>0.82850000000000001</v>
      </c>
      <c r="AC18">
        <v>0.89259999999999995</v>
      </c>
      <c r="AD18">
        <v>0.91590000000000005</v>
      </c>
      <c r="AE18">
        <v>0.92400000000000004</v>
      </c>
    </row>
    <row r="19" spans="1:31" x14ac:dyDescent="0.3">
      <c r="A19" t="s">
        <v>31</v>
      </c>
      <c r="B19">
        <v>20</v>
      </c>
      <c r="C19" t="s">
        <v>33</v>
      </c>
      <c r="D19">
        <v>0.31203067582680899</v>
      </c>
      <c r="E19">
        <v>0.41204665281993902</v>
      </c>
      <c r="F19">
        <v>0.43425467327049</v>
      </c>
      <c r="G19">
        <v>0.43856846141556199</v>
      </c>
      <c r="H19">
        <v>0.77107414716662004</v>
      </c>
      <c r="I19">
        <v>0.81646461798703096</v>
      </c>
      <c r="J19">
        <v>0.81646461798703096</v>
      </c>
      <c r="K19">
        <v>0.82929235974062598</v>
      </c>
      <c r="L19">
        <v>0.80010000000000003</v>
      </c>
      <c r="M19">
        <v>0.93179999999999996</v>
      </c>
      <c r="N19">
        <v>0.95979999999999999</v>
      </c>
      <c r="O19">
        <v>0.996</v>
      </c>
      <c r="P19">
        <v>0.88949999999999996</v>
      </c>
      <c r="Q19">
        <v>0.96199999999999997</v>
      </c>
      <c r="R19">
        <v>0.96199999999999997</v>
      </c>
      <c r="S19">
        <v>0.99829999999999997</v>
      </c>
      <c r="T19">
        <v>0.81710000000000005</v>
      </c>
      <c r="U19">
        <v>0.94230000000000003</v>
      </c>
      <c r="V19">
        <v>0.96609999999999996</v>
      </c>
      <c r="W19">
        <v>0.996</v>
      </c>
      <c r="X19">
        <v>0.83540000000000003</v>
      </c>
      <c r="Y19">
        <v>0.86639999999999995</v>
      </c>
      <c r="Z19">
        <v>0.86639999999999995</v>
      </c>
      <c r="AA19">
        <v>0.87680000000000002</v>
      </c>
      <c r="AB19">
        <v>0.30563514804202502</v>
      </c>
      <c r="AC19">
        <v>0.398758357211079</v>
      </c>
      <c r="AD19">
        <v>0.41897484877427599</v>
      </c>
      <c r="AE19">
        <v>0.42295447309773998</v>
      </c>
    </row>
    <row r="20" spans="1:31" x14ac:dyDescent="0.3">
      <c r="A20" t="s">
        <v>31</v>
      </c>
      <c r="B20">
        <v>30</v>
      </c>
      <c r="C20" t="s">
        <v>33</v>
      </c>
      <c r="D20">
        <v>0.72809999999999997</v>
      </c>
      <c r="E20">
        <v>0.77539999999999998</v>
      </c>
      <c r="F20">
        <v>0.77539999999999998</v>
      </c>
      <c r="G20">
        <v>0.79039999999999999</v>
      </c>
      <c r="H20">
        <v>0.66309523809523796</v>
      </c>
      <c r="I20">
        <v>0.91058201058201105</v>
      </c>
      <c r="J20">
        <v>0.93082010582010599</v>
      </c>
      <c r="K20">
        <v>0.93955026455026502</v>
      </c>
      <c r="L20">
        <v>0.79730000000000001</v>
      </c>
      <c r="M20">
        <v>0.93840000000000001</v>
      </c>
      <c r="N20">
        <v>0.96799999999999997</v>
      </c>
      <c r="O20">
        <v>0.996</v>
      </c>
      <c r="P20">
        <v>0.79690000000000005</v>
      </c>
      <c r="Q20">
        <v>0.89980000000000004</v>
      </c>
      <c r="R20">
        <v>0.95520000000000005</v>
      </c>
      <c r="S20">
        <v>0.99539999999999995</v>
      </c>
      <c r="T20">
        <v>0.79649999999999999</v>
      </c>
      <c r="U20">
        <v>0.93799999999999994</v>
      </c>
      <c r="V20">
        <v>0.96689999999999998</v>
      </c>
      <c r="W20">
        <v>0.99609999999999999</v>
      </c>
      <c r="X20">
        <v>0.745</v>
      </c>
      <c r="Y20">
        <v>0.93169999999999997</v>
      </c>
      <c r="Z20">
        <v>0.95109999999999995</v>
      </c>
      <c r="AA20">
        <v>0.95699999999999996</v>
      </c>
      <c r="AB20">
        <v>0.72289999999999999</v>
      </c>
      <c r="AC20">
        <v>0.76870000000000005</v>
      </c>
      <c r="AD20">
        <v>0.76870000000000005</v>
      </c>
      <c r="AE20">
        <v>0.78469999999999995</v>
      </c>
    </row>
    <row r="21" spans="1:31" x14ac:dyDescent="0.3">
      <c r="A21" t="s">
        <v>31</v>
      </c>
      <c r="B21">
        <v>50</v>
      </c>
      <c r="C21" t="s">
        <v>33</v>
      </c>
      <c r="D21">
        <v>0.82079999999999997</v>
      </c>
      <c r="E21">
        <v>0.88629999999999998</v>
      </c>
      <c r="F21">
        <v>0.91449999999999998</v>
      </c>
      <c r="G21">
        <v>0.9224</v>
      </c>
      <c r="H21">
        <v>0.78507535841195897</v>
      </c>
      <c r="I21">
        <v>0.92991055017767399</v>
      </c>
      <c r="J21">
        <v>0.94743291263325602</v>
      </c>
      <c r="K21">
        <v>0.98897193971327002</v>
      </c>
      <c r="L21">
        <v>0.80940000000000001</v>
      </c>
      <c r="M21">
        <v>0.92649999999999999</v>
      </c>
      <c r="N21">
        <v>0.9698</v>
      </c>
      <c r="O21">
        <v>0.99639999999999995</v>
      </c>
      <c r="P21">
        <v>0.79690000000000005</v>
      </c>
      <c r="Q21">
        <v>0.93700000000000006</v>
      </c>
      <c r="R21">
        <v>0.96870000000000001</v>
      </c>
      <c r="S21">
        <v>0.99419999999999997</v>
      </c>
      <c r="T21">
        <v>0.80940000000000001</v>
      </c>
      <c r="U21">
        <v>0.9244</v>
      </c>
      <c r="V21">
        <v>0.96519999999999995</v>
      </c>
      <c r="W21">
        <v>0.99580000000000002</v>
      </c>
      <c r="X21">
        <v>0.82099999999999995</v>
      </c>
      <c r="Y21">
        <v>0.9375</v>
      </c>
      <c r="Z21">
        <v>0.95430000000000004</v>
      </c>
      <c r="AA21">
        <v>0.99150000000000005</v>
      </c>
      <c r="AB21">
        <v>0.81979999999999997</v>
      </c>
      <c r="AC21">
        <v>0.8881</v>
      </c>
      <c r="AD21">
        <v>0.91220000000000001</v>
      </c>
      <c r="AE21">
        <v>0.9214</v>
      </c>
    </row>
    <row r="22" spans="1:31" x14ac:dyDescent="0.3">
      <c r="A22" t="s">
        <v>56</v>
      </c>
      <c r="B22">
        <v>20</v>
      </c>
      <c r="C22" t="s">
        <v>83</v>
      </c>
      <c r="D22">
        <v>0.73411764705882399</v>
      </c>
      <c r="E22">
        <v>0.82320855614973298</v>
      </c>
      <c r="F22">
        <v>0.87016042780748704</v>
      </c>
      <c r="G22">
        <v>0.92074866310160397</v>
      </c>
      <c r="H22">
        <v>0.78987367772414496</v>
      </c>
      <c r="I22">
        <v>0.86494813597617304</v>
      </c>
      <c r="J22">
        <v>0.90417993221731496</v>
      </c>
      <c r="K22">
        <v>0.945671151278628</v>
      </c>
      <c r="L22">
        <v>0.79839839839839799</v>
      </c>
      <c r="M22">
        <v>0.90230230230230202</v>
      </c>
      <c r="N22">
        <v>0.95065065065065102</v>
      </c>
      <c r="O22">
        <v>0.98798798798798804</v>
      </c>
      <c r="P22">
        <v>0.79690000000000005</v>
      </c>
      <c r="Q22">
        <v>0.89470000000000005</v>
      </c>
      <c r="R22">
        <v>0.94830000000000003</v>
      </c>
      <c r="S22">
        <v>0.98939999999999995</v>
      </c>
      <c r="T22">
        <v>0.79913758523866796</v>
      </c>
      <c r="U22">
        <v>0.90002005615724001</v>
      </c>
      <c r="V22">
        <v>0.951764941837144</v>
      </c>
      <c r="W22">
        <v>0.99177697553148803</v>
      </c>
      <c r="X22">
        <v>0.83773626616557995</v>
      </c>
      <c r="Y22">
        <v>0.90991488891345196</v>
      </c>
      <c r="Z22">
        <v>0.94583839946943704</v>
      </c>
      <c r="AA22">
        <v>0.96794517519619805</v>
      </c>
      <c r="AB22">
        <v>0.79777777777777803</v>
      </c>
      <c r="AC22">
        <v>0.89666666666666694</v>
      </c>
      <c r="AD22">
        <v>0.91857142857142904</v>
      </c>
      <c r="AE22">
        <v>0.95253968253968302</v>
      </c>
    </row>
    <row r="23" spans="1:31" x14ac:dyDescent="0.3">
      <c r="A23" t="s">
        <v>56</v>
      </c>
      <c r="B23">
        <v>30</v>
      </c>
      <c r="C23" t="s">
        <v>83</v>
      </c>
      <c r="D23">
        <v>0.75845113706207701</v>
      </c>
      <c r="E23">
        <v>0.83999180495799997</v>
      </c>
      <c r="F23">
        <v>0.88526941200573706</v>
      </c>
      <c r="G23">
        <v>0.92829338250358495</v>
      </c>
      <c r="H23">
        <v>0.79931320068679901</v>
      </c>
      <c r="I23">
        <v>0.89112210887789101</v>
      </c>
      <c r="J23">
        <v>0.93334006665993297</v>
      </c>
      <c r="K23">
        <v>0.968690031309969</v>
      </c>
      <c r="L23">
        <v>0.806380638063806</v>
      </c>
      <c r="M23">
        <v>0.90449044904490405</v>
      </c>
      <c r="N23">
        <v>0.95089508950895096</v>
      </c>
      <c r="O23">
        <v>0.99169916991699203</v>
      </c>
      <c r="P23">
        <v>0.79790000000000005</v>
      </c>
      <c r="Q23">
        <v>0.89419999999999999</v>
      </c>
      <c r="R23">
        <v>0.94799999999999995</v>
      </c>
      <c r="S23">
        <v>0.99099999999999999</v>
      </c>
      <c r="T23">
        <v>0.79553866159847997</v>
      </c>
      <c r="U23">
        <v>0.90177053115934802</v>
      </c>
      <c r="V23">
        <v>0.94818445533660101</v>
      </c>
      <c r="W23">
        <v>0.99059717915374601</v>
      </c>
      <c r="X23">
        <v>0.81352416511097303</v>
      </c>
      <c r="Y23">
        <v>0.94233561501763097</v>
      </c>
      <c r="Z23">
        <v>0.95695913710848401</v>
      </c>
      <c r="AA23">
        <v>0.98185023853972198</v>
      </c>
      <c r="AB23">
        <v>0.86284889316650604</v>
      </c>
      <c r="AC23">
        <v>0.89605389797882595</v>
      </c>
      <c r="AD23">
        <v>0.941169393647738</v>
      </c>
      <c r="AE23">
        <v>0.96462945139557299</v>
      </c>
    </row>
    <row r="24" spans="1:31" x14ac:dyDescent="0.3">
      <c r="A24" t="s">
        <v>56</v>
      </c>
      <c r="B24">
        <v>50</v>
      </c>
      <c r="C24" t="s">
        <v>83</v>
      </c>
      <c r="D24">
        <v>0.79031934123317904</v>
      </c>
      <c r="E24">
        <v>0.87427194215705994</v>
      </c>
      <c r="F24">
        <v>0.91504318136171903</v>
      </c>
      <c r="G24">
        <v>0.957220325366539</v>
      </c>
      <c r="H24">
        <v>0.80420210105052503</v>
      </c>
      <c r="I24">
        <v>0.90375187593796902</v>
      </c>
      <c r="J24">
        <v>0.95107553776888398</v>
      </c>
      <c r="K24">
        <v>0.98709354677338701</v>
      </c>
      <c r="L24">
        <v>0.79910000000000003</v>
      </c>
      <c r="M24">
        <v>0.9012</v>
      </c>
      <c r="N24">
        <v>0.95269999999999999</v>
      </c>
      <c r="O24">
        <v>0.98939999999999995</v>
      </c>
      <c r="P24">
        <v>0.81040000000000001</v>
      </c>
      <c r="Q24">
        <v>0.90600000000000003</v>
      </c>
      <c r="R24">
        <v>0.95340000000000003</v>
      </c>
      <c r="S24">
        <v>0.99050000000000005</v>
      </c>
      <c r="T24">
        <v>0.79649999999999999</v>
      </c>
      <c r="U24">
        <v>0.8952</v>
      </c>
      <c r="V24">
        <v>0.94589999999999996</v>
      </c>
      <c r="W24">
        <v>0.98650000000000004</v>
      </c>
      <c r="X24">
        <v>0.79277738658082697</v>
      </c>
      <c r="Y24">
        <v>0.90845991348958899</v>
      </c>
      <c r="Z24">
        <v>0.94698722462528895</v>
      </c>
      <c r="AA24">
        <v>0.99396438990041203</v>
      </c>
      <c r="AB24">
        <v>0.86614340263046197</v>
      </c>
      <c r="AC24">
        <v>0.93169282986847701</v>
      </c>
      <c r="AD24">
        <v>0.96139159949087805</v>
      </c>
      <c r="AE24">
        <v>0.978998727195588</v>
      </c>
    </row>
    <row r="25" spans="1:31" x14ac:dyDescent="0.3">
      <c r="A25" t="s">
        <v>57</v>
      </c>
      <c r="B25">
        <v>20</v>
      </c>
      <c r="C25" t="s">
        <v>83</v>
      </c>
      <c r="D25">
        <v>0.36827365473094598</v>
      </c>
      <c r="E25">
        <v>0.49699939987997599</v>
      </c>
      <c r="F25">
        <v>0.61502300460091996</v>
      </c>
      <c r="G25">
        <v>0.80526105221044197</v>
      </c>
      <c r="H25">
        <v>0.69401640984590796</v>
      </c>
      <c r="I25">
        <v>0.81068641184710799</v>
      </c>
      <c r="J25">
        <v>0.88082849709825894</v>
      </c>
      <c r="K25">
        <v>0.95957574544726798</v>
      </c>
      <c r="L25">
        <v>0.79213764129238795</v>
      </c>
      <c r="M25">
        <v>0.89076723016905102</v>
      </c>
      <c r="N25">
        <v>0.94018205461638504</v>
      </c>
      <c r="O25">
        <v>0.98459537861358404</v>
      </c>
      <c r="P25">
        <v>0.79020000000000001</v>
      </c>
      <c r="Q25">
        <v>0.88819999999999999</v>
      </c>
      <c r="R25">
        <v>0.94030000000000002</v>
      </c>
      <c r="S25">
        <v>0.98640000000000005</v>
      </c>
      <c r="T25">
        <v>0.79133306645316304</v>
      </c>
      <c r="U25">
        <v>0.89971977582065699</v>
      </c>
      <c r="V25">
        <v>0.94855884707766203</v>
      </c>
      <c r="W25">
        <v>0.98819055244195397</v>
      </c>
      <c r="X25">
        <v>0.81607484584307899</v>
      </c>
      <c r="Y25">
        <v>0.88082075271103599</v>
      </c>
      <c r="Z25">
        <v>0.91941314054858603</v>
      </c>
      <c r="AA25">
        <v>0.95237082713161803</v>
      </c>
      <c r="AB25">
        <v>0.76802588996763799</v>
      </c>
      <c r="AC25">
        <v>0.84763754045307405</v>
      </c>
      <c r="AD25">
        <v>0.87922330097087398</v>
      </c>
      <c r="AE25">
        <v>0.92</v>
      </c>
    </row>
    <row r="26" spans="1:31" x14ac:dyDescent="0.3">
      <c r="A26" t="s">
        <v>57</v>
      </c>
      <c r="B26">
        <v>30</v>
      </c>
      <c r="C26" t="s">
        <v>83</v>
      </c>
      <c r="D26">
        <v>0.40364036403640402</v>
      </c>
      <c r="E26">
        <v>0.54145414541454095</v>
      </c>
      <c r="F26">
        <v>0.65026502650264995</v>
      </c>
      <c r="G26">
        <v>0.83198319831983203</v>
      </c>
      <c r="H26">
        <v>0.72850000000000004</v>
      </c>
      <c r="I26">
        <v>0.84319999999999995</v>
      </c>
      <c r="J26">
        <v>0.90539999999999998</v>
      </c>
      <c r="K26">
        <v>0.97119999999999995</v>
      </c>
      <c r="L26">
        <v>0.79720000000000002</v>
      </c>
      <c r="M26">
        <v>0.89349999999999996</v>
      </c>
      <c r="N26">
        <v>0.94340000000000002</v>
      </c>
      <c r="O26">
        <v>0.98809999999999998</v>
      </c>
      <c r="P26">
        <v>0.7984</v>
      </c>
      <c r="Q26">
        <v>0.89570000000000005</v>
      </c>
      <c r="R26">
        <v>0.94740000000000002</v>
      </c>
      <c r="S26">
        <v>0.98939999999999995</v>
      </c>
      <c r="T26">
        <v>0.79910000000000003</v>
      </c>
      <c r="U26">
        <v>0.90210000000000001</v>
      </c>
      <c r="V26">
        <v>0.95069999999999999</v>
      </c>
      <c r="W26">
        <v>0.98960000000000004</v>
      </c>
      <c r="X26">
        <v>0.81637010676156596</v>
      </c>
      <c r="Y26">
        <v>0.90950686324351804</v>
      </c>
      <c r="Z26">
        <v>0.94163701067615702</v>
      </c>
      <c r="AA26">
        <v>0.97051347229283202</v>
      </c>
      <c r="AB26">
        <v>0.80922335665940104</v>
      </c>
      <c r="AC26">
        <v>0.86451760926924404</v>
      </c>
      <c r="AD26">
        <v>0.90558678444418905</v>
      </c>
      <c r="AE26">
        <v>0.93874039233681295</v>
      </c>
    </row>
    <row r="27" spans="1:31" x14ac:dyDescent="0.3">
      <c r="A27" t="s">
        <v>57</v>
      </c>
      <c r="B27">
        <v>50</v>
      </c>
      <c r="C27" t="s">
        <v>83</v>
      </c>
      <c r="D27">
        <v>0.4612</v>
      </c>
      <c r="E27">
        <v>0.60160000000000002</v>
      </c>
      <c r="F27">
        <v>0.70889999999999997</v>
      </c>
      <c r="G27">
        <v>0.86890000000000001</v>
      </c>
      <c r="H27">
        <v>0.76529999999999998</v>
      </c>
      <c r="I27">
        <v>0.87139999999999995</v>
      </c>
      <c r="J27">
        <v>0.93110000000000004</v>
      </c>
      <c r="K27">
        <v>0.9839</v>
      </c>
      <c r="L27">
        <v>0.79990000000000006</v>
      </c>
      <c r="M27">
        <v>0.89800000000000002</v>
      </c>
      <c r="N27">
        <v>0.9466</v>
      </c>
      <c r="O27">
        <v>0.99039999999999995</v>
      </c>
      <c r="P27">
        <v>0.79959999999999998</v>
      </c>
      <c r="Q27">
        <v>0.90029999999999999</v>
      </c>
      <c r="R27">
        <v>0.94910000000000005</v>
      </c>
      <c r="S27">
        <v>0.98819999999999997</v>
      </c>
      <c r="T27">
        <v>0.79549999999999998</v>
      </c>
      <c r="U27">
        <v>0.89770000000000005</v>
      </c>
      <c r="V27">
        <v>0.94750000000000001</v>
      </c>
      <c r="W27">
        <v>0.99009999999999998</v>
      </c>
      <c r="X27">
        <v>0.79139504563233398</v>
      </c>
      <c r="Y27">
        <v>0.90693009728211804</v>
      </c>
      <c r="Z27">
        <v>0.94824992478186698</v>
      </c>
      <c r="AA27">
        <v>0.98956975228161703</v>
      </c>
      <c r="AB27">
        <v>0.84538756874545995</v>
      </c>
      <c r="AC27">
        <v>0.91003424302168701</v>
      </c>
      <c r="AD27">
        <v>0.94168309639929404</v>
      </c>
      <c r="AE27">
        <v>0.96471931098889696</v>
      </c>
    </row>
    <row r="28" spans="1:31" x14ac:dyDescent="0.3">
      <c r="A28" t="s">
        <v>31</v>
      </c>
      <c r="B28">
        <v>20</v>
      </c>
      <c r="C28" t="s">
        <v>83</v>
      </c>
      <c r="D28">
        <v>0.71250848224383601</v>
      </c>
      <c r="E28">
        <v>0.79653924451481595</v>
      </c>
      <c r="F28">
        <v>0.84098620221669296</v>
      </c>
      <c r="G28">
        <v>0.89391540375480705</v>
      </c>
      <c r="H28">
        <v>0.78248791027883502</v>
      </c>
      <c r="I28">
        <v>0.85955345200123501</v>
      </c>
      <c r="J28">
        <v>0.90266488321843796</v>
      </c>
      <c r="K28">
        <v>0.94495318448400001</v>
      </c>
      <c r="L28">
        <v>0.78995799159832003</v>
      </c>
      <c r="M28">
        <v>0.89467893578715696</v>
      </c>
      <c r="N28">
        <v>0.94548909781956403</v>
      </c>
      <c r="O28">
        <v>0.98559711942388495</v>
      </c>
      <c r="P28">
        <v>0.80469999999999997</v>
      </c>
      <c r="Q28">
        <v>0.90410000000000001</v>
      </c>
      <c r="R28">
        <v>0.9536</v>
      </c>
      <c r="S28">
        <v>0.99070000000000003</v>
      </c>
      <c r="T28">
        <v>0.80694555644515598</v>
      </c>
      <c r="U28">
        <v>0.91032826261008803</v>
      </c>
      <c r="V28">
        <v>0.95276220976781401</v>
      </c>
      <c r="W28">
        <v>0.985988791032826</v>
      </c>
      <c r="X28">
        <v>0.78173581797590896</v>
      </c>
      <c r="Y28">
        <v>0.85823123648718203</v>
      </c>
      <c r="Z28">
        <v>0.90147225368063399</v>
      </c>
      <c r="AA28">
        <v>0.94234531040873104</v>
      </c>
      <c r="AB28">
        <v>0.71313703284258201</v>
      </c>
      <c r="AC28">
        <v>0.79184597961494896</v>
      </c>
      <c r="AD28">
        <v>0.83816534541336396</v>
      </c>
      <c r="AE28">
        <v>0.89388448471121196</v>
      </c>
    </row>
    <row r="29" spans="1:31" x14ac:dyDescent="0.3">
      <c r="A29" t="s">
        <v>31</v>
      </c>
      <c r="B29">
        <v>30</v>
      </c>
      <c r="C29" t="s">
        <v>83</v>
      </c>
      <c r="D29">
        <v>0.75781748564135298</v>
      </c>
      <c r="E29">
        <v>0.83609870240374395</v>
      </c>
      <c r="F29">
        <v>0.879493724739417</v>
      </c>
      <c r="G29">
        <v>0.92182514358647105</v>
      </c>
      <c r="H29">
        <v>0.80974921945815304</v>
      </c>
      <c r="I29">
        <v>0.89334273340719095</v>
      </c>
      <c r="J29">
        <v>0.92849229529660604</v>
      </c>
      <c r="K29">
        <v>0.96384328734011504</v>
      </c>
      <c r="L29">
        <v>0.80459999999999998</v>
      </c>
      <c r="M29">
        <v>0.90129999999999999</v>
      </c>
      <c r="N29">
        <v>0.95330000000000004</v>
      </c>
      <c r="O29">
        <v>0.98980000000000001</v>
      </c>
      <c r="P29">
        <v>0.79669999999999996</v>
      </c>
      <c r="Q29">
        <v>0.89649999999999996</v>
      </c>
      <c r="R29">
        <v>0.94799999999999995</v>
      </c>
      <c r="S29">
        <v>0.98970000000000002</v>
      </c>
      <c r="T29">
        <v>0.80069999999999997</v>
      </c>
      <c r="U29">
        <v>0.89570000000000005</v>
      </c>
      <c r="V29">
        <v>0.94799999999999995</v>
      </c>
      <c r="W29">
        <v>0.99</v>
      </c>
      <c r="X29">
        <v>0.80974921945815304</v>
      </c>
      <c r="Y29">
        <v>0.89203343740558005</v>
      </c>
      <c r="Z29">
        <v>0.93101017222278204</v>
      </c>
      <c r="AA29">
        <v>0.965857588881055</v>
      </c>
      <c r="AB29">
        <v>0.75780500799147599</v>
      </c>
      <c r="AC29">
        <v>0.83090037293553498</v>
      </c>
      <c r="AD29">
        <v>0.87277570591369202</v>
      </c>
      <c r="AE29">
        <v>0.91774107618540202</v>
      </c>
    </row>
    <row r="30" spans="1:31" x14ac:dyDescent="0.3">
      <c r="A30" t="s">
        <v>31</v>
      </c>
      <c r="B30">
        <v>50</v>
      </c>
      <c r="C30" t="s">
        <v>83</v>
      </c>
      <c r="D30">
        <v>0.80917039446929695</v>
      </c>
      <c r="E30">
        <v>0.88013420089467298</v>
      </c>
      <c r="F30">
        <v>0.91907279381862494</v>
      </c>
      <c r="G30">
        <v>0.95394469296462003</v>
      </c>
      <c r="H30">
        <v>0.79359359359359405</v>
      </c>
      <c r="I30">
        <v>0.90220220220220204</v>
      </c>
      <c r="J30">
        <v>0.95095095095095095</v>
      </c>
      <c r="K30">
        <v>0.98778778778778797</v>
      </c>
      <c r="L30">
        <v>0.80489999999999995</v>
      </c>
      <c r="M30">
        <v>0.89790000000000003</v>
      </c>
      <c r="N30">
        <v>0.94969999999999999</v>
      </c>
      <c r="O30">
        <v>0.99129999999999996</v>
      </c>
      <c r="P30">
        <v>0.80020000000000002</v>
      </c>
      <c r="Q30">
        <v>0.90069999999999995</v>
      </c>
      <c r="R30">
        <v>0.95220000000000005</v>
      </c>
      <c r="S30">
        <v>0.99119999999999997</v>
      </c>
      <c r="T30">
        <v>0.80110000000000003</v>
      </c>
      <c r="U30">
        <v>0.89759999999999995</v>
      </c>
      <c r="V30">
        <v>0.94950000000000001</v>
      </c>
      <c r="W30">
        <v>0.99019999999999997</v>
      </c>
      <c r="X30">
        <v>0.78933146517213804</v>
      </c>
      <c r="Y30">
        <v>0.89811849479583705</v>
      </c>
      <c r="Z30">
        <v>0.94585668534827905</v>
      </c>
      <c r="AA30">
        <v>0.98588871096877495</v>
      </c>
      <c r="AB30">
        <v>0.81199104234527697</v>
      </c>
      <c r="AC30">
        <v>0.88568811074918596</v>
      </c>
      <c r="AD30">
        <v>0.92009364820846895</v>
      </c>
      <c r="AE30">
        <v>0.95236156351791501</v>
      </c>
    </row>
    <row r="31" spans="1:31" x14ac:dyDescent="0.3">
      <c r="A31" t="s">
        <v>56</v>
      </c>
      <c r="B31">
        <v>20</v>
      </c>
      <c r="C31" t="s">
        <v>66</v>
      </c>
      <c r="D31">
        <v>0.75104727707959296</v>
      </c>
      <c r="E31">
        <v>0.83183722321962905</v>
      </c>
      <c r="F31">
        <v>0.86918013165769004</v>
      </c>
      <c r="G31">
        <v>0.91214841412327996</v>
      </c>
      <c r="H31">
        <v>0.824874452398761</v>
      </c>
      <c r="I31">
        <v>0.88738113046265599</v>
      </c>
      <c r="J31">
        <v>0.92264130783203302</v>
      </c>
      <c r="K31">
        <v>0.95715354204508996</v>
      </c>
      <c r="L31">
        <v>0.80128205128205099</v>
      </c>
      <c r="M31">
        <v>0.90204326923076905</v>
      </c>
      <c r="N31">
        <v>0.95182291666666696</v>
      </c>
      <c r="O31">
        <v>0.99078525641025605</v>
      </c>
      <c r="P31">
        <v>0.78488488488488495</v>
      </c>
      <c r="Q31">
        <v>0.89049049049049001</v>
      </c>
      <c r="R31">
        <v>0.95025025025025001</v>
      </c>
      <c r="S31">
        <v>0.98838838838838805</v>
      </c>
      <c r="T31">
        <v>0.80085089141004895</v>
      </c>
      <c r="U31">
        <v>0.88745948136142605</v>
      </c>
      <c r="V31">
        <v>0.95573338735818503</v>
      </c>
      <c r="W31">
        <v>0.99371961102106998</v>
      </c>
      <c r="X31">
        <v>0.84522854851643903</v>
      </c>
      <c r="Y31">
        <v>0.92965975484018804</v>
      </c>
      <c r="Z31">
        <v>0.96448619544048597</v>
      </c>
      <c r="AA31">
        <v>0.98075380914194099</v>
      </c>
      <c r="AB31">
        <v>0.79150420685409395</v>
      </c>
      <c r="AC31">
        <v>0.91524728093576901</v>
      </c>
      <c r="AD31">
        <v>0.92899651138928796</v>
      </c>
      <c r="AE31">
        <v>0.96757644161707401</v>
      </c>
    </row>
    <row r="32" spans="1:31" x14ac:dyDescent="0.3">
      <c r="A32" t="s">
        <v>56</v>
      </c>
      <c r="B32">
        <v>30</v>
      </c>
      <c r="C32" t="s">
        <v>66</v>
      </c>
      <c r="D32">
        <v>0.78987425545996004</v>
      </c>
      <c r="E32">
        <v>0.85980586807853498</v>
      </c>
      <c r="F32">
        <v>0.89499227884403298</v>
      </c>
      <c r="G32">
        <v>0.93282594308404998</v>
      </c>
      <c r="H32">
        <v>0.80795582370385499</v>
      </c>
      <c r="I32">
        <v>0.91471520605378898</v>
      </c>
      <c r="J32">
        <v>0.94590448921157599</v>
      </c>
      <c r="K32">
        <v>0.97382145413641497</v>
      </c>
      <c r="L32">
        <v>0.80256051210242096</v>
      </c>
      <c r="M32">
        <v>0.905681136227245</v>
      </c>
      <c r="N32">
        <v>0.94928985797159404</v>
      </c>
      <c r="O32">
        <v>0.99219843968793797</v>
      </c>
      <c r="P32">
        <v>0.79617770662397402</v>
      </c>
      <c r="Q32">
        <v>0.89503702221332804</v>
      </c>
      <c r="R32">
        <v>0.94966980188112904</v>
      </c>
      <c r="S32">
        <v>0.99009405643385995</v>
      </c>
      <c r="T32">
        <v>0.79521808723489396</v>
      </c>
      <c r="U32">
        <v>0.90576230492196896</v>
      </c>
      <c r="V32">
        <v>0.943377350940376</v>
      </c>
      <c r="W32">
        <v>0.98969587835134099</v>
      </c>
      <c r="X32">
        <v>0.79426394327442096</v>
      </c>
      <c r="Y32">
        <v>0.95766747804000396</v>
      </c>
      <c r="Z32">
        <v>0.96613398243200299</v>
      </c>
      <c r="AA32">
        <v>0.98962853211980095</v>
      </c>
      <c r="AB32">
        <v>0.89816194734227495</v>
      </c>
      <c r="AC32">
        <v>0.91393442622950805</v>
      </c>
      <c r="AD32">
        <v>0.96336313959264797</v>
      </c>
      <c r="AE32">
        <v>0.98298559364133098</v>
      </c>
    </row>
    <row r="33" spans="1:31" x14ac:dyDescent="0.3">
      <c r="A33" t="s">
        <v>56</v>
      </c>
      <c r="B33">
        <v>50</v>
      </c>
      <c r="C33" t="s">
        <v>66</v>
      </c>
      <c r="D33">
        <v>0.82773195876288697</v>
      </c>
      <c r="E33">
        <v>0.89773195876288703</v>
      </c>
      <c r="F33">
        <v>0.93154639175257703</v>
      </c>
      <c r="G33">
        <v>0.960412371134021</v>
      </c>
      <c r="H33">
        <v>0.80232558139534904</v>
      </c>
      <c r="I33">
        <v>0.91038492381716096</v>
      </c>
      <c r="J33">
        <v>0.95058139534883701</v>
      </c>
      <c r="K33">
        <v>0.99188051323175597</v>
      </c>
      <c r="L33">
        <v>0.80079999999999996</v>
      </c>
      <c r="M33">
        <v>0.90200000000000002</v>
      </c>
      <c r="N33">
        <v>0.95420000000000005</v>
      </c>
      <c r="O33">
        <v>0.98980000000000001</v>
      </c>
      <c r="P33">
        <v>0.80880440220110095</v>
      </c>
      <c r="Q33">
        <v>0.90395197598799404</v>
      </c>
      <c r="R33">
        <v>0.95207603801900997</v>
      </c>
      <c r="S33">
        <v>0.99119559779889899</v>
      </c>
      <c r="T33">
        <v>0.79979999999999996</v>
      </c>
      <c r="U33">
        <v>0.89680000000000004</v>
      </c>
      <c r="V33">
        <v>0.94799999999999995</v>
      </c>
      <c r="W33">
        <v>0.98560000000000003</v>
      </c>
      <c r="X33">
        <v>0.77926319012144096</v>
      </c>
      <c r="Y33">
        <v>0.90968466170017304</v>
      </c>
      <c r="Z33">
        <v>0.94530054087151705</v>
      </c>
      <c r="AA33">
        <v>0.99561179712215497</v>
      </c>
      <c r="AB33">
        <v>0.877873254564984</v>
      </c>
      <c r="AC33">
        <v>0.94897959183673497</v>
      </c>
      <c r="AD33">
        <v>0.97626208378088097</v>
      </c>
      <c r="AE33">
        <v>0.98925886143931296</v>
      </c>
    </row>
    <row r="34" spans="1:31" x14ac:dyDescent="0.3">
      <c r="A34" t="s">
        <v>57</v>
      </c>
      <c r="B34">
        <v>20</v>
      </c>
      <c r="C34" t="s">
        <v>66</v>
      </c>
      <c r="D34">
        <v>0.70058609539207795</v>
      </c>
      <c r="E34">
        <v>0.81305578011317703</v>
      </c>
      <c r="F34">
        <v>0.87823362974939401</v>
      </c>
      <c r="G34">
        <v>0.949070331447049</v>
      </c>
      <c r="H34">
        <v>0.78828510938602703</v>
      </c>
      <c r="I34">
        <v>0.87458413146486502</v>
      </c>
      <c r="J34">
        <v>0.91954834156668996</v>
      </c>
      <c r="K34">
        <v>0.96138723661659398</v>
      </c>
      <c r="L34">
        <v>0.79379689844922496</v>
      </c>
      <c r="M34">
        <v>0.89094547273636804</v>
      </c>
      <c r="N34">
        <v>0.94397198599299603</v>
      </c>
      <c r="O34">
        <v>0.98619309654827403</v>
      </c>
      <c r="P34">
        <v>0.78820000000000001</v>
      </c>
      <c r="Q34">
        <v>0.88849999999999996</v>
      </c>
      <c r="R34">
        <v>0.94299999999999995</v>
      </c>
      <c r="S34">
        <v>0.98650000000000004</v>
      </c>
      <c r="T34">
        <v>0.79679519278918398</v>
      </c>
      <c r="U34">
        <v>0.90015022533800704</v>
      </c>
      <c r="V34">
        <v>0.94942413620430599</v>
      </c>
      <c r="W34">
        <v>0.991487230846269</v>
      </c>
      <c r="X34">
        <v>0.84103532548322602</v>
      </c>
      <c r="Y34">
        <v>0.91301932903799199</v>
      </c>
      <c r="Z34">
        <v>0.94701177516107504</v>
      </c>
      <c r="AA34">
        <v>0.97100644301266403</v>
      </c>
      <c r="AB34">
        <v>0.80830721003134798</v>
      </c>
      <c r="AC34">
        <v>0.89858934169279003</v>
      </c>
      <c r="AD34">
        <v>0.91927899686520398</v>
      </c>
      <c r="AE34">
        <v>0.95250783699059605</v>
      </c>
    </row>
    <row r="35" spans="1:31" x14ac:dyDescent="0.3">
      <c r="A35" t="s">
        <v>57</v>
      </c>
      <c r="B35">
        <v>30</v>
      </c>
      <c r="C35" t="s">
        <v>66</v>
      </c>
      <c r="D35">
        <v>0.75527426160337596</v>
      </c>
      <c r="E35">
        <v>0.85131605384769904</v>
      </c>
      <c r="F35">
        <v>0.90446051838456898</v>
      </c>
      <c r="G35">
        <v>0.95499296765119501</v>
      </c>
      <c r="H35">
        <v>0.79705499348893105</v>
      </c>
      <c r="I35">
        <v>0.891515576480016</v>
      </c>
      <c r="J35">
        <v>0.93769407993589104</v>
      </c>
      <c r="K35">
        <v>0.97315436241610698</v>
      </c>
      <c r="L35">
        <v>0.79830000000000001</v>
      </c>
      <c r="M35">
        <v>0.8931</v>
      </c>
      <c r="N35">
        <v>0.94569999999999999</v>
      </c>
      <c r="O35">
        <v>0.98850000000000005</v>
      </c>
      <c r="P35">
        <v>0.79890000000000005</v>
      </c>
      <c r="Q35">
        <v>0.89770000000000005</v>
      </c>
      <c r="R35">
        <v>0.95199999999999996</v>
      </c>
      <c r="S35">
        <v>0.99009999999999998</v>
      </c>
      <c r="T35">
        <v>0.80079999999999996</v>
      </c>
      <c r="U35">
        <v>0.90539999999999998</v>
      </c>
      <c r="V35">
        <v>0.94950000000000001</v>
      </c>
      <c r="W35">
        <v>0.98960000000000004</v>
      </c>
      <c r="X35">
        <v>0.80118049083566301</v>
      </c>
      <c r="Y35">
        <v>0.93548721134928003</v>
      </c>
      <c r="Z35">
        <v>0.95381588485036795</v>
      </c>
      <c r="AA35">
        <v>0.98187843015429199</v>
      </c>
      <c r="AB35">
        <v>0.86415552855407096</v>
      </c>
      <c r="AC35">
        <v>0.89356014580801901</v>
      </c>
      <c r="AD35">
        <v>0.94131227217497004</v>
      </c>
      <c r="AE35">
        <v>0.96719319562575901</v>
      </c>
    </row>
    <row r="36" spans="1:31" x14ac:dyDescent="0.3">
      <c r="A36" t="s">
        <v>57</v>
      </c>
      <c r="B36">
        <v>50</v>
      </c>
      <c r="C36" t="s">
        <v>66</v>
      </c>
      <c r="D36">
        <v>0.78936298076923095</v>
      </c>
      <c r="E36">
        <v>0.88040865384615397</v>
      </c>
      <c r="F36">
        <v>0.92628205128205099</v>
      </c>
      <c r="G36">
        <v>0.97035256410256399</v>
      </c>
      <c r="H36">
        <v>0.80120000000000002</v>
      </c>
      <c r="I36">
        <v>0.90080000000000005</v>
      </c>
      <c r="J36">
        <v>0.95189999999999997</v>
      </c>
      <c r="K36">
        <v>0.98629999999999995</v>
      </c>
      <c r="L36">
        <v>0.80130000000000001</v>
      </c>
      <c r="M36">
        <v>0.90159999999999996</v>
      </c>
      <c r="N36">
        <v>0.95</v>
      </c>
      <c r="O36">
        <v>0.99029999999999996</v>
      </c>
      <c r="P36">
        <v>0.79859999999999998</v>
      </c>
      <c r="Q36">
        <v>0.89980000000000004</v>
      </c>
      <c r="R36">
        <v>0.95040000000000002</v>
      </c>
      <c r="S36">
        <v>0.9899</v>
      </c>
      <c r="T36">
        <v>0.79849999999999999</v>
      </c>
      <c r="U36">
        <v>0.89829999999999999</v>
      </c>
      <c r="V36">
        <v>0.94989999999999997</v>
      </c>
      <c r="W36">
        <v>0.98970000000000002</v>
      </c>
      <c r="X36">
        <v>0.785707075804986</v>
      </c>
      <c r="Y36">
        <v>0.91188048854345405</v>
      </c>
      <c r="Z36">
        <v>0.94589684061774504</v>
      </c>
      <c r="AA36">
        <v>0.99364085999798102</v>
      </c>
      <c r="AB36">
        <v>0.87322149076236999</v>
      </c>
      <c r="AC36">
        <v>0.939583775748567</v>
      </c>
      <c r="AD36">
        <v>0.96697812699086905</v>
      </c>
      <c r="AE36">
        <v>0.98258653641962201</v>
      </c>
    </row>
    <row r="37" spans="1:31" x14ac:dyDescent="0.3">
      <c r="A37" t="s">
        <v>31</v>
      </c>
      <c r="B37">
        <v>20</v>
      </c>
      <c r="C37" t="s">
        <v>66</v>
      </c>
      <c r="D37">
        <v>0.77217185652345299</v>
      </c>
      <c r="E37">
        <v>0.85888845092629096</v>
      </c>
      <c r="F37">
        <v>0.89094731309946096</v>
      </c>
      <c r="G37">
        <v>0.93102089081592398</v>
      </c>
      <c r="H37">
        <v>0.82226499839589395</v>
      </c>
      <c r="I37">
        <v>0.891776280611699</v>
      </c>
      <c r="J37">
        <v>0.92877767083734397</v>
      </c>
      <c r="K37">
        <v>0.95444337504010301</v>
      </c>
      <c r="L37">
        <v>0.79134961954345195</v>
      </c>
      <c r="M37">
        <v>0.89817781337605096</v>
      </c>
      <c r="N37">
        <v>0.94763716459751701</v>
      </c>
      <c r="O37">
        <v>0.98938726471766103</v>
      </c>
      <c r="P37">
        <v>0.80189999999999995</v>
      </c>
      <c r="Q37">
        <v>0.90249999999999997</v>
      </c>
      <c r="R37">
        <v>0.95350000000000001</v>
      </c>
      <c r="S37">
        <v>0.98950000000000005</v>
      </c>
      <c r="T37">
        <v>0.81095972750951695</v>
      </c>
      <c r="U37">
        <v>0.90973752754958903</v>
      </c>
      <c r="V37">
        <v>0.95592065718292896</v>
      </c>
      <c r="W37">
        <v>0.98968142656782199</v>
      </c>
      <c r="X37">
        <v>0.82661507040739501</v>
      </c>
      <c r="Y37">
        <v>0.89250779318499396</v>
      </c>
      <c r="Z37">
        <v>0.92808771364076104</v>
      </c>
      <c r="AA37">
        <v>0.95969042244437297</v>
      </c>
      <c r="AB37">
        <v>0.77467018469657001</v>
      </c>
      <c r="AC37">
        <v>0.85237467018469704</v>
      </c>
      <c r="AD37">
        <v>0.88588390501319303</v>
      </c>
      <c r="AE37">
        <v>0.92401055408971</v>
      </c>
    </row>
    <row r="38" spans="1:31" x14ac:dyDescent="0.3">
      <c r="A38" t="s">
        <v>31</v>
      </c>
      <c r="B38">
        <v>30</v>
      </c>
      <c r="C38" t="s">
        <v>66</v>
      </c>
      <c r="D38">
        <v>0.82050987597611402</v>
      </c>
      <c r="E38">
        <v>0.87425355994487797</v>
      </c>
      <c r="F38">
        <v>0.91398713826366595</v>
      </c>
      <c r="G38">
        <v>0.94430408819476297</v>
      </c>
      <c r="H38">
        <v>0.81335651462466796</v>
      </c>
      <c r="I38">
        <v>0.92063816731437897</v>
      </c>
      <c r="J38">
        <v>0.94712620167723505</v>
      </c>
      <c r="K38">
        <v>0.974023317651872</v>
      </c>
      <c r="L38">
        <v>0.80078007800780104</v>
      </c>
      <c r="M38">
        <v>0.90469046904690498</v>
      </c>
      <c r="N38">
        <v>0.94819481948194795</v>
      </c>
      <c r="O38">
        <v>0.99029902990299001</v>
      </c>
      <c r="P38">
        <v>0.79390000000000005</v>
      </c>
      <c r="Q38">
        <v>0.89939999999999998</v>
      </c>
      <c r="R38">
        <v>0.94779999999999998</v>
      </c>
      <c r="S38">
        <v>0.99029999999999996</v>
      </c>
      <c r="T38">
        <v>0.798579857985799</v>
      </c>
      <c r="U38">
        <v>0.89918991899189904</v>
      </c>
      <c r="V38">
        <v>0.94609460946094603</v>
      </c>
      <c r="W38">
        <v>0.99059905990599095</v>
      </c>
      <c r="X38">
        <v>0.81166837256908897</v>
      </c>
      <c r="Y38">
        <v>0.92343909928352097</v>
      </c>
      <c r="Z38">
        <v>0.94923234390992794</v>
      </c>
      <c r="AA38">
        <v>0.97758444216990803</v>
      </c>
      <c r="AB38">
        <v>0.820607600785491</v>
      </c>
      <c r="AC38">
        <v>0.86819914520041597</v>
      </c>
      <c r="AD38">
        <v>0.90989950329213398</v>
      </c>
      <c r="AE38">
        <v>0.94189673096915805</v>
      </c>
    </row>
    <row r="39" spans="1:31" x14ac:dyDescent="0.3">
      <c r="A39" t="s">
        <v>31</v>
      </c>
      <c r="B39">
        <v>50</v>
      </c>
      <c r="C39" t="s">
        <v>66</v>
      </c>
      <c r="D39">
        <v>0.85270992766537401</v>
      </c>
      <c r="E39">
        <v>0.91718209455917799</v>
      </c>
      <c r="F39">
        <v>0.94905126323514</v>
      </c>
      <c r="G39">
        <v>0.97169514624174402</v>
      </c>
      <c r="H39">
        <v>0.78904054596547601</v>
      </c>
      <c r="I39">
        <v>0.91168205539943803</v>
      </c>
      <c r="J39">
        <v>0.95012043356081899</v>
      </c>
      <c r="K39">
        <v>0.99257326374949795</v>
      </c>
      <c r="L39">
        <v>0.80369999999999997</v>
      </c>
      <c r="M39">
        <v>0.9002</v>
      </c>
      <c r="N39">
        <v>0.95179999999999998</v>
      </c>
      <c r="O39">
        <v>0.99099999999999999</v>
      </c>
      <c r="P39">
        <v>0.79969999999999997</v>
      </c>
      <c r="Q39">
        <v>0.89929999999999999</v>
      </c>
      <c r="R39">
        <v>0.95189999999999997</v>
      </c>
      <c r="S39">
        <v>0.99160000000000004</v>
      </c>
      <c r="T39">
        <v>0.7994</v>
      </c>
      <c r="U39">
        <v>0.89859999999999995</v>
      </c>
      <c r="V39">
        <v>0.94810000000000005</v>
      </c>
      <c r="W39">
        <v>0.99099999999999999</v>
      </c>
      <c r="X39">
        <v>0.78701845906902101</v>
      </c>
      <c r="Y39">
        <v>0.90559791332263195</v>
      </c>
      <c r="Z39">
        <v>0.94492375601926204</v>
      </c>
      <c r="AA39">
        <v>0.99157303370786498</v>
      </c>
      <c r="AB39">
        <v>0.85435671594841101</v>
      </c>
      <c r="AC39">
        <v>0.91926182237600895</v>
      </c>
      <c r="AD39">
        <v>0.94851630491768901</v>
      </c>
      <c r="AE39">
        <v>0.97210862954807598</v>
      </c>
    </row>
    <row r="40" spans="1:31" x14ac:dyDescent="0.3">
      <c r="A40" t="s">
        <v>56</v>
      </c>
      <c r="B40">
        <v>20</v>
      </c>
      <c r="C40" t="s">
        <v>84</v>
      </c>
      <c r="D40">
        <v>0.79054968860005403</v>
      </c>
      <c r="E40">
        <v>0.87571080422420799</v>
      </c>
      <c r="F40">
        <v>0.90251827782290805</v>
      </c>
      <c r="G40">
        <v>0.93853235851611205</v>
      </c>
      <c r="H40">
        <v>0.84430407801418395</v>
      </c>
      <c r="I40">
        <v>0.91001773049645396</v>
      </c>
      <c r="J40">
        <v>0.94481382978723405</v>
      </c>
      <c r="K40">
        <v>0.96996897163120599</v>
      </c>
      <c r="L40">
        <v>0.80137055326010298</v>
      </c>
      <c r="M40">
        <v>0.892975914541973</v>
      </c>
      <c r="N40">
        <v>0.95495313917162195</v>
      </c>
      <c r="O40">
        <v>0.99173637004937998</v>
      </c>
      <c r="P40">
        <v>0.76463451622687295</v>
      </c>
      <c r="Q40">
        <v>0.88565362450712803</v>
      </c>
      <c r="R40">
        <v>0.95167323829744199</v>
      </c>
      <c r="S40">
        <v>0.98766555454453497</v>
      </c>
      <c r="T40">
        <v>0.80018369221349095</v>
      </c>
      <c r="U40">
        <v>0.876926216960914</v>
      </c>
      <c r="V40">
        <v>0.95836309827533395</v>
      </c>
      <c r="W40">
        <v>0.99428513113582995</v>
      </c>
      <c r="X40">
        <v>0.84789906239148005</v>
      </c>
      <c r="Y40">
        <v>0.94096538951267505</v>
      </c>
      <c r="Z40">
        <v>0.97638615580507004</v>
      </c>
      <c r="AA40">
        <v>0.98877184859358702</v>
      </c>
      <c r="AB40">
        <v>0.76992519989682795</v>
      </c>
      <c r="AC40">
        <v>0.92700541655919499</v>
      </c>
      <c r="AD40">
        <v>0.93448542687645098</v>
      </c>
      <c r="AE40">
        <v>0.97704410626773297</v>
      </c>
    </row>
    <row r="41" spans="1:31" x14ac:dyDescent="0.3">
      <c r="A41" t="s">
        <v>56</v>
      </c>
      <c r="B41">
        <v>30</v>
      </c>
      <c r="C41" t="s">
        <v>84</v>
      </c>
      <c r="D41">
        <v>0.84053546265852497</v>
      </c>
      <c r="E41">
        <v>0.88492249882574003</v>
      </c>
      <c r="F41">
        <v>0.92320338186942197</v>
      </c>
      <c r="G41">
        <v>0.95361672146547705</v>
      </c>
      <c r="H41">
        <v>0.79700899393432301</v>
      </c>
      <c r="I41">
        <v>0.94185316879313996</v>
      </c>
      <c r="J41">
        <v>0.95869065049152902</v>
      </c>
      <c r="K41">
        <v>0.98368542145994597</v>
      </c>
      <c r="L41">
        <v>0.79885977195439095</v>
      </c>
      <c r="M41">
        <v>0.90788157631526301</v>
      </c>
      <c r="N41">
        <v>0.94518903780756103</v>
      </c>
      <c r="O41">
        <v>0.99109821964392897</v>
      </c>
      <c r="P41">
        <v>0.79474747474747498</v>
      </c>
      <c r="Q41">
        <v>0.89474747474747496</v>
      </c>
      <c r="R41">
        <v>0.95161616161616203</v>
      </c>
      <c r="S41">
        <v>0.98858585858585901</v>
      </c>
      <c r="T41">
        <v>0.79561824729891995</v>
      </c>
      <c r="U41">
        <v>0.90786314525810297</v>
      </c>
      <c r="V41">
        <v>0.94197679071628604</v>
      </c>
      <c r="W41">
        <v>0.98819527811124497</v>
      </c>
      <c r="X41">
        <v>0.78792701039677504</v>
      </c>
      <c r="Y41">
        <v>0.96679397411415202</v>
      </c>
      <c r="Z41">
        <v>0.97050710799915096</v>
      </c>
      <c r="AA41">
        <v>0.99395289624442995</v>
      </c>
      <c r="AB41">
        <v>0.91408415217938999</v>
      </c>
      <c r="AC41">
        <v>0.92151675485008799</v>
      </c>
      <c r="AD41">
        <v>0.97291509196271098</v>
      </c>
      <c r="AE41">
        <v>0.99004787100025204</v>
      </c>
    </row>
    <row r="42" spans="1:31" x14ac:dyDescent="0.3">
      <c r="A42" t="s">
        <v>56</v>
      </c>
      <c r="B42">
        <v>50</v>
      </c>
      <c r="C42" t="s">
        <v>84</v>
      </c>
      <c r="D42">
        <v>0.86157593730141901</v>
      </c>
      <c r="E42">
        <v>0.92808726964626098</v>
      </c>
      <c r="F42">
        <v>0.95880110146155495</v>
      </c>
      <c r="G42">
        <v>0.97871213725905504</v>
      </c>
      <c r="H42">
        <v>0.79268786712578498</v>
      </c>
      <c r="I42">
        <v>0.91351022888393796</v>
      </c>
      <c r="J42">
        <v>0.94885558031192996</v>
      </c>
      <c r="K42">
        <v>0.99351833097022502</v>
      </c>
      <c r="L42">
        <v>0.80320000000000003</v>
      </c>
      <c r="M42">
        <v>0.90180000000000005</v>
      </c>
      <c r="N42">
        <v>0.95379999999999998</v>
      </c>
      <c r="O42">
        <v>0.9889</v>
      </c>
      <c r="P42">
        <v>0.80644187216909902</v>
      </c>
      <c r="Q42">
        <v>0.89803724207347801</v>
      </c>
      <c r="R42">
        <v>0.94453950679416199</v>
      </c>
      <c r="S42">
        <v>0.99204831404126803</v>
      </c>
      <c r="T42">
        <v>0.80259999999999998</v>
      </c>
      <c r="U42">
        <v>0.89710000000000001</v>
      </c>
      <c r="V42">
        <v>0.94799999999999995</v>
      </c>
      <c r="W42">
        <v>0.98460000000000003</v>
      </c>
      <c r="X42">
        <v>0.77271336800244705</v>
      </c>
      <c r="Y42">
        <v>0.90904456000815703</v>
      </c>
      <c r="Z42">
        <v>0.943917609870501</v>
      </c>
      <c r="AA42">
        <v>0.99571734475374696</v>
      </c>
      <c r="AB42">
        <v>0.88368074306080602</v>
      </c>
      <c r="AC42">
        <v>0.95604276919753794</v>
      </c>
      <c r="AD42">
        <v>0.98369154336321396</v>
      </c>
      <c r="AE42">
        <v>0.99416783669942799</v>
      </c>
    </row>
    <row r="43" spans="1:31" x14ac:dyDescent="0.3">
      <c r="A43" t="s">
        <v>57</v>
      </c>
      <c r="B43">
        <v>20</v>
      </c>
      <c r="C43" t="s">
        <v>84</v>
      </c>
      <c r="D43">
        <v>0.74723148048596899</v>
      </c>
      <c r="E43">
        <v>0.82690033329749502</v>
      </c>
      <c r="F43">
        <v>0.87452962047091698</v>
      </c>
      <c r="G43">
        <v>0.92065369315127399</v>
      </c>
      <c r="H43">
        <v>0.79623305391700305</v>
      </c>
      <c r="I43">
        <v>0.87312428852323298</v>
      </c>
      <c r="J43">
        <v>0.91255303735899795</v>
      </c>
      <c r="K43">
        <v>0.94991203559971005</v>
      </c>
      <c r="L43">
        <v>0.79661526136591199</v>
      </c>
      <c r="M43">
        <v>0.89405167234127803</v>
      </c>
      <c r="N43">
        <v>0.94792709793711205</v>
      </c>
      <c r="O43">
        <v>0.98978569997997201</v>
      </c>
      <c r="P43">
        <v>0.77751100440176102</v>
      </c>
      <c r="Q43">
        <v>0.88585434173669497</v>
      </c>
      <c r="R43">
        <v>0.94517807122849096</v>
      </c>
      <c r="S43">
        <v>0.98649459783913596</v>
      </c>
      <c r="T43">
        <v>0.79889224572004003</v>
      </c>
      <c r="U43">
        <v>0.89083585095669704</v>
      </c>
      <c r="V43">
        <v>0.95397784491440096</v>
      </c>
      <c r="W43">
        <v>0.99305135951661605</v>
      </c>
      <c r="X43">
        <v>0.84416628387689496</v>
      </c>
      <c r="Y43">
        <v>0.93063849333945803</v>
      </c>
      <c r="Z43">
        <v>0.96589343132751504</v>
      </c>
      <c r="AA43">
        <v>0.98197060174552098</v>
      </c>
      <c r="AB43">
        <v>0.80105348460291703</v>
      </c>
      <c r="AC43">
        <v>0.91876012965964304</v>
      </c>
      <c r="AD43">
        <v>0.93152350081037305</v>
      </c>
      <c r="AE43">
        <v>0.96799027552674199</v>
      </c>
    </row>
    <row r="44" spans="1:31" x14ac:dyDescent="0.3">
      <c r="A44" t="s">
        <v>57</v>
      </c>
      <c r="B44">
        <v>30</v>
      </c>
      <c r="C44" t="s">
        <v>84</v>
      </c>
      <c r="D44">
        <v>0.77041457286432202</v>
      </c>
      <c r="E44">
        <v>0.84631490787269703</v>
      </c>
      <c r="F44">
        <v>0.88588777219430503</v>
      </c>
      <c r="G44">
        <v>0.927554438860972</v>
      </c>
      <c r="H44">
        <v>0.80800727934485905</v>
      </c>
      <c r="I44">
        <v>0.90273986452330401</v>
      </c>
      <c r="J44">
        <v>0.94095642503285803</v>
      </c>
      <c r="K44">
        <v>0.96997270245677902</v>
      </c>
      <c r="L44">
        <v>0.79697969796979695</v>
      </c>
      <c r="M44">
        <v>0.894389438943894</v>
      </c>
      <c r="N44">
        <v>0.94539453945394503</v>
      </c>
      <c r="O44">
        <v>0.99009900990098998</v>
      </c>
      <c r="P44">
        <v>0.79287572543526097</v>
      </c>
      <c r="Q44">
        <v>0.89993996397838705</v>
      </c>
      <c r="R44">
        <v>0.95067040224134503</v>
      </c>
      <c r="S44">
        <v>0.98949369621773098</v>
      </c>
      <c r="T44">
        <v>0.80028002800279996</v>
      </c>
      <c r="U44">
        <v>0.90949094909490902</v>
      </c>
      <c r="V44">
        <v>0.94659465946594701</v>
      </c>
      <c r="W44">
        <v>0.98819881988198799</v>
      </c>
      <c r="X44">
        <v>0.78303081468974201</v>
      </c>
      <c r="Y44">
        <v>0.95325031658927795</v>
      </c>
      <c r="Z44">
        <v>0.96179822710004204</v>
      </c>
      <c r="AA44">
        <v>0.98913043478260898</v>
      </c>
      <c r="AB44">
        <v>0.89536192024003003</v>
      </c>
      <c r="AC44">
        <v>0.91048881110138802</v>
      </c>
      <c r="AD44">
        <v>0.96337042130266304</v>
      </c>
      <c r="AE44">
        <v>0.98187273409176101</v>
      </c>
    </row>
    <row r="45" spans="1:31" x14ac:dyDescent="0.3">
      <c r="A45" t="s">
        <v>57</v>
      </c>
      <c r="B45">
        <v>50</v>
      </c>
      <c r="C45" t="s">
        <v>84</v>
      </c>
      <c r="D45">
        <v>0.812455479800549</v>
      </c>
      <c r="E45">
        <v>0.88236491299481001</v>
      </c>
      <c r="F45">
        <v>0.92286557443777395</v>
      </c>
      <c r="G45">
        <v>0.95787117126284704</v>
      </c>
      <c r="H45">
        <v>0.80150150150150101</v>
      </c>
      <c r="I45">
        <v>0.90550550550550502</v>
      </c>
      <c r="J45">
        <v>0.95135135135135096</v>
      </c>
      <c r="K45">
        <v>0.988588588588589</v>
      </c>
      <c r="L45">
        <v>0.8024</v>
      </c>
      <c r="M45">
        <v>0.90069999999999995</v>
      </c>
      <c r="N45">
        <v>0.95089999999999997</v>
      </c>
      <c r="O45">
        <v>0.99060000000000004</v>
      </c>
      <c r="P45">
        <v>0.79897989798979896</v>
      </c>
      <c r="Q45">
        <v>0.896989698969897</v>
      </c>
      <c r="R45">
        <v>0.94769476947694797</v>
      </c>
      <c r="S45">
        <v>0.99019901990199</v>
      </c>
      <c r="T45">
        <v>0.80230000000000001</v>
      </c>
      <c r="U45">
        <v>0.89849999999999997</v>
      </c>
      <c r="V45">
        <v>0.95069999999999999</v>
      </c>
      <c r="W45">
        <v>0.98780000000000001</v>
      </c>
      <c r="X45">
        <v>0.77359844214410201</v>
      </c>
      <c r="Y45">
        <v>0.91134570052270203</v>
      </c>
      <c r="Z45">
        <v>0.94537255303884404</v>
      </c>
      <c r="AA45">
        <v>0.99600286973454999</v>
      </c>
      <c r="AB45">
        <v>0.88575413001501802</v>
      </c>
      <c r="AC45">
        <v>0.954194378888651</v>
      </c>
      <c r="AD45">
        <v>0.97908174211542598</v>
      </c>
      <c r="AE45">
        <v>0.99173996996352698</v>
      </c>
    </row>
    <row r="46" spans="1:31" x14ac:dyDescent="0.3">
      <c r="A46" t="s">
        <v>31</v>
      </c>
      <c r="B46">
        <v>20</v>
      </c>
      <c r="C46" t="s">
        <v>84</v>
      </c>
      <c r="D46">
        <v>0.79668508287292805</v>
      </c>
      <c r="E46">
        <v>0.896606156274665</v>
      </c>
      <c r="F46">
        <v>0.91744277821625897</v>
      </c>
      <c r="G46">
        <v>0.95406471981057595</v>
      </c>
      <c r="H46">
        <v>0.83909469654318203</v>
      </c>
      <c r="I46">
        <v>0.91712644972413004</v>
      </c>
      <c r="J46">
        <v>0.95259542844274303</v>
      </c>
      <c r="K46">
        <v>0.97275081634950999</v>
      </c>
      <c r="L46">
        <v>0.79268782643631996</v>
      </c>
      <c r="M46">
        <v>0.89242667738047399</v>
      </c>
      <c r="N46">
        <v>0.95128565689031697</v>
      </c>
      <c r="O46">
        <v>0.99387304138208099</v>
      </c>
      <c r="P46">
        <v>0.78750875788209396</v>
      </c>
      <c r="Q46">
        <v>0.89700730657591798</v>
      </c>
      <c r="R46">
        <v>0.95475928335501903</v>
      </c>
      <c r="S46">
        <v>0.98989090181162998</v>
      </c>
      <c r="T46">
        <v>0.81282025519943701</v>
      </c>
      <c r="U46">
        <v>0.90384808600421995</v>
      </c>
      <c r="V46">
        <v>0.95910780669145002</v>
      </c>
      <c r="W46">
        <v>0.99266552798151297</v>
      </c>
      <c r="X46">
        <v>0.84204634501287401</v>
      </c>
      <c r="Y46">
        <v>0.91648942124706101</v>
      </c>
      <c r="Z46">
        <v>0.95040859733572103</v>
      </c>
      <c r="AA46">
        <v>0.97346915929698896</v>
      </c>
      <c r="AB46">
        <v>0.80196919167857705</v>
      </c>
      <c r="AC46">
        <v>0.89502937906939795</v>
      </c>
      <c r="AD46">
        <v>0.91630935366047295</v>
      </c>
      <c r="AE46">
        <v>0.95188184849928503</v>
      </c>
    </row>
    <row r="47" spans="1:31" x14ac:dyDescent="0.3">
      <c r="A47" t="s">
        <v>31</v>
      </c>
      <c r="B47">
        <v>30</v>
      </c>
      <c r="C47" t="s">
        <v>84</v>
      </c>
      <c r="D47">
        <v>0.86840516720994798</v>
      </c>
      <c r="E47">
        <v>0.897983822286611</v>
      </c>
      <c r="F47">
        <v>0.94579258722685</v>
      </c>
      <c r="G47">
        <v>0.969214052879392</v>
      </c>
      <c r="H47">
        <v>0.79862506610259099</v>
      </c>
      <c r="I47">
        <v>0.94669487043892098</v>
      </c>
      <c r="J47">
        <v>0.96150185087255402</v>
      </c>
      <c r="K47">
        <v>0.98572184029613996</v>
      </c>
      <c r="L47">
        <v>0.79877987798779904</v>
      </c>
      <c r="M47">
        <v>0.909390939093909</v>
      </c>
      <c r="N47">
        <v>0.943294329432943</v>
      </c>
      <c r="O47">
        <v>0.98979897989799004</v>
      </c>
      <c r="P47">
        <v>0.79491287802924104</v>
      </c>
      <c r="Q47">
        <v>0.897356298818346</v>
      </c>
      <c r="R47">
        <v>0.94992990186260795</v>
      </c>
      <c r="S47">
        <v>0.99028640096134601</v>
      </c>
      <c r="T47">
        <v>0.79627962796279605</v>
      </c>
      <c r="U47">
        <v>0.90359035903590401</v>
      </c>
      <c r="V47">
        <v>0.94239423942394196</v>
      </c>
      <c r="W47">
        <v>0.98979897989799004</v>
      </c>
      <c r="X47">
        <v>0.79598242310106704</v>
      </c>
      <c r="Y47">
        <v>0.947792425193555</v>
      </c>
      <c r="Z47">
        <v>0.96024272860431004</v>
      </c>
      <c r="AA47">
        <v>0.98796819418288295</v>
      </c>
      <c r="AB47">
        <v>0.87069280409107497</v>
      </c>
      <c r="AC47">
        <v>0.89699257275051703</v>
      </c>
      <c r="AD47">
        <v>0.945817606234019</v>
      </c>
      <c r="AE47">
        <v>0.96822111286984003</v>
      </c>
    </row>
    <row r="48" spans="1:31" x14ac:dyDescent="0.3">
      <c r="A48" t="s">
        <v>31</v>
      </c>
      <c r="B48">
        <v>50</v>
      </c>
      <c r="C48" t="s">
        <v>84</v>
      </c>
      <c r="D48">
        <v>0.87339880444064899</v>
      </c>
      <c r="E48">
        <v>0.93958155422715595</v>
      </c>
      <c r="F48">
        <v>0.97160546541417603</v>
      </c>
      <c r="G48">
        <v>0.98569598633646505</v>
      </c>
      <c r="H48">
        <v>0.77652601392871801</v>
      </c>
      <c r="I48">
        <v>0.91315034821794305</v>
      </c>
      <c r="J48">
        <v>0.94786972552232696</v>
      </c>
      <c r="K48">
        <v>0.99436706267923003</v>
      </c>
      <c r="L48">
        <v>0.80530000000000002</v>
      </c>
      <c r="M48">
        <v>0.90129999999999999</v>
      </c>
      <c r="N48">
        <v>0.95269999999999999</v>
      </c>
      <c r="O48">
        <v>0.99</v>
      </c>
      <c r="P48">
        <v>0.79691722550295296</v>
      </c>
      <c r="Q48">
        <v>0.89550595535982402</v>
      </c>
      <c r="R48">
        <v>0.94915423881493299</v>
      </c>
      <c r="S48">
        <v>0.99259333400060101</v>
      </c>
      <c r="T48">
        <v>0.80389999999999995</v>
      </c>
      <c r="U48">
        <v>0.89870000000000005</v>
      </c>
      <c r="V48">
        <v>0.94950000000000001</v>
      </c>
      <c r="W48">
        <v>0.98939999999999995</v>
      </c>
      <c r="X48">
        <v>0.77694413464463097</v>
      </c>
      <c r="Y48">
        <v>0.90844570617459197</v>
      </c>
      <c r="Z48">
        <v>0.94251242015613901</v>
      </c>
      <c r="AA48">
        <v>0.99432221433640899</v>
      </c>
      <c r="AB48">
        <v>0.874893071000855</v>
      </c>
      <c r="AC48">
        <v>0.94322070145423398</v>
      </c>
      <c r="AD48">
        <v>0.971343028229256</v>
      </c>
      <c r="AE48">
        <v>0.98716852010265199</v>
      </c>
    </row>
    <row r="49" spans="1:31" x14ac:dyDescent="0.3">
      <c r="A49" t="s">
        <v>56</v>
      </c>
      <c r="B49">
        <v>20</v>
      </c>
      <c r="C49" t="s">
        <v>85</v>
      </c>
      <c r="D49">
        <v>0.73450000000000004</v>
      </c>
      <c r="E49">
        <v>0.80730000000000002</v>
      </c>
      <c r="F49">
        <v>0.84060000000000001</v>
      </c>
      <c r="G49">
        <v>0.87439999999999996</v>
      </c>
      <c r="H49">
        <v>0.81</v>
      </c>
      <c r="I49">
        <v>0.87270000000000003</v>
      </c>
      <c r="J49">
        <v>0.90400000000000003</v>
      </c>
      <c r="K49">
        <v>0.93310000000000004</v>
      </c>
      <c r="L49">
        <v>0.84930000000000005</v>
      </c>
      <c r="M49">
        <v>0.93679999999999997</v>
      </c>
      <c r="N49">
        <v>0.9728</v>
      </c>
      <c r="O49">
        <v>0.99419999999999997</v>
      </c>
      <c r="P49">
        <v>0.85440000000000005</v>
      </c>
      <c r="Q49">
        <v>0.93510000000000004</v>
      </c>
      <c r="R49">
        <v>0.97260000000000002</v>
      </c>
      <c r="S49">
        <v>0.99709999999999999</v>
      </c>
      <c r="T49">
        <v>0.84658465846584696</v>
      </c>
      <c r="U49">
        <v>0.93639363936393605</v>
      </c>
      <c r="V49">
        <v>0.968696869686969</v>
      </c>
      <c r="W49">
        <v>0.99359935993599402</v>
      </c>
      <c r="X49">
        <v>0.81942903258347599</v>
      </c>
      <c r="Y49">
        <v>0.86230202764047204</v>
      </c>
      <c r="Z49">
        <v>0.87592050842328295</v>
      </c>
      <c r="AA49">
        <v>0.89216180772722697</v>
      </c>
      <c r="AB49">
        <v>0.55893205990883399</v>
      </c>
      <c r="AC49">
        <v>0.62133709572389795</v>
      </c>
      <c r="AD49">
        <v>0.64076405469937003</v>
      </c>
      <c r="AE49">
        <v>0.65313653136531402</v>
      </c>
    </row>
    <row r="50" spans="1:31" x14ac:dyDescent="0.3">
      <c r="A50" t="s">
        <v>56</v>
      </c>
      <c r="B50">
        <v>30</v>
      </c>
      <c r="C50" t="s">
        <v>85</v>
      </c>
      <c r="D50">
        <v>0.77439999999999998</v>
      </c>
      <c r="E50">
        <v>0.8488</v>
      </c>
      <c r="F50">
        <v>0.88239999999999996</v>
      </c>
      <c r="G50">
        <v>0.91669999999999996</v>
      </c>
      <c r="H50">
        <v>0.83289999999999997</v>
      </c>
      <c r="I50">
        <v>0.90559999999999996</v>
      </c>
      <c r="J50">
        <v>0.93910000000000005</v>
      </c>
      <c r="K50">
        <v>0.96689999999999998</v>
      </c>
      <c r="L50">
        <v>0.84150000000000003</v>
      </c>
      <c r="M50">
        <v>0.93110000000000004</v>
      </c>
      <c r="N50">
        <v>0.96970000000000001</v>
      </c>
      <c r="O50">
        <v>0.99590000000000001</v>
      </c>
      <c r="P50">
        <v>0.83589999999999998</v>
      </c>
      <c r="Q50">
        <v>0.92510000000000003</v>
      </c>
      <c r="R50">
        <v>0.96609999999999996</v>
      </c>
      <c r="S50">
        <v>0.99670000000000003</v>
      </c>
      <c r="T50">
        <v>0.8357</v>
      </c>
      <c r="U50">
        <v>0.92869999999999997</v>
      </c>
      <c r="V50">
        <v>0.97070000000000001</v>
      </c>
      <c r="W50">
        <v>0.99509999999999998</v>
      </c>
      <c r="X50">
        <v>0.87702689092557196</v>
      </c>
      <c r="Y50">
        <v>0.92315439621311302</v>
      </c>
      <c r="Z50">
        <v>0.94370027193070805</v>
      </c>
      <c r="AA50">
        <v>0.95769966764024606</v>
      </c>
      <c r="AB50">
        <v>0.72809999999999997</v>
      </c>
      <c r="AC50">
        <v>0.77759999999999996</v>
      </c>
      <c r="AD50">
        <v>0.79</v>
      </c>
      <c r="AE50">
        <v>0.80520000000000003</v>
      </c>
    </row>
    <row r="51" spans="1:31" x14ac:dyDescent="0.3">
      <c r="A51" t="s">
        <v>56</v>
      </c>
      <c r="B51">
        <v>50</v>
      </c>
      <c r="C51" t="s">
        <v>85</v>
      </c>
      <c r="D51">
        <v>0.8105</v>
      </c>
      <c r="E51">
        <v>0.88759999999999994</v>
      </c>
      <c r="F51">
        <v>0.92410000000000003</v>
      </c>
      <c r="G51">
        <v>0.95820000000000005</v>
      </c>
      <c r="H51">
        <v>0.83099999999999996</v>
      </c>
      <c r="I51">
        <v>0.92079999999999995</v>
      </c>
      <c r="J51">
        <v>0.96240000000000003</v>
      </c>
      <c r="K51">
        <v>0.99009999999999998</v>
      </c>
      <c r="L51">
        <v>0.82750000000000001</v>
      </c>
      <c r="M51">
        <v>0.9214</v>
      </c>
      <c r="N51">
        <v>0.96530000000000005</v>
      </c>
      <c r="O51">
        <v>0.99350000000000005</v>
      </c>
      <c r="P51">
        <v>0.83599999999999997</v>
      </c>
      <c r="Q51">
        <v>0.92420000000000002</v>
      </c>
      <c r="R51">
        <v>0.96630000000000005</v>
      </c>
      <c r="S51">
        <v>0.99380000000000002</v>
      </c>
      <c r="T51">
        <v>0.82030000000000003</v>
      </c>
      <c r="U51">
        <v>0.91490000000000005</v>
      </c>
      <c r="V51">
        <v>0.95979999999999999</v>
      </c>
      <c r="W51">
        <v>0.99260000000000004</v>
      </c>
      <c r="X51">
        <v>0.82514044943820197</v>
      </c>
      <c r="Y51">
        <v>0.92766853932584303</v>
      </c>
      <c r="Z51">
        <v>0.95906902086677404</v>
      </c>
      <c r="AA51">
        <v>0.99217495987158899</v>
      </c>
      <c r="AB51">
        <v>0.82850000000000001</v>
      </c>
      <c r="AC51">
        <v>0.88490000000000002</v>
      </c>
      <c r="AD51">
        <v>0.91020000000000001</v>
      </c>
      <c r="AE51">
        <v>0.92520000000000002</v>
      </c>
    </row>
    <row r="52" spans="1:31" x14ac:dyDescent="0.3">
      <c r="A52" t="s">
        <v>57</v>
      </c>
      <c r="B52">
        <v>20</v>
      </c>
      <c r="C52" t="s">
        <v>85</v>
      </c>
      <c r="D52">
        <v>0.439</v>
      </c>
      <c r="E52">
        <v>0.60640000000000005</v>
      </c>
      <c r="F52">
        <v>0.74370000000000003</v>
      </c>
      <c r="G52">
        <v>0.94569999999999999</v>
      </c>
      <c r="H52">
        <v>0.75739999999999996</v>
      </c>
      <c r="I52">
        <v>0.86950000000000005</v>
      </c>
      <c r="J52">
        <v>0.93230000000000002</v>
      </c>
      <c r="K52">
        <v>0.98699999999999999</v>
      </c>
      <c r="L52">
        <v>0.84189999999999998</v>
      </c>
      <c r="M52">
        <v>0.92630000000000001</v>
      </c>
      <c r="N52">
        <v>0.96599999999999997</v>
      </c>
      <c r="O52">
        <v>0.99299999999999999</v>
      </c>
      <c r="P52">
        <v>0.83889999999999998</v>
      </c>
      <c r="Q52">
        <v>0.92630000000000001</v>
      </c>
      <c r="R52">
        <v>0.9657</v>
      </c>
      <c r="S52">
        <v>0.99550000000000005</v>
      </c>
      <c r="T52">
        <v>0.84609999999999996</v>
      </c>
      <c r="U52">
        <v>0.9355</v>
      </c>
      <c r="V52">
        <v>0.97089999999999999</v>
      </c>
      <c r="W52">
        <v>0.99390000000000001</v>
      </c>
      <c r="X52">
        <v>0.80579999999999996</v>
      </c>
      <c r="Y52">
        <v>0.86029999999999995</v>
      </c>
      <c r="Z52">
        <v>0.88360000000000005</v>
      </c>
      <c r="AA52">
        <v>0.90480000000000005</v>
      </c>
      <c r="AB52">
        <v>0.62263961430293302</v>
      </c>
      <c r="AC52">
        <v>0.67918842908798704</v>
      </c>
      <c r="AD52">
        <v>0.70249096022499002</v>
      </c>
      <c r="AE52">
        <v>0.72418642024909596</v>
      </c>
    </row>
    <row r="53" spans="1:31" x14ac:dyDescent="0.3">
      <c r="A53" t="s">
        <v>57</v>
      </c>
      <c r="B53">
        <v>30</v>
      </c>
      <c r="C53" t="s">
        <v>85</v>
      </c>
      <c r="D53">
        <v>0.45900000000000002</v>
      </c>
      <c r="E53">
        <v>0.60980000000000001</v>
      </c>
      <c r="F53">
        <v>0.73750000000000004</v>
      </c>
      <c r="G53">
        <v>0.91269999999999996</v>
      </c>
      <c r="H53">
        <v>0.77490000000000003</v>
      </c>
      <c r="I53">
        <v>0.88139999999999996</v>
      </c>
      <c r="J53">
        <v>0.93659999999999999</v>
      </c>
      <c r="K53">
        <v>0.9879</v>
      </c>
      <c r="L53">
        <v>0.83499999999999996</v>
      </c>
      <c r="M53">
        <v>0.91830000000000001</v>
      </c>
      <c r="N53">
        <v>0.96399999999999997</v>
      </c>
      <c r="O53">
        <v>0.99360000000000004</v>
      </c>
      <c r="P53">
        <v>0.83520000000000005</v>
      </c>
      <c r="Q53">
        <v>0.92579999999999996</v>
      </c>
      <c r="R53">
        <v>0.96489999999999998</v>
      </c>
      <c r="S53">
        <v>0.995</v>
      </c>
      <c r="T53">
        <v>0.84099999999999997</v>
      </c>
      <c r="U53">
        <v>0.93</v>
      </c>
      <c r="V53">
        <v>0.96970000000000001</v>
      </c>
      <c r="W53">
        <v>0.99570000000000003</v>
      </c>
      <c r="X53">
        <v>0.85429999999999995</v>
      </c>
      <c r="Y53">
        <v>0.91339999999999999</v>
      </c>
      <c r="Z53">
        <v>0.93969999999999998</v>
      </c>
      <c r="AA53">
        <v>0.96060000000000001</v>
      </c>
      <c r="AB53">
        <v>0.72360000000000002</v>
      </c>
      <c r="AC53">
        <v>0.78100000000000003</v>
      </c>
      <c r="AD53">
        <v>0.80249999999999999</v>
      </c>
      <c r="AE53">
        <v>0.82509999999999994</v>
      </c>
    </row>
    <row r="54" spans="1:31" x14ac:dyDescent="0.3">
      <c r="A54" t="s">
        <v>57</v>
      </c>
      <c r="B54">
        <v>50</v>
      </c>
      <c r="C54" t="s">
        <v>85</v>
      </c>
      <c r="D54">
        <v>0.497</v>
      </c>
      <c r="E54">
        <v>0.64549999999999996</v>
      </c>
      <c r="F54">
        <v>0.75490000000000002</v>
      </c>
      <c r="G54">
        <v>0.9113</v>
      </c>
      <c r="H54">
        <v>0.79520000000000002</v>
      </c>
      <c r="I54">
        <v>0.89680000000000004</v>
      </c>
      <c r="J54">
        <v>0.94950000000000001</v>
      </c>
      <c r="K54">
        <v>0.99070000000000003</v>
      </c>
      <c r="L54">
        <v>0.82410000000000005</v>
      </c>
      <c r="M54">
        <v>0.91539999999999999</v>
      </c>
      <c r="N54">
        <v>0.96179999999999999</v>
      </c>
      <c r="O54">
        <v>0.99350000000000005</v>
      </c>
      <c r="P54">
        <v>0.82330000000000003</v>
      </c>
      <c r="Q54">
        <v>0.91869999999999996</v>
      </c>
      <c r="R54">
        <v>0.96099999999999997</v>
      </c>
      <c r="S54">
        <v>0.99270000000000003</v>
      </c>
      <c r="T54">
        <v>0.82350000000000001</v>
      </c>
      <c r="U54">
        <v>0.91700000000000004</v>
      </c>
      <c r="V54">
        <v>0.96299999999999997</v>
      </c>
      <c r="W54">
        <v>0.99380000000000002</v>
      </c>
      <c r="X54">
        <v>0.81520000000000004</v>
      </c>
      <c r="Y54">
        <v>0.92100000000000004</v>
      </c>
      <c r="Z54">
        <v>0.95909999999999995</v>
      </c>
      <c r="AA54">
        <v>0.98929999999999996</v>
      </c>
      <c r="AB54">
        <v>0.83220000000000005</v>
      </c>
      <c r="AC54">
        <v>0.88800000000000001</v>
      </c>
      <c r="AD54">
        <v>0.9133</v>
      </c>
      <c r="AE54">
        <v>0.93300000000000005</v>
      </c>
    </row>
    <row r="55" spans="1:31" x14ac:dyDescent="0.3">
      <c r="A55" t="s">
        <v>31</v>
      </c>
      <c r="B55">
        <v>20</v>
      </c>
      <c r="C55" t="s">
        <v>85</v>
      </c>
      <c r="D55">
        <v>0.67230000000000001</v>
      </c>
      <c r="E55">
        <v>0.73850000000000005</v>
      </c>
      <c r="F55">
        <v>0.77259999999999995</v>
      </c>
      <c r="G55">
        <v>0.80959999999999999</v>
      </c>
      <c r="H55">
        <v>0.8034</v>
      </c>
      <c r="I55">
        <v>0.86890000000000001</v>
      </c>
      <c r="J55">
        <v>0.90039999999999998</v>
      </c>
      <c r="K55">
        <v>0.93169999999999997</v>
      </c>
      <c r="L55">
        <v>0.84399999999999997</v>
      </c>
      <c r="M55">
        <v>0.93120000000000003</v>
      </c>
      <c r="N55">
        <v>0.97070000000000001</v>
      </c>
      <c r="O55">
        <v>0.99270000000000003</v>
      </c>
      <c r="P55">
        <v>0.85840000000000005</v>
      </c>
      <c r="Q55">
        <v>0.9405</v>
      </c>
      <c r="R55">
        <v>0.97609999999999997</v>
      </c>
      <c r="S55">
        <v>0.99739999999999995</v>
      </c>
      <c r="T55">
        <v>0.85940000000000005</v>
      </c>
      <c r="U55">
        <v>0.94159999999999999</v>
      </c>
      <c r="V55">
        <v>0.97430000000000005</v>
      </c>
      <c r="W55">
        <v>0.99309999999999998</v>
      </c>
      <c r="X55">
        <v>0.8024</v>
      </c>
      <c r="Y55">
        <v>0.86909999999999998</v>
      </c>
      <c r="Z55">
        <v>0.89900000000000002</v>
      </c>
      <c r="AA55">
        <v>0.92730000000000001</v>
      </c>
      <c r="AB55">
        <v>0.6673</v>
      </c>
      <c r="AC55">
        <v>0.73450000000000004</v>
      </c>
      <c r="AD55">
        <v>0.77090000000000003</v>
      </c>
      <c r="AE55">
        <v>0.80479999999999996</v>
      </c>
    </row>
    <row r="56" spans="1:31" x14ac:dyDescent="0.3">
      <c r="A56" t="s">
        <v>31</v>
      </c>
      <c r="B56">
        <v>30</v>
      </c>
      <c r="C56" t="s">
        <v>85</v>
      </c>
      <c r="D56">
        <v>0.74339999999999995</v>
      </c>
      <c r="E56">
        <v>0.81279999999999997</v>
      </c>
      <c r="F56">
        <v>0.84340000000000004</v>
      </c>
      <c r="G56">
        <v>0.87570000000000003</v>
      </c>
      <c r="H56">
        <v>0.84060000000000001</v>
      </c>
      <c r="I56">
        <v>0.90920000000000001</v>
      </c>
      <c r="J56">
        <v>0.93810000000000004</v>
      </c>
      <c r="K56">
        <v>0.9647</v>
      </c>
      <c r="L56">
        <v>0.84250000000000003</v>
      </c>
      <c r="M56">
        <v>0.92879999999999996</v>
      </c>
      <c r="N56">
        <v>0.97009999999999996</v>
      </c>
      <c r="O56">
        <v>0.99539999999999995</v>
      </c>
      <c r="P56">
        <v>0.83550000000000002</v>
      </c>
      <c r="Q56">
        <v>0.92669999999999997</v>
      </c>
      <c r="R56">
        <v>0.96840000000000004</v>
      </c>
      <c r="S56">
        <v>0.99519999999999997</v>
      </c>
      <c r="T56">
        <v>0.8387</v>
      </c>
      <c r="U56">
        <v>0.92530000000000001</v>
      </c>
      <c r="V56">
        <v>0.96589999999999998</v>
      </c>
      <c r="W56">
        <v>0.99519999999999997</v>
      </c>
      <c r="X56">
        <v>0.84350000000000003</v>
      </c>
      <c r="Y56">
        <v>0.90810000000000002</v>
      </c>
      <c r="Z56">
        <v>0.94010000000000005</v>
      </c>
      <c r="AA56">
        <v>0.96479999999999999</v>
      </c>
      <c r="AB56">
        <v>0.7409</v>
      </c>
      <c r="AC56">
        <v>0.80389999999999995</v>
      </c>
      <c r="AD56">
        <v>0.83889999999999998</v>
      </c>
      <c r="AE56">
        <v>0.87090000000000001</v>
      </c>
    </row>
    <row r="57" spans="1:31" x14ac:dyDescent="0.3">
      <c r="A57" t="s">
        <v>31</v>
      </c>
      <c r="B57">
        <v>50</v>
      </c>
      <c r="C57" t="s">
        <v>85</v>
      </c>
      <c r="D57">
        <v>0.81710000000000005</v>
      </c>
      <c r="E57">
        <v>0.88290000000000002</v>
      </c>
      <c r="F57">
        <v>0.91449999999999998</v>
      </c>
      <c r="G57">
        <v>0.94299999999999995</v>
      </c>
      <c r="H57">
        <v>0.81940000000000002</v>
      </c>
      <c r="I57">
        <v>0.92179999999999995</v>
      </c>
      <c r="J57">
        <v>0.96399999999999997</v>
      </c>
      <c r="K57">
        <v>0.98939999999999995</v>
      </c>
      <c r="L57">
        <v>0.82940000000000003</v>
      </c>
      <c r="M57">
        <v>0.91890000000000005</v>
      </c>
      <c r="N57">
        <v>0.9627</v>
      </c>
      <c r="O57">
        <v>0.99480000000000002</v>
      </c>
      <c r="P57">
        <v>0.82779999999999998</v>
      </c>
      <c r="Q57">
        <v>0.92110000000000003</v>
      </c>
      <c r="R57">
        <v>0.96419999999999995</v>
      </c>
      <c r="S57">
        <v>0.99380000000000002</v>
      </c>
      <c r="T57">
        <v>0.82589999999999997</v>
      </c>
      <c r="U57">
        <v>0.91759999999999997</v>
      </c>
      <c r="V57">
        <v>0.96240000000000003</v>
      </c>
      <c r="W57">
        <v>0.99419999999999997</v>
      </c>
      <c r="X57">
        <v>0.81459999999999999</v>
      </c>
      <c r="Y57">
        <v>0.91559999999999997</v>
      </c>
      <c r="Z57">
        <v>0.96</v>
      </c>
      <c r="AA57">
        <v>0.98950000000000005</v>
      </c>
      <c r="AB57">
        <v>0.81659999999999999</v>
      </c>
      <c r="AC57">
        <v>0.8831</v>
      </c>
      <c r="AD57">
        <v>0.9143</v>
      </c>
      <c r="AE57">
        <v>0.94079999999999997</v>
      </c>
    </row>
    <row r="58" spans="1:31" x14ac:dyDescent="0.3">
      <c r="A58" t="s">
        <v>56</v>
      </c>
      <c r="B58">
        <v>20</v>
      </c>
      <c r="C58" t="s">
        <v>72</v>
      </c>
      <c r="D58">
        <v>0.66600000000000004</v>
      </c>
      <c r="E58">
        <v>0.72089999999999999</v>
      </c>
      <c r="F58">
        <v>0.74880000000000002</v>
      </c>
      <c r="G58">
        <v>0.77349999999999997</v>
      </c>
      <c r="H58">
        <v>0.8095</v>
      </c>
      <c r="I58">
        <v>0.85860000000000003</v>
      </c>
      <c r="J58">
        <v>0.88139999999999996</v>
      </c>
      <c r="K58">
        <v>0.90459999999999996</v>
      </c>
      <c r="L58">
        <v>0.84748474847484701</v>
      </c>
      <c r="M58">
        <v>0.93959395939594004</v>
      </c>
      <c r="N58">
        <v>0.96879687968796901</v>
      </c>
      <c r="O58">
        <v>0.99449944994499495</v>
      </c>
      <c r="P58">
        <v>0.86415056562218395</v>
      </c>
      <c r="Q58">
        <v>0.94223646010611695</v>
      </c>
      <c r="R58">
        <v>0.96876564220642702</v>
      </c>
      <c r="S58">
        <v>0.99769746721393504</v>
      </c>
      <c r="T58">
        <v>0.84900515099484897</v>
      </c>
      <c r="U58">
        <v>0.93707706292293702</v>
      </c>
      <c r="V58">
        <v>0.96374103625896401</v>
      </c>
      <c r="W58">
        <v>0.994647005352995</v>
      </c>
      <c r="X58">
        <v>0.82416231171226595</v>
      </c>
      <c r="Y58">
        <v>0.86156368480377099</v>
      </c>
      <c r="Z58">
        <v>0.86986371554462505</v>
      </c>
      <c r="AA58">
        <v>0.88226252689824802</v>
      </c>
      <c r="AB58">
        <v>0.480492307692308</v>
      </c>
      <c r="AC58">
        <v>0.55409230769230799</v>
      </c>
      <c r="AD58">
        <v>0.57390769230769201</v>
      </c>
      <c r="AE58">
        <v>0.58301538461538505</v>
      </c>
    </row>
    <row r="59" spans="1:31" x14ac:dyDescent="0.3">
      <c r="A59" t="s">
        <v>56</v>
      </c>
      <c r="B59">
        <v>30</v>
      </c>
      <c r="C59" t="s">
        <v>72</v>
      </c>
      <c r="D59">
        <v>0.74180000000000001</v>
      </c>
      <c r="E59">
        <v>0.8</v>
      </c>
      <c r="F59">
        <v>0.82940000000000003</v>
      </c>
      <c r="G59">
        <v>0.85429999999999995</v>
      </c>
      <c r="H59">
        <v>0.85089999999999999</v>
      </c>
      <c r="I59">
        <v>0.9123</v>
      </c>
      <c r="J59">
        <v>0.93969999999999998</v>
      </c>
      <c r="K59">
        <v>0.95760000000000001</v>
      </c>
      <c r="L59">
        <v>0.84079999999999999</v>
      </c>
      <c r="M59">
        <v>0.93030000000000002</v>
      </c>
      <c r="N59">
        <v>0.97350000000000003</v>
      </c>
      <c r="O59">
        <v>0.99590000000000001</v>
      </c>
      <c r="P59">
        <v>0.82709625775465301</v>
      </c>
      <c r="Q59">
        <v>0.91895137082249301</v>
      </c>
      <c r="R59">
        <v>0.963478086852111</v>
      </c>
      <c r="S59">
        <v>0.99609765859515698</v>
      </c>
      <c r="T59">
        <v>0.83779999999999999</v>
      </c>
      <c r="U59">
        <v>0.9325</v>
      </c>
      <c r="V59">
        <v>0.97540000000000004</v>
      </c>
      <c r="W59">
        <v>0.99519999999999997</v>
      </c>
      <c r="X59">
        <v>0.88244290375203904</v>
      </c>
      <c r="Y59">
        <v>0.927304241435563</v>
      </c>
      <c r="Z59">
        <v>0.94626835236541595</v>
      </c>
      <c r="AA59">
        <v>0.95544453507340898</v>
      </c>
      <c r="AB59">
        <v>0.72719999999999996</v>
      </c>
      <c r="AC59">
        <v>0.7732</v>
      </c>
      <c r="AD59">
        <v>0.77949999999999997</v>
      </c>
      <c r="AE59">
        <v>0.79320000000000002</v>
      </c>
    </row>
    <row r="60" spans="1:31" x14ac:dyDescent="0.3">
      <c r="A60" t="s">
        <v>56</v>
      </c>
      <c r="B60">
        <v>50</v>
      </c>
      <c r="C60" t="s">
        <v>72</v>
      </c>
      <c r="D60">
        <v>0.82440000000000002</v>
      </c>
      <c r="E60">
        <v>0.88390000000000002</v>
      </c>
      <c r="F60">
        <v>0.91100000000000003</v>
      </c>
      <c r="G60">
        <v>0.93520000000000003</v>
      </c>
      <c r="H60">
        <v>0.82899999999999996</v>
      </c>
      <c r="I60">
        <v>0.92530000000000001</v>
      </c>
      <c r="J60">
        <v>0.9627</v>
      </c>
      <c r="K60">
        <v>0.99180000000000001</v>
      </c>
      <c r="L60">
        <v>0.82079999999999997</v>
      </c>
      <c r="M60">
        <v>0.92130000000000001</v>
      </c>
      <c r="N60">
        <v>0.96419999999999995</v>
      </c>
      <c r="O60">
        <v>0.99470000000000003</v>
      </c>
      <c r="P60">
        <v>0.831015507753877</v>
      </c>
      <c r="Q60">
        <v>0.92816408204102097</v>
      </c>
      <c r="R60">
        <v>0.96688344172086005</v>
      </c>
      <c r="S60">
        <v>0.99379689844922503</v>
      </c>
      <c r="T60">
        <v>0.81479999999999997</v>
      </c>
      <c r="U60">
        <v>0.9173</v>
      </c>
      <c r="V60">
        <v>0.96150000000000002</v>
      </c>
      <c r="W60">
        <v>0.9929</v>
      </c>
      <c r="X60">
        <v>0.82539843670693303</v>
      </c>
      <c r="Y60">
        <v>0.93421987615470503</v>
      </c>
      <c r="Z60">
        <v>0.95584204649274196</v>
      </c>
      <c r="AA60">
        <v>0.99208202212973295</v>
      </c>
      <c r="AB60">
        <v>0.82410000000000005</v>
      </c>
      <c r="AC60">
        <v>0.88600000000000001</v>
      </c>
      <c r="AD60">
        <v>0.91080000000000005</v>
      </c>
      <c r="AE60">
        <v>0.92179999999999995</v>
      </c>
    </row>
    <row r="61" spans="1:31" x14ac:dyDescent="0.3">
      <c r="A61" t="s">
        <v>57</v>
      </c>
      <c r="B61">
        <v>20</v>
      </c>
      <c r="C61" t="s">
        <v>72</v>
      </c>
      <c r="D61">
        <v>0.75549999999999995</v>
      </c>
      <c r="E61">
        <v>0.86250000000000004</v>
      </c>
      <c r="F61">
        <v>0.91749999999999998</v>
      </c>
      <c r="G61">
        <v>0.96120000000000005</v>
      </c>
      <c r="H61">
        <v>0.82909999999999995</v>
      </c>
      <c r="I61">
        <v>0.90390000000000004</v>
      </c>
      <c r="J61">
        <v>0.93740000000000001</v>
      </c>
      <c r="K61">
        <v>0.96419999999999995</v>
      </c>
      <c r="L61">
        <v>0.84160000000000001</v>
      </c>
      <c r="M61">
        <v>0.9304</v>
      </c>
      <c r="N61">
        <v>0.9698</v>
      </c>
      <c r="O61">
        <v>0.99280000000000002</v>
      </c>
      <c r="P61">
        <v>0.84089999999999998</v>
      </c>
      <c r="Q61">
        <v>0.93100000000000005</v>
      </c>
      <c r="R61">
        <v>0.96889999999999998</v>
      </c>
      <c r="S61">
        <v>0.99509999999999998</v>
      </c>
      <c r="T61">
        <v>0.84645393618085396</v>
      </c>
      <c r="U61">
        <v>0.93848154446333898</v>
      </c>
      <c r="V61">
        <v>0.96879063719115699</v>
      </c>
      <c r="W61">
        <v>0.99489846954086203</v>
      </c>
      <c r="X61">
        <v>0.81448192284387</v>
      </c>
      <c r="Y61">
        <v>0.85821046253282196</v>
      </c>
      <c r="Z61">
        <v>0.87224803070086898</v>
      </c>
      <c r="AA61">
        <v>0.88901232074328396</v>
      </c>
      <c r="AB61">
        <v>0.56928356928356905</v>
      </c>
      <c r="AC61">
        <v>0.62816387816387798</v>
      </c>
      <c r="AD61">
        <v>0.64800514800514797</v>
      </c>
      <c r="AE61">
        <v>0.66066066066066098</v>
      </c>
    </row>
    <row r="62" spans="1:31" x14ac:dyDescent="0.3">
      <c r="A62" t="s">
        <v>57</v>
      </c>
      <c r="B62">
        <v>30</v>
      </c>
      <c r="C62" t="s">
        <v>72</v>
      </c>
      <c r="D62">
        <v>0.78790000000000004</v>
      </c>
      <c r="E62">
        <v>0.87939999999999996</v>
      </c>
      <c r="F62">
        <v>0.92530000000000001</v>
      </c>
      <c r="G62">
        <v>0.96460000000000001</v>
      </c>
      <c r="H62">
        <v>0.83209999999999995</v>
      </c>
      <c r="I62">
        <v>0.91849999999999998</v>
      </c>
      <c r="J62">
        <v>0.95250000000000001</v>
      </c>
      <c r="K62">
        <v>0.97870000000000001</v>
      </c>
      <c r="L62">
        <v>0.83240000000000003</v>
      </c>
      <c r="M62">
        <v>0.92030000000000001</v>
      </c>
      <c r="N62">
        <v>0.96579999999999999</v>
      </c>
      <c r="O62">
        <v>0.99380000000000002</v>
      </c>
      <c r="P62">
        <v>0.83489999999999998</v>
      </c>
      <c r="Q62">
        <v>0.92689999999999995</v>
      </c>
      <c r="R62">
        <v>0.96760000000000002</v>
      </c>
      <c r="S62">
        <v>0.99509999999999998</v>
      </c>
      <c r="T62">
        <v>0.83840000000000003</v>
      </c>
      <c r="U62">
        <v>0.93130000000000002</v>
      </c>
      <c r="V62">
        <v>0.97170000000000001</v>
      </c>
      <c r="W62">
        <v>0.99570000000000003</v>
      </c>
      <c r="X62">
        <v>0.87001610954490505</v>
      </c>
      <c r="Y62">
        <v>0.91945227547321795</v>
      </c>
      <c r="Z62">
        <v>0.94341522351993601</v>
      </c>
      <c r="AA62">
        <v>0.95710833668948803</v>
      </c>
      <c r="AB62">
        <v>0.72099999999999997</v>
      </c>
      <c r="AC62">
        <v>0.77049999999999996</v>
      </c>
      <c r="AD62">
        <v>0.78239999999999998</v>
      </c>
      <c r="AE62">
        <v>0.8004</v>
      </c>
    </row>
    <row r="63" spans="1:31" x14ac:dyDescent="0.3">
      <c r="A63" t="s">
        <v>57</v>
      </c>
      <c r="B63">
        <v>50</v>
      </c>
      <c r="C63" t="s">
        <v>72</v>
      </c>
      <c r="D63">
        <v>0.81230000000000002</v>
      </c>
      <c r="E63">
        <v>0.8972</v>
      </c>
      <c r="F63">
        <v>0.94</v>
      </c>
      <c r="G63">
        <v>0.9738</v>
      </c>
      <c r="H63">
        <v>0.82630000000000003</v>
      </c>
      <c r="I63">
        <v>0.92120000000000002</v>
      </c>
      <c r="J63">
        <v>0.96319999999999995</v>
      </c>
      <c r="K63">
        <v>0.98929999999999996</v>
      </c>
      <c r="L63">
        <v>0.82599999999999996</v>
      </c>
      <c r="M63">
        <v>0.91949999999999998</v>
      </c>
      <c r="N63">
        <v>0.9637</v>
      </c>
      <c r="O63">
        <v>0.99380000000000002</v>
      </c>
      <c r="P63">
        <v>0.82489999999999997</v>
      </c>
      <c r="Q63">
        <v>0.92</v>
      </c>
      <c r="R63">
        <v>0.96160000000000001</v>
      </c>
      <c r="S63">
        <v>0.99409999999999998</v>
      </c>
      <c r="T63">
        <v>0.82140000000000002</v>
      </c>
      <c r="U63">
        <v>0.91839999999999999</v>
      </c>
      <c r="V63">
        <v>0.96399999999999997</v>
      </c>
      <c r="W63">
        <v>0.99450000000000005</v>
      </c>
      <c r="X63">
        <v>0.81533206068522102</v>
      </c>
      <c r="Y63">
        <v>0.92755952979001299</v>
      </c>
      <c r="Z63">
        <v>0.95719883452225496</v>
      </c>
      <c r="AA63">
        <v>0.99085702803174902</v>
      </c>
      <c r="AB63">
        <v>0.83379999999999999</v>
      </c>
      <c r="AC63">
        <v>0.89100000000000001</v>
      </c>
      <c r="AD63">
        <v>0.9133</v>
      </c>
      <c r="AE63">
        <v>0.92689999999999995</v>
      </c>
    </row>
    <row r="64" spans="1:31" x14ac:dyDescent="0.3">
      <c r="A64" t="s">
        <v>31</v>
      </c>
      <c r="B64">
        <v>20</v>
      </c>
      <c r="C64" t="s">
        <v>72</v>
      </c>
      <c r="D64">
        <v>0.62305830139197105</v>
      </c>
      <c r="E64">
        <v>0.68095622352229201</v>
      </c>
      <c r="F64">
        <v>0.70445834173895505</v>
      </c>
      <c r="G64">
        <v>0.725640508371999</v>
      </c>
      <c r="H64">
        <v>0.81052947652887597</v>
      </c>
      <c r="I64">
        <v>0.86347712941647503</v>
      </c>
      <c r="J64">
        <v>0.88289460514463003</v>
      </c>
      <c r="K64">
        <v>0.90211190071063996</v>
      </c>
      <c r="L64">
        <v>0.84060000000000001</v>
      </c>
      <c r="M64">
        <v>0.93610000000000004</v>
      </c>
      <c r="N64">
        <v>0.96850000000000003</v>
      </c>
      <c r="O64">
        <v>0.99429999999999996</v>
      </c>
      <c r="P64">
        <v>0.85819999999999996</v>
      </c>
      <c r="Q64">
        <v>0.94159999999999999</v>
      </c>
      <c r="R64">
        <v>0.97499999999999998</v>
      </c>
      <c r="S64">
        <v>0.99760000000000004</v>
      </c>
      <c r="T64">
        <v>0.85760000000000003</v>
      </c>
      <c r="U64">
        <v>0.94440000000000002</v>
      </c>
      <c r="V64">
        <v>0.97270000000000001</v>
      </c>
      <c r="W64">
        <v>0.99439999999999995</v>
      </c>
      <c r="X64">
        <v>0.81000500250125096</v>
      </c>
      <c r="Y64">
        <v>0.85882941470735397</v>
      </c>
      <c r="Z64">
        <v>0.88104052026013002</v>
      </c>
      <c r="AA64">
        <v>0.90235117558779399</v>
      </c>
      <c r="AB64">
        <v>0.615438808373591</v>
      </c>
      <c r="AC64">
        <v>0.67320853462157804</v>
      </c>
      <c r="AD64">
        <v>0.69746376811594202</v>
      </c>
      <c r="AE64">
        <v>0.715780998389694</v>
      </c>
    </row>
    <row r="65" spans="1:31" x14ac:dyDescent="0.3">
      <c r="A65" t="s">
        <v>31</v>
      </c>
      <c r="B65">
        <v>30</v>
      </c>
      <c r="C65" t="s">
        <v>72</v>
      </c>
      <c r="D65">
        <v>0.73140000000000005</v>
      </c>
      <c r="E65">
        <v>0.78720000000000001</v>
      </c>
      <c r="F65">
        <v>0.80700000000000005</v>
      </c>
      <c r="G65">
        <v>0.82909999999999995</v>
      </c>
      <c r="H65">
        <v>0.86125837751325396</v>
      </c>
      <c r="I65">
        <v>0.91737521256376897</v>
      </c>
      <c r="J65">
        <v>0.94078223467040101</v>
      </c>
      <c r="K65">
        <v>0.95738721616484901</v>
      </c>
      <c r="L65">
        <v>0.83979999999999999</v>
      </c>
      <c r="M65">
        <v>0.92749999999999999</v>
      </c>
      <c r="N65">
        <v>0.97199999999999998</v>
      </c>
      <c r="O65">
        <v>0.99560000000000004</v>
      </c>
      <c r="P65">
        <v>0.83479999999999999</v>
      </c>
      <c r="Q65">
        <v>0.92720000000000002</v>
      </c>
      <c r="R65">
        <v>0.96730000000000005</v>
      </c>
      <c r="S65">
        <v>0.99560000000000004</v>
      </c>
      <c r="T65">
        <v>0.83550000000000002</v>
      </c>
      <c r="U65">
        <v>0.92469999999999997</v>
      </c>
      <c r="V65">
        <v>0.96870000000000001</v>
      </c>
      <c r="W65">
        <v>0.996</v>
      </c>
      <c r="X65">
        <v>0.86283141570785404</v>
      </c>
      <c r="Y65">
        <v>0.91825912956478195</v>
      </c>
      <c r="Z65">
        <v>0.94167083541770902</v>
      </c>
      <c r="AA65">
        <v>0.95957978989494797</v>
      </c>
      <c r="AB65">
        <v>0.72750000000000004</v>
      </c>
      <c r="AC65">
        <v>0.77900000000000003</v>
      </c>
      <c r="AD65">
        <v>0.80059999999999998</v>
      </c>
      <c r="AE65">
        <v>0.82269999999999999</v>
      </c>
    </row>
    <row r="66" spans="1:31" x14ac:dyDescent="0.3">
      <c r="A66" t="s">
        <v>31</v>
      </c>
      <c r="B66">
        <v>50</v>
      </c>
      <c r="C66" t="s">
        <v>72</v>
      </c>
      <c r="D66">
        <v>0.8286</v>
      </c>
      <c r="E66">
        <v>0.8841</v>
      </c>
      <c r="F66">
        <v>0.91249999999999998</v>
      </c>
      <c r="G66">
        <v>0.92979999999999996</v>
      </c>
      <c r="H66">
        <v>0.81642657062825097</v>
      </c>
      <c r="I66">
        <v>0.92867146858743499</v>
      </c>
      <c r="J66">
        <v>0.96118447378951599</v>
      </c>
      <c r="K66">
        <v>0.99059623849539802</v>
      </c>
      <c r="L66">
        <v>0.82740000000000002</v>
      </c>
      <c r="M66">
        <v>0.91820000000000002</v>
      </c>
      <c r="N66">
        <v>0.96460000000000001</v>
      </c>
      <c r="O66">
        <v>0.99529999999999996</v>
      </c>
      <c r="P66">
        <v>0.82540000000000002</v>
      </c>
      <c r="Q66">
        <v>0.92259999999999998</v>
      </c>
      <c r="R66">
        <v>0.96450000000000002</v>
      </c>
      <c r="S66">
        <v>0.99419999999999997</v>
      </c>
      <c r="T66">
        <v>0.82420000000000004</v>
      </c>
      <c r="U66">
        <v>0.91830000000000001</v>
      </c>
      <c r="V66">
        <v>0.96189999999999998</v>
      </c>
      <c r="W66">
        <v>0.99470000000000003</v>
      </c>
      <c r="X66">
        <v>0.81196837786450504</v>
      </c>
      <c r="Y66">
        <v>0.92024417091964394</v>
      </c>
      <c r="Z66">
        <v>0.95767036925848104</v>
      </c>
      <c r="AA66">
        <v>0.99079355548884196</v>
      </c>
      <c r="AB66">
        <v>0.83120000000000005</v>
      </c>
      <c r="AC66">
        <v>0.88449999999999995</v>
      </c>
      <c r="AD66">
        <v>0.9103</v>
      </c>
      <c r="AE66">
        <v>0.93020000000000003</v>
      </c>
    </row>
    <row r="67" spans="1:31" x14ac:dyDescent="0.3">
      <c r="A67" t="s">
        <v>56</v>
      </c>
      <c r="B67">
        <v>20</v>
      </c>
      <c r="C67" t="s">
        <v>86</v>
      </c>
      <c r="D67">
        <v>0.61604353522120303</v>
      </c>
      <c r="E67">
        <v>0.669354026000202</v>
      </c>
      <c r="F67">
        <v>0.69011387685175896</v>
      </c>
      <c r="G67">
        <v>0.707346568578051</v>
      </c>
      <c r="H67">
        <v>0.81501259445843799</v>
      </c>
      <c r="I67">
        <v>0.85460957178841301</v>
      </c>
      <c r="J67">
        <v>0.871133501259446</v>
      </c>
      <c r="K67">
        <v>0.88725440806045297</v>
      </c>
      <c r="L67">
        <v>0.85093542546771295</v>
      </c>
      <c r="M67">
        <v>0.93924763629048502</v>
      </c>
      <c r="N67">
        <v>0.96549989941661596</v>
      </c>
      <c r="O67">
        <v>0.99537316435324896</v>
      </c>
      <c r="P67">
        <v>0.87005250403877199</v>
      </c>
      <c r="Q67">
        <v>0.94739499192245602</v>
      </c>
      <c r="R67">
        <v>0.96415589660743095</v>
      </c>
      <c r="S67">
        <v>0.99808158319870799</v>
      </c>
      <c r="T67">
        <v>0.853234336859235</v>
      </c>
      <c r="U67">
        <v>0.93399104963384905</v>
      </c>
      <c r="V67">
        <v>0.96196094385679398</v>
      </c>
      <c r="W67">
        <v>0.994914564686737</v>
      </c>
      <c r="X67">
        <v>0.82965235173824103</v>
      </c>
      <c r="Y67">
        <v>0.86421267893660503</v>
      </c>
      <c r="Z67">
        <v>0.86789366053169703</v>
      </c>
      <c r="AA67">
        <v>0.87903885480572597</v>
      </c>
      <c r="AB67">
        <v>0.41119188040049398</v>
      </c>
      <c r="AC67">
        <v>0.49348511863941802</v>
      </c>
      <c r="AD67">
        <v>0.51501851597860404</v>
      </c>
      <c r="AE67">
        <v>0.52173913043478304</v>
      </c>
    </row>
    <row r="68" spans="1:31" x14ac:dyDescent="0.3">
      <c r="A68" t="s">
        <v>56</v>
      </c>
      <c r="B68">
        <v>30</v>
      </c>
      <c r="C68" t="s">
        <v>86</v>
      </c>
      <c r="D68">
        <v>0.72870000000000001</v>
      </c>
      <c r="E68">
        <v>0.78139999999999998</v>
      </c>
      <c r="F68">
        <v>0.79720000000000002</v>
      </c>
      <c r="G68">
        <v>0.81740000000000002</v>
      </c>
      <c r="H68">
        <v>0.86409040460094799</v>
      </c>
      <c r="I68">
        <v>0.91978609625668495</v>
      </c>
      <c r="J68">
        <v>0.94228634850166504</v>
      </c>
      <c r="K68">
        <v>0.954192311573</v>
      </c>
      <c r="L68">
        <v>0.84319999999999995</v>
      </c>
      <c r="M68">
        <v>0.93400000000000005</v>
      </c>
      <c r="N68">
        <v>0.97789999999999999</v>
      </c>
      <c r="O68">
        <v>0.99590000000000001</v>
      </c>
      <c r="P68">
        <v>0.81306806705715995</v>
      </c>
      <c r="Q68">
        <v>0.910422136942032</v>
      </c>
      <c r="R68">
        <v>0.96000807917592401</v>
      </c>
      <c r="S68">
        <v>0.995859422338921</v>
      </c>
      <c r="T68">
        <v>0.84199999999999997</v>
      </c>
      <c r="U68">
        <v>0.93620000000000003</v>
      </c>
      <c r="V68">
        <v>0.97819999999999996</v>
      </c>
      <c r="W68">
        <v>0.99550000000000005</v>
      </c>
      <c r="X68">
        <v>0.88698665036176505</v>
      </c>
      <c r="Y68">
        <v>0.93019463976357897</v>
      </c>
      <c r="Z68">
        <v>0.94751859777845704</v>
      </c>
      <c r="AA68">
        <v>0.95516152043208002</v>
      </c>
      <c r="AB68">
        <v>0.72750000000000004</v>
      </c>
      <c r="AC68">
        <v>0.77149999999999996</v>
      </c>
      <c r="AD68">
        <v>0.7742</v>
      </c>
      <c r="AE68">
        <v>0.78749999999999998</v>
      </c>
    </row>
    <row r="69" spans="1:31" x14ac:dyDescent="0.3">
      <c r="A69" t="s">
        <v>56</v>
      </c>
      <c r="B69">
        <v>50</v>
      </c>
      <c r="C69" t="s">
        <v>86</v>
      </c>
      <c r="D69">
        <v>0.82840000000000003</v>
      </c>
      <c r="E69">
        <v>0.88419999999999999</v>
      </c>
      <c r="F69">
        <v>0.90910000000000002</v>
      </c>
      <c r="G69">
        <v>0.92630000000000001</v>
      </c>
      <c r="H69">
        <v>0.82846752197191598</v>
      </c>
      <c r="I69">
        <v>0.93342761895140902</v>
      </c>
      <c r="J69">
        <v>0.96080412162844697</v>
      </c>
      <c r="K69">
        <v>0.99262551772906304</v>
      </c>
      <c r="L69">
        <v>0.81769999999999998</v>
      </c>
      <c r="M69">
        <v>0.92330000000000001</v>
      </c>
      <c r="N69">
        <v>0.96650000000000003</v>
      </c>
      <c r="O69">
        <v>0.995</v>
      </c>
      <c r="P69">
        <v>0.81936198047700504</v>
      </c>
      <c r="Q69">
        <v>0.93277649189896406</v>
      </c>
      <c r="R69">
        <v>0.96840092583274595</v>
      </c>
      <c r="S69">
        <v>0.99345879037939</v>
      </c>
      <c r="T69">
        <v>0.81030000000000002</v>
      </c>
      <c r="U69">
        <v>0.92020000000000002</v>
      </c>
      <c r="V69">
        <v>0.96319999999999995</v>
      </c>
      <c r="W69">
        <v>0.99339999999999995</v>
      </c>
      <c r="X69">
        <v>0.82601179581045403</v>
      </c>
      <c r="Y69">
        <v>0.936953426886313</v>
      </c>
      <c r="Z69">
        <v>0.95505389465121004</v>
      </c>
      <c r="AA69">
        <v>0.99176327028676003</v>
      </c>
      <c r="AB69">
        <v>0.8206</v>
      </c>
      <c r="AC69">
        <v>0.88649999999999995</v>
      </c>
      <c r="AD69">
        <v>0.91110000000000002</v>
      </c>
      <c r="AE69">
        <v>0.92090000000000005</v>
      </c>
    </row>
    <row r="70" spans="1:31" x14ac:dyDescent="0.3">
      <c r="A70" t="s">
        <v>57</v>
      </c>
      <c r="B70">
        <v>20</v>
      </c>
      <c r="C70" t="s">
        <v>86</v>
      </c>
      <c r="D70">
        <v>0.73629999999999995</v>
      </c>
      <c r="E70">
        <v>0.80349999999999999</v>
      </c>
      <c r="F70">
        <v>0.8357</v>
      </c>
      <c r="G70">
        <v>0.86919999999999997</v>
      </c>
      <c r="H70">
        <v>0.80969999999999998</v>
      </c>
      <c r="I70">
        <v>0.874</v>
      </c>
      <c r="J70">
        <v>0.90359999999999996</v>
      </c>
      <c r="K70">
        <v>0.9274</v>
      </c>
      <c r="L70">
        <v>0.84550000000000003</v>
      </c>
      <c r="M70">
        <v>0.93389999999999995</v>
      </c>
      <c r="N70">
        <v>0.9698</v>
      </c>
      <c r="O70">
        <v>0.99419999999999997</v>
      </c>
      <c r="P70">
        <v>0.84992496248124105</v>
      </c>
      <c r="Q70">
        <v>0.93626813406703402</v>
      </c>
      <c r="R70">
        <v>0.96738369184592299</v>
      </c>
      <c r="S70">
        <v>0.99489744872436203</v>
      </c>
      <c r="T70">
        <v>0.85056778213244899</v>
      </c>
      <c r="U70">
        <v>0.94030750678323805</v>
      </c>
      <c r="V70">
        <v>0.96462667068636299</v>
      </c>
      <c r="W70">
        <v>0.99587981107426404</v>
      </c>
      <c r="X70">
        <v>0.82073633473489904</v>
      </c>
      <c r="Y70">
        <v>0.85868116090657398</v>
      </c>
      <c r="Z70">
        <v>0.86647523330940401</v>
      </c>
      <c r="AA70">
        <v>0.87878166341913699</v>
      </c>
      <c r="AB70">
        <v>0.49235847903166702</v>
      </c>
      <c r="AC70">
        <v>0.56119329991441502</v>
      </c>
      <c r="AD70">
        <v>0.58136691527081596</v>
      </c>
      <c r="AE70">
        <v>0.59016994742633599</v>
      </c>
    </row>
    <row r="71" spans="1:31" x14ac:dyDescent="0.3">
      <c r="A71" t="s">
        <v>57</v>
      </c>
      <c r="B71">
        <v>30</v>
      </c>
      <c r="C71" t="s">
        <v>86</v>
      </c>
      <c r="D71">
        <v>0.76129999999999998</v>
      </c>
      <c r="E71">
        <v>0.8306</v>
      </c>
      <c r="F71">
        <v>0.8649</v>
      </c>
      <c r="G71">
        <v>0.89570000000000005</v>
      </c>
      <c r="H71">
        <v>0.84419999999999995</v>
      </c>
      <c r="I71">
        <v>0.91500000000000004</v>
      </c>
      <c r="J71">
        <v>0.94520000000000004</v>
      </c>
      <c r="K71">
        <v>0.96530000000000005</v>
      </c>
      <c r="L71">
        <v>0.83350000000000002</v>
      </c>
      <c r="M71">
        <v>0.92210000000000003</v>
      </c>
      <c r="N71">
        <v>0.96960000000000002</v>
      </c>
      <c r="O71">
        <v>0.99439999999999995</v>
      </c>
      <c r="P71">
        <v>0.82824847454236294</v>
      </c>
      <c r="Q71">
        <v>0.92377713313994203</v>
      </c>
      <c r="R71">
        <v>0.96578973692107595</v>
      </c>
      <c r="S71">
        <v>0.99459837951385399</v>
      </c>
      <c r="T71">
        <v>0.8417</v>
      </c>
      <c r="U71">
        <v>0.93540000000000001</v>
      </c>
      <c r="V71">
        <v>0.97499999999999998</v>
      </c>
      <c r="W71">
        <v>0.99570000000000003</v>
      </c>
      <c r="X71">
        <v>0.87505099959200305</v>
      </c>
      <c r="Y71">
        <v>0.92350061199510403</v>
      </c>
      <c r="Z71">
        <v>0.94512443900448795</v>
      </c>
      <c r="AA71">
        <v>0.95532435740514099</v>
      </c>
      <c r="AB71">
        <v>0.7208</v>
      </c>
      <c r="AC71">
        <v>0.76900000000000002</v>
      </c>
      <c r="AD71">
        <v>0.77410000000000001</v>
      </c>
      <c r="AE71">
        <v>0.78859999999999997</v>
      </c>
    </row>
    <row r="72" spans="1:31" x14ac:dyDescent="0.3">
      <c r="A72" t="s">
        <v>57</v>
      </c>
      <c r="B72">
        <v>50</v>
      </c>
      <c r="C72" t="s">
        <v>86</v>
      </c>
      <c r="D72">
        <v>0.81810000000000005</v>
      </c>
      <c r="E72">
        <v>0.88439999999999996</v>
      </c>
      <c r="F72">
        <v>0.91769999999999996</v>
      </c>
      <c r="G72">
        <v>0.94550000000000001</v>
      </c>
      <c r="H72">
        <v>0.82579999999999998</v>
      </c>
      <c r="I72">
        <v>0.92310000000000003</v>
      </c>
      <c r="J72">
        <v>0.96379999999999999</v>
      </c>
      <c r="K72">
        <v>0.99060000000000004</v>
      </c>
      <c r="L72">
        <v>0.82440000000000002</v>
      </c>
      <c r="M72">
        <v>0.92059999999999997</v>
      </c>
      <c r="N72">
        <v>0.96360000000000001</v>
      </c>
      <c r="O72">
        <v>0.99390000000000001</v>
      </c>
      <c r="P72">
        <v>0.81986397279455903</v>
      </c>
      <c r="Q72">
        <v>0.92488497699539896</v>
      </c>
      <c r="R72">
        <v>0.96199239847969598</v>
      </c>
      <c r="S72">
        <v>0.99369873974794998</v>
      </c>
      <c r="T72">
        <v>0.81679999999999997</v>
      </c>
      <c r="U72">
        <v>0.92210000000000003</v>
      </c>
      <c r="V72">
        <v>0.96430000000000005</v>
      </c>
      <c r="W72">
        <v>0.99490000000000001</v>
      </c>
      <c r="X72">
        <v>0.817034700315457</v>
      </c>
      <c r="Y72">
        <v>0.93192225501170201</v>
      </c>
      <c r="Z72">
        <v>0.95430955530680805</v>
      </c>
      <c r="AA72">
        <v>0.99073979851429705</v>
      </c>
      <c r="AB72">
        <v>0.82979999999999998</v>
      </c>
      <c r="AC72">
        <v>0.89170000000000005</v>
      </c>
      <c r="AD72">
        <v>0.91479999999999995</v>
      </c>
      <c r="AE72">
        <v>0.92490000000000006</v>
      </c>
    </row>
    <row r="73" spans="1:31" x14ac:dyDescent="0.3">
      <c r="A73" t="s">
        <v>31</v>
      </c>
      <c r="B73">
        <v>20</v>
      </c>
      <c r="C73" t="s">
        <v>86</v>
      </c>
      <c r="D73">
        <v>0.56599479843953204</v>
      </c>
      <c r="E73">
        <v>0.62841352405721695</v>
      </c>
      <c r="F73">
        <v>0.64878630255743397</v>
      </c>
      <c r="G73">
        <v>0.66146510619852605</v>
      </c>
      <c r="H73">
        <v>0.81840515917698797</v>
      </c>
      <c r="I73">
        <v>0.86150066537004799</v>
      </c>
      <c r="J73">
        <v>0.87317023236769398</v>
      </c>
      <c r="K73">
        <v>0.88760364418057103</v>
      </c>
      <c r="L73">
        <v>0.842875764564324</v>
      </c>
      <c r="M73">
        <v>0.937731876065377</v>
      </c>
      <c r="N73">
        <v>0.96570741000701898</v>
      </c>
      <c r="O73">
        <v>0.99548781710618695</v>
      </c>
      <c r="P73">
        <v>0.86665331865051598</v>
      </c>
      <c r="Q73">
        <v>0.94734207628391198</v>
      </c>
      <c r="R73">
        <v>0.97246971668835702</v>
      </c>
      <c r="S73">
        <v>0.99779757733506902</v>
      </c>
      <c r="T73">
        <v>0.86080769616193997</v>
      </c>
      <c r="U73">
        <v>0.94478404649764502</v>
      </c>
      <c r="V73">
        <v>0.96993686742158503</v>
      </c>
      <c r="W73">
        <v>0.99518989878745401</v>
      </c>
      <c r="X73">
        <v>0.81838451403668799</v>
      </c>
      <c r="Y73">
        <v>0.85791020573629295</v>
      </c>
      <c r="Z73">
        <v>0.87189621972230702</v>
      </c>
      <c r="AA73">
        <v>0.88679436505523501</v>
      </c>
      <c r="AB73">
        <v>0.55941872981700702</v>
      </c>
      <c r="AC73">
        <v>0.620667384284177</v>
      </c>
      <c r="AD73">
        <v>0.63982777179763195</v>
      </c>
      <c r="AE73">
        <v>0.65242195909580203</v>
      </c>
    </row>
    <row r="74" spans="1:31" x14ac:dyDescent="0.3">
      <c r="A74" t="s">
        <v>31</v>
      </c>
      <c r="B74">
        <v>30</v>
      </c>
      <c r="C74" t="s">
        <v>86</v>
      </c>
      <c r="D74">
        <v>0.72840000000000005</v>
      </c>
      <c r="E74">
        <v>0.77990000000000004</v>
      </c>
      <c r="F74">
        <v>0.79059999999999997</v>
      </c>
      <c r="G74">
        <v>0.80669999999999997</v>
      </c>
      <c r="H74">
        <v>0.87062187276626202</v>
      </c>
      <c r="I74">
        <v>0.92290411518431503</v>
      </c>
      <c r="J74">
        <v>0.94240784233636299</v>
      </c>
      <c r="K74">
        <v>0.95517206167670798</v>
      </c>
      <c r="L74">
        <v>0.84060000000000001</v>
      </c>
      <c r="M74">
        <v>0.93120000000000003</v>
      </c>
      <c r="N74">
        <v>0.97589999999999999</v>
      </c>
      <c r="O74">
        <v>0.99560000000000004</v>
      </c>
      <c r="P74">
        <v>0.822805085594154</v>
      </c>
      <c r="Q74">
        <v>0.92221443587946705</v>
      </c>
      <c r="R74">
        <v>0.96446090699769704</v>
      </c>
      <c r="S74">
        <v>0.99549504454900395</v>
      </c>
      <c r="T74">
        <v>0.83830000000000005</v>
      </c>
      <c r="U74">
        <v>0.92749999999999999</v>
      </c>
      <c r="V74">
        <v>0.97309999999999997</v>
      </c>
      <c r="W74">
        <v>0.99590000000000001</v>
      </c>
      <c r="X74">
        <v>0.87307692307692297</v>
      </c>
      <c r="Y74">
        <v>0.92388663967611295</v>
      </c>
      <c r="Z74">
        <v>0.94473684210526299</v>
      </c>
      <c r="AA74">
        <v>0.95748987854251</v>
      </c>
      <c r="AB74">
        <v>0.72370000000000001</v>
      </c>
      <c r="AC74">
        <v>0.77300000000000002</v>
      </c>
      <c r="AD74">
        <v>0.7833</v>
      </c>
      <c r="AE74">
        <v>0.80020000000000002</v>
      </c>
    </row>
    <row r="75" spans="1:31" x14ac:dyDescent="0.3">
      <c r="A75" t="s">
        <v>31</v>
      </c>
      <c r="B75">
        <v>50</v>
      </c>
      <c r="C75" t="s">
        <v>86</v>
      </c>
      <c r="D75">
        <v>0.82820000000000005</v>
      </c>
      <c r="E75">
        <v>0.88549999999999995</v>
      </c>
      <c r="F75">
        <v>0.9133</v>
      </c>
      <c r="G75">
        <v>0.92549999999999999</v>
      </c>
      <c r="H75">
        <v>0.81438467807660997</v>
      </c>
      <c r="I75">
        <v>0.93398533007335005</v>
      </c>
      <c r="J75">
        <v>0.95782396088019595</v>
      </c>
      <c r="K75">
        <v>0.99083129584352103</v>
      </c>
      <c r="L75">
        <v>0.82130000000000003</v>
      </c>
      <c r="M75">
        <v>0.91979999999999995</v>
      </c>
      <c r="N75">
        <v>0.96699999999999997</v>
      </c>
      <c r="O75">
        <v>0.99570000000000003</v>
      </c>
      <c r="P75">
        <v>0.81687181026718703</v>
      </c>
      <c r="Q75">
        <v>0.92704893425397805</v>
      </c>
      <c r="R75">
        <v>0.96557590313219299</v>
      </c>
      <c r="S75">
        <v>0.99459621735214698</v>
      </c>
      <c r="T75">
        <v>0.81869999999999998</v>
      </c>
      <c r="U75">
        <v>0.9194</v>
      </c>
      <c r="V75">
        <v>0.96199999999999997</v>
      </c>
      <c r="W75">
        <v>0.99560000000000004</v>
      </c>
      <c r="X75">
        <v>0.81329433124873896</v>
      </c>
      <c r="Y75">
        <v>0.92737542868670597</v>
      </c>
      <c r="Z75">
        <v>0.95430704054871895</v>
      </c>
      <c r="AA75">
        <v>0.99142626588662497</v>
      </c>
      <c r="AB75">
        <v>0.82720000000000005</v>
      </c>
      <c r="AC75">
        <v>0.88680000000000003</v>
      </c>
      <c r="AD75">
        <v>0.91110000000000002</v>
      </c>
      <c r="AE75">
        <v>0.92479999999999996</v>
      </c>
    </row>
    <row r="76" spans="1:31" x14ac:dyDescent="0.3">
      <c r="A76" t="s">
        <v>56</v>
      </c>
      <c r="B76">
        <v>20</v>
      </c>
      <c r="C76" t="s">
        <v>87</v>
      </c>
      <c r="D76">
        <v>0.71647058823529397</v>
      </c>
      <c r="E76">
        <v>0.81165775401069495</v>
      </c>
      <c r="F76">
        <v>0.86352941176470599</v>
      </c>
      <c r="G76">
        <v>0.91647058823529404</v>
      </c>
      <c r="H76">
        <v>0.77806305843689005</v>
      </c>
      <c r="I76">
        <v>0.85611584677005204</v>
      </c>
      <c r="J76">
        <v>0.89883947827873101</v>
      </c>
      <c r="K76">
        <v>0.94310362534661596</v>
      </c>
      <c r="L76">
        <v>0.79049049049049003</v>
      </c>
      <c r="M76">
        <v>0.89349349349349305</v>
      </c>
      <c r="N76">
        <v>0.94474474474474501</v>
      </c>
      <c r="O76">
        <v>0.98698698698698695</v>
      </c>
      <c r="P76">
        <v>0.79190000000000005</v>
      </c>
      <c r="Q76">
        <v>0.89139999999999997</v>
      </c>
      <c r="R76">
        <v>0.94530000000000003</v>
      </c>
      <c r="S76">
        <v>0.98799999999999999</v>
      </c>
      <c r="T76">
        <v>0.79392298435619701</v>
      </c>
      <c r="U76">
        <v>0.887986361813077</v>
      </c>
      <c r="V76">
        <v>0.94965904532691503</v>
      </c>
      <c r="W76">
        <v>0.99107501002807896</v>
      </c>
      <c r="X76">
        <v>0.82789875096717103</v>
      </c>
      <c r="Y76">
        <v>0.90626727091853698</v>
      </c>
      <c r="Z76">
        <v>0.94329612026085996</v>
      </c>
      <c r="AA76">
        <v>0.96672930253122602</v>
      </c>
      <c r="AB76">
        <v>0.791904761904762</v>
      </c>
      <c r="AC76">
        <v>0.84095238095238101</v>
      </c>
      <c r="AD76">
        <v>0.91492063492063502</v>
      </c>
      <c r="AE76">
        <v>0.95111111111111102</v>
      </c>
    </row>
    <row r="77" spans="1:31" x14ac:dyDescent="0.3">
      <c r="A77" t="s">
        <v>56</v>
      </c>
      <c r="B77">
        <v>30</v>
      </c>
      <c r="C77" t="s">
        <v>87</v>
      </c>
      <c r="D77">
        <v>0.74318787133784103</v>
      </c>
      <c r="E77">
        <v>0.83128457283343604</v>
      </c>
      <c r="F77">
        <v>0.87727924605613605</v>
      </c>
      <c r="G77">
        <v>0.92511780372874397</v>
      </c>
      <c r="H77">
        <v>0.77739622260377705</v>
      </c>
      <c r="I77">
        <v>0.88324411675588299</v>
      </c>
      <c r="J77">
        <v>0.92677507322492703</v>
      </c>
      <c r="K77">
        <v>0.96687203312796699</v>
      </c>
      <c r="L77">
        <v>0.80048004800479999</v>
      </c>
      <c r="M77">
        <v>0.89908990899089902</v>
      </c>
      <c r="N77">
        <v>0.947194719471947</v>
      </c>
      <c r="O77">
        <v>0.990899089908991</v>
      </c>
      <c r="P77">
        <v>0.7944</v>
      </c>
      <c r="Q77">
        <v>0.8921</v>
      </c>
      <c r="R77">
        <v>0.94689999999999996</v>
      </c>
      <c r="S77">
        <v>0.99050000000000005</v>
      </c>
      <c r="T77">
        <v>0.79223767130139</v>
      </c>
      <c r="U77">
        <v>0.89806942082624797</v>
      </c>
      <c r="V77">
        <v>0.94508352505751703</v>
      </c>
      <c r="W77">
        <v>0.98889666900069995</v>
      </c>
      <c r="X77">
        <v>0.78769964737606302</v>
      </c>
      <c r="Y77">
        <v>0.93860194980294498</v>
      </c>
      <c r="Z77">
        <v>0.95478116573325</v>
      </c>
      <c r="AA77">
        <v>0.9803982576229</v>
      </c>
      <c r="AB77">
        <v>0.85851780558229096</v>
      </c>
      <c r="AC77">
        <v>0.89124157844080798</v>
      </c>
      <c r="AD77">
        <v>0.93756015399422499</v>
      </c>
      <c r="AE77">
        <v>0.96270452358036596</v>
      </c>
    </row>
    <row r="78" spans="1:31" x14ac:dyDescent="0.3">
      <c r="A78" t="s">
        <v>56</v>
      </c>
      <c r="B78">
        <v>50</v>
      </c>
      <c r="C78" t="s">
        <v>87</v>
      </c>
      <c r="D78">
        <v>0.77726451094597304</v>
      </c>
      <c r="E78">
        <v>0.86483229564169495</v>
      </c>
      <c r="F78">
        <v>0.90962040570395697</v>
      </c>
      <c r="G78">
        <v>0.95400682868045805</v>
      </c>
      <c r="H78">
        <v>0.79349674837418704</v>
      </c>
      <c r="I78">
        <v>0.89534767383691805</v>
      </c>
      <c r="J78">
        <v>0.94447223611805897</v>
      </c>
      <c r="K78">
        <v>0.98559279639819897</v>
      </c>
      <c r="L78">
        <v>0.79549999999999998</v>
      </c>
      <c r="M78">
        <v>0.89839999999999998</v>
      </c>
      <c r="N78">
        <v>0.9506</v>
      </c>
      <c r="O78">
        <v>0.9889</v>
      </c>
      <c r="P78">
        <v>0.80840000000000001</v>
      </c>
      <c r="Q78">
        <v>0.90410000000000001</v>
      </c>
      <c r="R78">
        <v>0.95179999999999998</v>
      </c>
      <c r="S78">
        <v>0.99029999999999996</v>
      </c>
      <c r="T78">
        <v>0.79259999999999997</v>
      </c>
      <c r="U78">
        <v>0.89249999999999996</v>
      </c>
      <c r="V78">
        <v>0.94410000000000005</v>
      </c>
      <c r="W78">
        <v>0.98570000000000002</v>
      </c>
      <c r="X78">
        <v>0.78573584146464104</v>
      </c>
      <c r="Y78">
        <v>0.90473795392817602</v>
      </c>
      <c r="Z78">
        <v>0.94346645206719604</v>
      </c>
      <c r="AA78">
        <v>0.99326023538879404</v>
      </c>
      <c r="AB78">
        <v>0.86084005091217697</v>
      </c>
      <c r="AC78">
        <v>0.92904115400933396</v>
      </c>
      <c r="AD78">
        <v>0.95937632583792998</v>
      </c>
      <c r="AE78">
        <v>0.97708952057700504</v>
      </c>
    </row>
    <row r="79" spans="1:31" x14ac:dyDescent="0.3">
      <c r="A79" t="s">
        <v>57</v>
      </c>
      <c r="B79">
        <v>20</v>
      </c>
      <c r="C79" t="s">
        <v>87</v>
      </c>
      <c r="D79">
        <v>0.35517103420684099</v>
      </c>
      <c r="E79">
        <v>0.48379675935187</v>
      </c>
      <c r="F79">
        <v>0.59801960392078402</v>
      </c>
      <c r="G79">
        <v>0.79245849169834004</v>
      </c>
      <c r="H79">
        <v>0.68200920552331401</v>
      </c>
      <c r="I79">
        <v>0.80078046828096905</v>
      </c>
      <c r="J79">
        <v>0.87532519511706997</v>
      </c>
      <c r="K79">
        <v>0.95707424454672796</v>
      </c>
      <c r="L79">
        <v>0.78233470041012299</v>
      </c>
      <c r="M79">
        <v>0.88526557967390196</v>
      </c>
      <c r="N79">
        <v>0.93678103431029303</v>
      </c>
      <c r="O79">
        <v>0.98299489846954102</v>
      </c>
      <c r="P79">
        <v>0.78390000000000004</v>
      </c>
      <c r="Q79">
        <v>0.88339999999999996</v>
      </c>
      <c r="R79">
        <v>0.93759999999999999</v>
      </c>
      <c r="S79">
        <v>0.9849</v>
      </c>
      <c r="T79">
        <v>0.78172538030424299</v>
      </c>
      <c r="U79">
        <v>0.89101281024819901</v>
      </c>
      <c r="V79">
        <v>0.94315452361889496</v>
      </c>
      <c r="W79">
        <v>0.98718975180144097</v>
      </c>
      <c r="X79">
        <v>0.80214756538379794</v>
      </c>
      <c r="Y79">
        <v>0.87518605145651696</v>
      </c>
      <c r="Z79">
        <v>0.91590474165426305</v>
      </c>
      <c r="AA79">
        <v>0.95045715500744199</v>
      </c>
      <c r="AB79">
        <v>0.75792880258899697</v>
      </c>
      <c r="AC79">
        <v>0.82692556634304204</v>
      </c>
      <c r="AD79">
        <v>0.87391585760517798</v>
      </c>
      <c r="AE79">
        <v>0.91766990291262096</v>
      </c>
    </row>
    <row r="80" spans="1:31" x14ac:dyDescent="0.3">
      <c r="A80" t="s">
        <v>57</v>
      </c>
      <c r="B80">
        <v>30</v>
      </c>
      <c r="C80" t="s">
        <v>87</v>
      </c>
      <c r="D80">
        <v>0.39073907390739099</v>
      </c>
      <c r="E80">
        <v>0.52785278527852797</v>
      </c>
      <c r="F80">
        <v>0.63646364636463604</v>
      </c>
      <c r="G80">
        <v>0.82058205820582097</v>
      </c>
      <c r="H80">
        <v>0.71870000000000001</v>
      </c>
      <c r="I80">
        <v>0.83389999999999997</v>
      </c>
      <c r="J80">
        <v>0.90100000000000002</v>
      </c>
      <c r="K80">
        <v>0.96899999999999997</v>
      </c>
      <c r="L80">
        <v>0.78990000000000005</v>
      </c>
      <c r="M80">
        <v>0.88849999999999996</v>
      </c>
      <c r="N80">
        <v>0.93840000000000001</v>
      </c>
      <c r="O80">
        <v>0.98740000000000006</v>
      </c>
      <c r="P80">
        <v>0.79449999999999998</v>
      </c>
      <c r="Q80">
        <v>0.89139999999999997</v>
      </c>
      <c r="R80">
        <v>0.94540000000000002</v>
      </c>
      <c r="S80">
        <v>0.98870000000000002</v>
      </c>
      <c r="T80">
        <v>0.79349999999999998</v>
      </c>
      <c r="U80">
        <v>0.89639999999999997</v>
      </c>
      <c r="V80">
        <v>0.94679999999999997</v>
      </c>
      <c r="W80">
        <v>0.98860000000000003</v>
      </c>
      <c r="X80">
        <v>0.78281647178444302</v>
      </c>
      <c r="Y80">
        <v>0.90371123538383302</v>
      </c>
      <c r="Z80">
        <v>0.93787493645144904</v>
      </c>
      <c r="AA80">
        <v>0.96919166243009702</v>
      </c>
      <c r="AB80">
        <v>0.79901342204887005</v>
      </c>
      <c r="AC80">
        <v>0.85476654812435504</v>
      </c>
      <c r="AD80">
        <v>0.90134220488700201</v>
      </c>
      <c r="AE80">
        <v>0.93690489847424596</v>
      </c>
    </row>
    <row r="81" spans="1:31" x14ac:dyDescent="0.3">
      <c r="A81" t="s">
        <v>57</v>
      </c>
      <c r="B81">
        <v>50</v>
      </c>
      <c r="C81" t="s">
        <v>87</v>
      </c>
      <c r="D81">
        <v>0.45229999999999998</v>
      </c>
      <c r="E81">
        <v>0.59040000000000004</v>
      </c>
      <c r="F81">
        <v>0.70040000000000002</v>
      </c>
      <c r="G81">
        <v>0.86240000000000006</v>
      </c>
      <c r="H81">
        <v>0.7591</v>
      </c>
      <c r="I81">
        <v>0.86599999999999999</v>
      </c>
      <c r="J81">
        <v>0.92720000000000002</v>
      </c>
      <c r="K81">
        <v>0.9829</v>
      </c>
      <c r="L81">
        <v>0.79569999999999996</v>
      </c>
      <c r="M81">
        <v>0.89539999999999997</v>
      </c>
      <c r="N81">
        <v>0.94520000000000004</v>
      </c>
      <c r="O81">
        <v>0.98970000000000002</v>
      </c>
      <c r="P81">
        <v>0.7964</v>
      </c>
      <c r="Q81">
        <v>0.89890000000000003</v>
      </c>
      <c r="R81">
        <v>0.94820000000000004</v>
      </c>
      <c r="S81">
        <v>0.98799999999999999</v>
      </c>
      <c r="T81">
        <v>0.79190000000000005</v>
      </c>
      <c r="U81">
        <v>0.89500000000000002</v>
      </c>
      <c r="V81">
        <v>0.9456</v>
      </c>
      <c r="W81">
        <v>0.98960000000000004</v>
      </c>
      <c r="X81">
        <v>0.78367265068699199</v>
      </c>
      <c r="Y81">
        <v>0.89850566643265495</v>
      </c>
      <c r="Z81">
        <v>0.94122956574064798</v>
      </c>
      <c r="AA81">
        <v>0.98836626216026502</v>
      </c>
      <c r="AB81">
        <v>0.83833143094324003</v>
      </c>
      <c r="AC81">
        <v>0.905157206599564</v>
      </c>
      <c r="AD81">
        <v>0.93815502749818402</v>
      </c>
      <c r="AE81">
        <v>0.96285150980595602</v>
      </c>
    </row>
    <row r="82" spans="1:31" x14ac:dyDescent="0.3">
      <c r="A82" t="s">
        <v>31</v>
      </c>
      <c r="B82">
        <v>20</v>
      </c>
      <c r="C82" t="s">
        <v>87</v>
      </c>
      <c r="D82">
        <v>0.69735353992309401</v>
      </c>
      <c r="E82">
        <v>0.783533137299254</v>
      </c>
      <c r="F82">
        <v>0.83453969690115404</v>
      </c>
      <c r="G82">
        <v>0.89040940963582904</v>
      </c>
      <c r="H82">
        <v>0.77014096100421803</v>
      </c>
      <c r="I82">
        <v>0.85235106492437496</v>
      </c>
      <c r="J82">
        <v>0.89690297355695003</v>
      </c>
      <c r="K82">
        <v>0.94299825084885303</v>
      </c>
      <c r="L82">
        <v>0.78005601120224</v>
      </c>
      <c r="M82">
        <v>0.88717743548709704</v>
      </c>
      <c r="N82">
        <v>0.93978795759151801</v>
      </c>
      <c r="O82">
        <v>0.98479695939187795</v>
      </c>
      <c r="P82">
        <v>0.79849999999999999</v>
      </c>
      <c r="Q82">
        <v>0.89800000000000002</v>
      </c>
      <c r="R82">
        <v>0.95099999999999996</v>
      </c>
      <c r="S82">
        <v>0.98980000000000001</v>
      </c>
      <c r="T82">
        <v>0.79763811048839095</v>
      </c>
      <c r="U82">
        <v>0.90352281825460401</v>
      </c>
      <c r="V82">
        <v>0.94915932746196996</v>
      </c>
      <c r="W82">
        <v>0.98528823058446802</v>
      </c>
      <c r="X82">
        <v>0.76989601564913002</v>
      </c>
      <c r="Y82">
        <v>0.84968598785133298</v>
      </c>
      <c r="Z82">
        <v>0.89642746834139797</v>
      </c>
      <c r="AA82">
        <v>0.94069803356326598</v>
      </c>
      <c r="AB82">
        <v>0.7</v>
      </c>
      <c r="AC82">
        <v>0.77916194790487003</v>
      </c>
      <c r="AD82">
        <v>0.83125707814269501</v>
      </c>
      <c r="AE82">
        <v>0.88969422423556099</v>
      </c>
    </row>
    <row r="83" spans="1:31" x14ac:dyDescent="0.3">
      <c r="A83" t="s">
        <v>31</v>
      </c>
      <c r="B83">
        <v>30</v>
      </c>
      <c r="C83" t="s">
        <v>87</v>
      </c>
      <c r="D83">
        <v>0.745266964475644</v>
      </c>
      <c r="E83">
        <v>0.82546266751754904</v>
      </c>
      <c r="F83">
        <v>0.87151669857477099</v>
      </c>
      <c r="G83">
        <v>0.91810253137630304</v>
      </c>
      <c r="H83">
        <v>0.785376170812771</v>
      </c>
      <c r="I83">
        <v>0.88599053278275797</v>
      </c>
      <c r="J83">
        <v>0.92436297713767801</v>
      </c>
      <c r="K83">
        <v>0.96152684056803295</v>
      </c>
      <c r="L83">
        <v>0.79769999999999996</v>
      </c>
      <c r="M83">
        <v>0.89690000000000003</v>
      </c>
      <c r="N83">
        <v>0.94869999999999999</v>
      </c>
      <c r="O83">
        <v>0.98870000000000002</v>
      </c>
      <c r="P83">
        <v>0.79310000000000003</v>
      </c>
      <c r="Q83">
        <v>0.89410000000000001</v>
      </c>
      <c r="R83">
        <v>0.9466</v>
      </c>
      <c r="S83">
        <v>0.9889</v>
      </c>
      <c r="T83">
        <v>0.79310000000000003</v>
      </c>
      <c r="U83">
        <v>0.89180000000000004</v>
      </c>
      <c r="V83">
        <v>0.94450000000000001</v>
      </c>
      <c r="W83">
        <v>0.98860000000000003</v>
      </c>
      <c r="X83">
        <v>0.78477188035048895</v>
      </c>
      <c r="Y83">
        <v>0.88478195185819297</v>
      </c>
      <c r="Z83">
        <v>0.92667942390975899</v>
      </c>
      <c r="AA83">
        <v>0.96434686272534997</v>
      </c>
      <c r="AB83">
        <v>0.74469898774640397</v>
      </c>
      <c r="AC83">
        <v>0.82131060202450701</v>
      </c>
      <c r="AD83">
        <v>0.86393180607352205</v>
      </c>
      <c r="AE83">
        <v>0.91369206180074602</v>
      </c>
    </row>
    <row r="84" spans="1:31" x14ac:dyDescent="0.3">
      <c r="A84" t="s">
        <v>31</v>
      </c>
      <c r="B84">
        <v>50</v>
      </c>
      <c r="C84" t="s">
        <v>87</v>
      </c>
      <c r="D84">
        <v>0.798698657991053</v>
      </c>
      <c r="E84">
        <v>0.87281415209434698</v>
      </c>
      <c r="F84">
        <v>0.91368442456283006</v>
      </c>
      <c r="G84">
        <v>0.951504676697845</v>
      </c>
      <c r="H84">
        <v>0.78418418418418401</v>
      </c>
      <c r="I84">
        <v>0.89409409409409402</v>
      </c>
      <c r="J84">
        <v>0.944344344344344</v>
      </c>
      <c r="K84">
        <v>0.986786786786787</v>
      </c>
      <c r="L84">
        <v>0.80130000000000001</v>
      </c>
      <c r="M84">
        <v>0.89529999999999998</v>
      </c>
      <c r="N84">
        <v>0.94669999999999999</v>
      </c>
      <c r="O84">
        <v>0.99009999999999998</v>
      </c>
      <c r="P84">
        <v>0.79749999999999999</v>
      </c>
      <c r="Q84">
        <v>0.89910000000000001</v>
      </c>
      <c r="R84">
        <v>0.95109999999999995</v>
      </c>
      <c r="S84">
        <v>0.9909</v>
      </c>
      <c r="T84">
        <v>0.79690000000000005</v>
      </c>
      <c r="U84">
        <v>0.89510000000000001</v>
      </c>
      <c r="V84">
        <v>0.94750000000000001</v>
      </c>
      <c r="W84">
        <v>0.98970000000000002</v>
      </c>
      <c r="X84">
        <v>0.78062449959968006</v>
      </c>
      <c r="Y84">
        <v>0.888510808646918</v>
      </c>
      <c r="Z84">
        <v>0.93744995996797398</v>
      </c>
      <c r="AA84">
        <v>0.98478783026421102</v>
      </c>
      <c r="AB84">
        <v>0.800081433224756</v>
      </c>
      <c r="AC84">
        <v>0.87805374592833896</v>
      </c>
      <c r="AD84">
        <v>0.91500407166123798</v>
      </c>
      <c r="AE84">
        <v>0.95052931596091195</v>
      </c>
    </row>
    <row r="85" spans="1:31" x14ac:dyDescent="0.3">
      <c r="A85" t="s">
        <v>56</v>
      </c>
      <c r="B85">
        <v>20</v>
      </c>
      <c r="C85" t="s">
        <v>64</v>
      </c>
      <c r="D85">
        <v>0.73704368641532003</v>
      </c>
      <c r="E85">
        <v>0.82178336325553603</v>
      </c>
      <c r="F85">
        <v>0.86092160383004201</v>
      </c>
      <c r="G85">
        <v>0.90963494913225595</v>
      </c>
      <c r="H85">
        <v>0.81290736189763901</v>
      </c>
      <c r="I85">
        <v>0.88032909498878098</v>
      </c>
      <c r="J85">
        <v>0.91890159205043298</v>
      </c>
      <c r="K85">
        <v>0.95533710866545596</v>
      </c>
      <c r="L85">
        <v>0.79557291666666696</v>
      </c>
      <c r="M85">
        <v>0.88912259615384603</v>
      </c>
      <c r="N85">
        <v>0.94931891025641002</v>
      </c>
      <c r="O85">
        <v>0.98998397435897401</v>
      </c>
      <c r="P85">
        <v>0.77967967967967999</v>
      </c>
      <c r="Q85">
        <v>0.88798798798798795</v>
      </c>
      <c r="R85">
        <v>0.94874874874874904</v>
      </c>
      <c r="S85">
        <v>0.98778778778778797</v>
      </c>
      <c r="T85">
        <v>0.79619124797406804</v>
      </c>
      <c r="U85">
        <v>0.87732982171799001</v>
      </c>
      <c r="V85">
        <v>0.95380875202593196</v>
      </c>
      <c r="W85">
        <v>0.99321312803889805</v>
      </c>
      <c r="X85">
        <v>0.83938595486309997</v>
      </c>
      <c r="Y85">
        <v>0.92805590560201601</v>
      </c>
      <c r="Z85">
        <v>0.96253866422270595</v>
      </c>
      <c r="AA85">
        <v>0.98029556650246297</v>
      </c>
      <c r="AB85">
        <v>0.78596347219372098</v>
      </c>
      <c r="AC85">
        <v>0.821465216499077</v>
      </c>
      <c r="AD85">
        <v>0.92776523702031599</v>
      </c>
      <c r="AE85">
        <v>0.96655037964293</v>
      </c>
    </row>
    <row r="86" spans="1:31" x14ac:dyDescent="0.3">
      <c r="A86" t="s">
        <v>56</v>
      </c>
      <c r="B86">
        <v>30</v>
      </c>
      <c r="C86" t="s">
        <v>64</v>
      </c>
      <c r="D86">
        <v>0.77829252150893402</v>
      </c>
      <c r="E86">
        <v>0.84877564526803395</v>
      </c>
      <c r="F86">
        <v>0.88958746966688695</v>
      </c>
      <c r="G86">
        <v>0.930509596293845</v>
      </c>
      <c r="H86">
        <v>0.77962981899989803</v>
      </c>
      <c r="I86">
        <v>0.908170569587892</v>
      </c>
      <c r="J86">
        <v>0.94150731158605205</v>
      </c>
      <c r="K86">
        <v>0.97238981490950005</v>
      </c>
      <c r="L86">
        <v>0.79845969193838795</v>
      </c>
      <c r="M86">
        <v>0.90218043608721699</v>
      </c>
      <c r="N86">
        <v>0.94498899779956003</v>
      </c>
      <c r="O86">
        <v>0.99049809961992397</v>
      </c>
      <c r="P86">
        <v>0.79347608565139105</v>
      </c>
      <c r="Q86">
        <v>0.89293576145687403</v>
      </c>
      <c r="R86">
        <v>0.94836902141284796</v>
      </c>
      <c r="S86">
        <v>0.98949369621773098</v>
      </c>
      <c r="T86">
        <v>0.793417366946779</v>
      </c>
      <c r="U86">
        <v>0.90326130452180897</v>
      </c>
      <c r="V86">
        <v>0.94167667066826699</v>
      </c>
      <c r="W86">
        <v>0.98769507803121204</v>
      </c>
      <c r="X86">
        <v>0.78230500582072204</v>
      </c>
      <c r="Y86">
        <v>0.95544502063710401</v>
      </c>
      <c r="Z86">
        <v>0.96518150068790298</v>
      </c>
      <c r="AA86">
        <v>0.98687691819240098</v>
      </c>
      <c r="AB86">
        <v>0.89580228514654703</v>
      </c>
      <c r="AC86">
        <v>0.91145057128663698</v>
      </c>
      <c r="AD86">
        <v>0.96224540486835597</v>
      </c>
      <c r="AE86">
        <v>0.98273720814704402</v>
      </c>
    </row>
    <row r="87" spans="1:31" x14ac:dyDescent="0.3">
      <c r="A87" t="s">
        <v>56</v>
      </c>
      <c r="B87">
        <v>50</v>
      </c>
      <c r="C87" t="s">
        <v>64</v>
      </c>
      <c r="D87">
        <v>0.81680412371134004</v>
      </c>
      <c r="E87">
        <v>0.89113402061855695</v>
      </c>
      <c r="F87">
        <v>0.92659793814433</v>
      </c>
      <c r="G87">
        <v>0.95855670103092805</v>
      </c>
      <c r="H87">
        <v>0.793504410585405</v>
      </c>
      <c r="I87">
        <v>0.90577385725741799</v>
      </c>
      <c r="J87">
        <v>0.94566960705693703</v>
      </c>
      <c r="K87">
        <v>0.99107858861266995</v>
      </c>
      <c r="L87">
        <v>0.79830000000000001</v>
      </c>
      <c r="M87">
        <v>0.90029999999999999</v>
      </c>
      <c r="N87">
        <v>0.95250000000000001</v>
      </c>
      <c r="O87">
        <v>0.98919999999999997</v>
      </c>
      <c r="P87">
        <v>0.80740370185092503</v>
      </c>
      <c r="Q87">
        <v>0.90265132566283102</v>
      </c>
      <c r="R87">
        <v>0.95077538769384695</v>
      </c>
      <c r="S87">
        <v>0.99049524762381203</v>
      </c>
      <c r="T87">
        <v>0.79790000000000005</v>
      </c>
      <c r="U87">
        <v>0.89539999999999997</v>
      </c>
      <c r="V87">
        <v>0.94630000000000003</v>
      </c>
      <c r="W87">
        <v>0.98529999999999995</v>
      </c>
      <c r="X87">
        <v>0.77558934585161798</v>
      </c>
      <c r="Y87">
        <v>0.90754158587611</v>
      </c>
      <c r="Z87">
        <v>0.94336156750688804</v>
      </c>
      <c r="AA87">
        <v>0.99520359220328602</v>
      </c>
      <c r="AB87">
        <v>0.874650912996778</v>
      </c>
      <c r="AC87">
        <v>0.94758324382384496</v>
      </c>
      <c r="AD87">
        <v>0.97529538131041904</v>
      </c>
      <c r="AE87">
        <v>0.988721804511278</v>
      </c>
    </row>
    <row r="88" spans="1:31" x14ac:dyDescent="0.3">
      <c r="A88" t="s">
        <v>57</v>
      </c>
      <c r="B88">
        <v>20</v>
      </c>
      <c r="C88" t="s">
        <v>64</v>
      </c>
      <c r="D88">
        <v>0.68522635408245802</v>
      </c>
      <c r="E88">
        <v>0.798504446240905</v>
      </c>
      <c r="F88">
        <v>0.86873484236054999</v>
      </c>
      <c r="G88">
        <v>0.94573565076798705</v>
      </c>
      <c r="H88">
        <v>0.77376751688678302</v>
      </c>
      <c r="I88">
        <v>0.86601471922572804</v>
      </c>
      <c r="J88">
        <v>0.91491077729609804</v>
      </c>
      <c r="K88">
        <v>0.95947172093961097</v>
      </c>
      <c r="L88">
        <v>0.78479239619809904</v>
      </c>
      <c r="M88">
        <v>0.88564282141070505</v>
      </c>
      <c r="N88">
        <v>0.93906953476738397</v>
      </c>
      <c r="O88">
        <v>0.98509254627313703</v>
      </c>
      <c r="P88">
        <v>0.78200000000000003</v>
      </c>
      <c r="Q88">
        <v>0.88429999999999997</v>
      </c>
      <c r="R88">
        <v>0.94069999999999998</v>
      </c>
      <c r="S88">
        <v>0.98529999999999995</v>
      </c>
      <c r="T88">
        <v>0.79088632949424098</v>
      </c>
      <c r="U88">
        <v>0.888032048072108</v>
      </c>
      <c r="V88">
        <v>0.94672008012018005</v>
      </c>
      <c r="W88">
        <v>0.99098647971957898</v>
      </c>
      <c r="X88">
        <v>0.83192623861364101</v>
      </c>
      <c r="Y88">
        <v>0.909242390579871</v>
      </c>
      <c r="Z88">
        <v>0.94523439235725404</v>
      </c>
      <c r="AA88">
        <v>0.96989557876027599</v>
      </c>
      <c r="AB88">
        <v>0.8</v>
      </c>
      <c r="AC88">
        <v>0.84843260188087799</v>
      </c>
      <c r="AD88">
        <v>0.91489028213166101</v>
      </c>
      <c r="AE88">
        <v>0.95125391849529795</v>
      </c>
    </row>
    <row r="89" spans="1:31" x14ac:dyDescent="0.3">
      <c r="A89" t="s">
        <v>57</v>
      </c>
      <c r="B89">
        <v>30</v>
      </c>
      <c r="C89" t="s">
        <v>64</v>
      </c>
      <c r="D89">
        <v>0.74281695800683101</v>
      </c>
      <c r="E89">
        <v>0.84066706851517004</v>
      </c>
      <c r="F89">
        <v>0.89793048020896105</v>
      </c>
      <c r="G89">
        <v>0.95197910387783802</v>
      </c>
      <c r="H89">
        <v>0.78243013122307903</v>
      </c>
      <c r="I89">
        <v>0.88310127216267698</v>
      </c>
      <c r="J89">
        <v>0.932885906040268</v>
      </c>
      <c r="K89">
        <v>0.97205248923169396</v>
      </c>
      <c r="L89">
        <v>0.79300000000000004</v>
      </c>
      <c r="M89">
        <v>0.88890000000000002</v>
      </c>
      <c r="N89">
        <v>0.94130000000000003</v>
      </c>
      <c r="O89">
        <v>0.98709999999999998</v>
      </c>
      <c r="P89">
        <v>0.79400000000000004</v>
      </c>
      <c r="Q89">
        <v>0.89419999999999999</v>
      </c>
      <c r="R89">
        <v>0.94889999999999997</v>
      </c>
      <c r="S89">
        <v>0.98899999999999999</v>
      </c>
      <c r="T89">
        <v>0.79449999999999998</v>
      </c>
      <c r="U89">
        <v>0.90100000000000002</v>
      </c>
      <c r="V89">
        <v>0.94679999999999997</v>
      </c>
      <c r="W89">
        <v>0.98729999999999996</v>
      </c>
      <c r="X89">
        <v>0.773739256497877</v>
      </c>
      <c r="Y89">
        <v>0.931034482758621</v>
      </c>
      <c r="Z89">
        <v>0.95184840012426197</v>
      </c>
      <c r="AA89">
        <v>0.979703841772807</v>
      </c>
      <c r="AB89">
        <v>0.85953827460510301</v>
      </c>
      <c r="AC89">
        <v>0.88955042527339001</v>
      </c>
      <c r="AD89">
        <v>0.93912515188335399</v>
      </c>
      <c r="AE89">
        <v>0.96549210206561398</v>
      </c>
    </row>
    <row r="90" spans="1:31" x14ac:dyDescent="0.3">
      <c r="A90" t="s">
        <v>57</v>
      </c>
      <c r="B90">
        <v>50</v>
      </c>
      <c r="C90" t="s">
        <v>64</v>
      </c>
      <c r="D90">
        <v>0.77413862179487203</v>
      </c>
      <c r="E90">
        <v>0.87229567307692302</v>
      </c>
      <c r="F90">
        <v>0.92047275641025605</v>
      </c>
      <c r="G90">
        <v>0.96834935897435903</v>
      </c>
      <c r="H90">
        <v>0.79190000000000005</v>
      </c>
      <c r="I90">
        <v>0.89249999999999996</v>
      </c>
      <c r="J90">
        <v>0.94569999999999999</v>
      </c>
      <c r="K90">
        <v>0.98550000000000004</v>
      </c>
      <c r="L90">
        <v>0.7984</v>
      </c>
      <c r="M90">
        <v>0.89890000000000003</v>
      </c>
      <c r="N90">
        <v>0.94699999999999995</v>
      </c>
      <c r="O90">
        <v>0.9899</v>
      </c>
      <c r="P90">
        <v>0.79700000000000004</v>
      </c>
      <c r="Q90">
        <v>0.89790000000000003</v>
      </c>
      <c r="R90">
        <v>0.94899999999999995</v>
      </c>
      <c r="S90">
        <v>0.98919999999999997</v>
      </c>
      <c r="T90">
        <v>0.79559999999999997</v>
      </c>
      <c r="U90">
        <v>0.89559999999999995</v>
      </c>
      <c r="V90">
        <v>0.94830000000000003</v>
      </c>
      <c r="W90">
        <v>0.98909999999999998</v>
      </c>
      <c r="X90">
        <v>0.77975169072373096</v>
      </c>
      <c r="Y90">
        <v>0.90854951044715904</v>
      </c>
      <c r="Z90">
        <v>0.94206116887049596</v>
      </c>
      <c r="AA90">
        <v>0.99343898253759999</v>
      </c>
      <c r="AB90">
        <v>0.86929284349118696</v>
      </c>
      <c r="AC90">
        <v>0.93724782331705203</v>
      </c>
      <c r="AD90">
        <v>0.96527925249522195</v>
      </c>
      <c r="AE90">
        <v>0.981843278827777</v>
      </c>
    </row>
    <row r="91" spans="1:31" x14ac:dyDescent="0.3">
      <c r="A91" t="s">
        <v>31</v>
      </c>
      <c r="B91">
        <v>20</v>
      </c>
      <c r="C91" t="s">
        <v>64</v>
      </c>
      <c r="D91">
        <v>0.76166075417159396</v>
      </c>
      <c r="E91">
        <v>0.83221652870844798</v>
      </c>
      <c r="F91">
        <v>0.88424648535015105</v>
      </c>
      <c r="G91">
        <v>0.92826172644856098</v>
      </c>
      <c r="H91">
        <v>0.81178483584643402</v>
      </c>
      <c r="I91">
        <v>0.88493209282429697</v>
      </c>
      <c r="J91">
        <v>0.92375147043096995</v>
      </c>
      <c r="K91">
        <v>0.95326703026414294</v>
      </c>
      <c r="L91">
        <v>0.78374048858630396</v>
      </c>
      <c r="M91">
        <v>0.88786543852623101</v>
      </c>
      <c r="N91">
        <v>0.94413295955146204</v>
      </c>
      <c r="O91">
        <v>0.98908690428514201</v>
      </c>
      <c r="P91">
        <v>0.79600000000000004</v>
      </c>
      <c r="Q91">
        <v>0.89870000000000005</v>
      </c>
      <c r="R91">
        <v>0.95079999999999998</v>
      </c>
      <c r="S91">
        <v>0.98899999999999999</v>
      </c>
      <c r="T91">
        <v>0.80294530154277699</v>
      </c>
      <c r="U91">
        <v>0.89921859346824295</v>
      </c>
      <c r="V91">
        <v>0.95211380484872798</v>
      </c>
      <c r="W91">
        <v>0.98877980364656404</v>
      </c>
      <c r="X91">
        <v>0.81608083413952504</v>
      </c>
      <c r="Y91">
        <v>0.88702569063742898</v>
      </c>
      <c r="Z91">
        <v>0.92497043964312597</v>
      </c>
      <c r="AA91">
        <v>0.95786305492851798</v>
      </c>
      <c r="AB91">
        <v>0.76437994722955105</v>
      </c>
      <c r="AC91">
        <v>0.828627968337731</v>
      </c>
      <c r="AD91">
        <v>0.88007915567282302</v>
      </c>
      <c r="AE91">
        <v>0.92176781002638497</v>
      </c>
    </row>
    <row r="92" spans="1:31" x14ac:dyDescent="0.3">
      <c r="A92" t="s">
        <v>31</v>
      </c>
      <c r="B92">
        <v>30</v>
      </c>
      <c r="C92" t="s">
        <v>64</v>
      </c>
      <c r="D92">
        <v>0.81143775838309595</v>
      </c>
      <c r="E92">
        <v>0.86632981166743195</v>
      </c>
      <c r="F92">
        <v>0.90939366100137797</v>
      </c>
      <c r="G92">
        <v>0.94304088194763402</v>
      </c>
      <c r="H92">
        <v>0.78420944978523199</v>
      </c>
      <c r="I92">
        <v>0.91542237676416405</v>
      </c>
      <c r="J92">
        <v>0.94375127838003703</v>
      </c>
      <c r="K92">
        <v>0.97208017999590901</v>
      </c>
      <c r="L92">
        <v>0.79687968796879705</v>
      </c>
      <c r="M92">
        <v>0.900890089008901</v>
      </c>
      <c r="N92">
        <v>0.94479447944794503</v>
      </c>
      <c r="O92">
        <v>0.98849884988498804</v>
      </c>
      <c r="P92">
        <v>0.79049999999999998</v>
      </c>
      <c r="Q92">
        <v>0.89629999999999999</v>
      </c>
      <c r="R92">
        <v>0.94640000000000002</v>
      </c>
      <c r="S92">
        <v>0.99</v>
      </c>
      <c r="T92">
        <v>0.79327932793279299</v>
      </c>
      <c r="U92">
        <v>0.89588958895889603</v>
      </c>
      <c r="V92">
        <v>0.94339433943394302</v>
      </c>
      <c r="W92">
        <v>0.98779877987798803</v>
      </c>
      <c r="X92">
        <v>0.78004094165813698</v>
      </c>
      <c r="Y92">
        <v>0.918116683725691</v>
      </c>
      <c r="Z92">
        <v>0.94575230296826995</v>
      </c>
      <c r="AA92">
        <v>0.97645854657113595</v>
      </c>
      <c r="AB92">
        <v>0.81263717223056497</v>
      </c>
      <c r="AC92">
        <v>0.86138385121866701</v>
      </c>
      <c r="AD92">
        <v>0.90435485734087995</v>
      </c>
      <c r="AE92">
        <v>0.93981748873743798</v>
      </c>
    </row>
    <row r="93" spans="1:31" x14ac:dyDescent="0.3">
      <c r="A93" t="s">
        <v>31</v>
      </c>
      <c r="B93">
        <v>50</v>
      </c>
      <c r="C93" t="s">
        <v>64</v>
      </c>
      <c r="D93">
        <v>0.84547646503826401</v>
      </c>
      <c r="E93">
        <v>0.91256945172449899</v>
      </c>
      <c r="F93">
        <v>0.94590627948422301</v>
      </c>
      <c r="G93">
        <v>0.97001782157458805</v>
      </c>
      <c r="H93">
        <v>0.78081091930951396</v>
      </c>
      <c r="I93">
        <v>0.90566037735849103</v>
      </c>
      <c r="J93">
        <v>0.94560417503010796</v>
      </c>
      <c r="K93">
        <v>0.991971095945403</v>
      </c>
      <c r="L93">
        <v>0.79920000000000002</v>
      </c>
      <c r="M93">
        <v>0.89780000000000004</v>
      </c>
      <c r="N93">
        <v>0.94979999999999998</v>
      </c>
      <c r="O93">
        <v>0.99039999999999995</v>
      </c>
      <c r="P93">
        <v>0.79820000000000002</v>
      </c>
      <c r="Q93">
        <v>0.8972</v>
      </c>
      <c r="R93">
        <v>0.95079999999999998</v>
      </c>
      <c r="S93">
        <v>0.99139999999999995</v>
      </c>
      <c r="T93">
        <v>0.79690000000000005</v>
      </c>
      <c r="U93">
        <v>0.89600000000000002</v>
      </c>
      <c r="V93">
        <v>0.94650000000000001</v>
      </c>
      <c r="W93">
        <v>0.99019999999999997</v>
      </c>
      <c r="X93">
        <v>0.77899277688603497</v>
      </c>
      <c r="Y93">
        <v>0.89967897271268105</v>
      </c>
      <c r="Z93">
        <v>0.93930577849117203</v>
      </c>
      <c r="AA93">
        <v>0.99107142857142905</v>
      </c>
      <c r="AB93">
        <v>0.84764601027576802</v>
      </c>
      <c r="AC93">
        <v>0.91559190521128198</v>
      </c>
      <c r="AD93">
        <v>0.94453182342455699</v>
      </c>
      <c r="AE93">
        <v>0.97011638880150997</v>
      </c>
    </row>
    <row r="94" spans="1:31" x14ac:dyDescent="0.3">
      <c r="A94" t="s">
        <v>56</v>
      </c>
      <c r="B94">
        <v>20</v>
      </c>
      <c r="C94" t="s">
        <v>88</v>
      </c>
      <c r="D94">
        <v>0.78080151638234496</v>
      </c>
      <c r="E94">
        <v>0.85228811264554605</v>
      </c>
      <c r="F94">
        <v>0.89723801787164903</v>
      </c>
      <c r="G94">
        <v>0.93636609802328696</v>
      </c>
      <c r="H94">
        <v>0.83433067375886505</v>
      </c>
      <c r="I94">
        <v>0.90613918439716301</v>
      </c>
      <c r="J94">
        <v>0.94126773049645396</v>
      </c>
      <c r="K94">
        <v>0.96908244680851097</v>
      </c>
      <c r="L94">
        <v>0.79774261815983105</v>
      </c>
      <c r="M94">
        <v>0.88168900534112704</v>
      </c>
      <c r="N94">
        <v>0.95303839564647796</v>
      </c>
      <c r="O94">
        <v>0.99163559407437296</v>
      </c>
      <c r="P94">
        <v>0.76150035385704196</v>
      </c>
      <c r="Q94">
        <v>0.88383378829238701</v>
      </c>
      <c r="R94">
        <v>0.95015670811849195</v>
      </c>
      <c r="S94">
        <v>0.98726114649681496</v>
      </c>
      <c r="T94">
        <v>0.79834677007857902</v>
      </c>
      <c r="U94">
        <v>0.87131339932646201</v>
      </c>
      <c r="V94">
        <v>0.95785284212674804</v>
      </c>
      <c r="W94">
        <v>0.99418307990611299</v>
      </c>
      <c r="X94">
        <v>0.84465794652158799</v>
      </c>
      <c r="Y94">
        <v>0.94003935640699199</v>
      </c>
      <c r="Z94">
        <v>0.97592313925222796</v>
      </c>
      <c r="AA94">
        <v>0.98865609445537705</v>
      </c>
      <c r="AB94">
        <v>0.76528243487232395</v>
      </c>
      <c r="AC94">
        <v>0.78694867165334004</v>
      </c>
      <c r="AD94">
        <v>0.93345370131545002</v>
      </c>
      <c r="AE94">
        <v>0.97704410626773297</v>
      </c>
    </row>
    <row r="95" spans="1:31" x14ac:dyDescent="0.3">
      <c r="A95" t="s">
        <v>56</v>
      </c>
      <c r="B95">
        <v>30</v>
      </c>
      <c r="C95" t="s">
        <v>88</v>
      </c>
      <c r="D95">
        <v>0.83337247534053505</v>
      </c>
      <c r="E95">
        <v>0.87635039924847302</v>
      </c>
      <c r="F95">
        <v>0.92026773132926298</v>
      </c>
      <c r="G95">
        <v>0.95162047909816805</v>
      </c>
      <c r="H95">
        <v>0.77347835180924496</v>
      </c>
      <c r="I95">
        <v>0.93725162099979098</v>
      </c>
      <c r="J95">
        <v>0.95607613469985397</v>
      </c>
      <c r="K95">
        <v>0.98232587324827403</v>
      </c>
      <c r="L95">
        <v>0.79675935187037406</v>
      </c>
      <c r="M95">
        <v>0.905881176235247</v>
      </c>
      <c r="N95">
        <v>0.94288857771554302</v>
      </c>
      <c r="O95">
        <v>0.98919783956791396</v>
      </c>
      <c r="P95">
        <v>0.79242424242424203</v>
      </c>
      <c r="Q95">
        <v>0.89383838383838399</v>
      </c>
      <c r="R95">
        <v>0.95060606060606101</v>
      </c>
      <c r="S95">
        <v>0.98747474747474795</v>
      </c>
      <c r="T95">
        <v>0.79501800720288096</v>
      </c>
      <c r="U95">
        <v>0.90716286514605804</v>
      </c>
      <c r="V95">
        <v>0.94117647058823495</v>
      </c>
      <c r="W95">
        <v>0.98729491796718705</v>
      </c>
      <c r="X95">
        <v>0.78039465308720601</v>
      </c>
      <c r="Y95">
        <v>0.96488436240186704</v>
      </c>
      <c r="Z95">
        <v>0.97018883938043698</v>
      </c>
      <c r="AA95">
        <v>0.98992149374071703</v>
      </c>
      <c r="AB95">
        <v>0.91295036533131801</v>
      </c>
      <c r="AC95">
        <v>0.91987906273620601</v>
      </c>
      <c r="AD95">
        <v>0.97266313932980597</v>
      </c>
      <c r="AE95">
        <v>0.98992189468379899</v>
      </c>
    </row>
    <row r="96" spans="1:31" x14ac:dyDescent="0.3">
      <c r="A96" t="s">
        <v>56</v>
      </c>
      <c r="B96">
        <v>50</v>
      </c>
      <c r="C96" t="s">
        <v>88</v>
      </c>
      <c r="D96">
        <v>0.85617453929252296</v>
      </c>
      <c r="E96">
        <v>0.92533361575937301</v>
      </c>
      <c r="F96">
        <v>0.95678881592882903</v>
      </c>
      <c r="G96">
        <v>0.97754712984537195</v>
      </c>
      <c r="H96">
        <v>0.78721895888191196</v>
      </c>
      <c r="I96">
        <v>0.90945918574032802</v>
      </c>
      <c r="J96">
        <v>0.946121126189994</v>
      </c>
      <c r="K96">
        <v>0.993315778813044</v>
      </c>
      <c r="L96">
        <v>0.80230000000000001</v>
      </c>
      <c r="M96">
        <v>0.90029999999999999</v>
      </c>
      <c r="N96">
        <v>0.95240000000000002</v>
      </c>
      <c r="O96">
        <v>0.98839999999999995</v>
      </c>
      <c r="P96">
        <v>0.80583794665324604</v>
      </c>
      <c r="Q96">
        <v>0.89723200805234005</v>
      </c>
      <c r="R96">
        <v>0.94373427277302502</v>
      </c>
      <c r="S96">
        <v>0.99164569703069905</v>
      </c>
      <c r="T96">
        <v>0.80169999999999997</v>
      </c>
      <c r="U96">
        <v>0.89659999999999995</v>
      </c>
      <c r="V96">
        <v>0.94740000000000002</v>
      </c>
      <c r="W96">
        <v>0.98460000000000003</v>
      </c>
      <c r="X96">
        <v>0.77097991230753504</v>
      </c>
      <c r="Y96">
        <v>0.90843275211583596</v>
      </c>
      <c r="Z96">
        <v>0.94350973794228599</v>
      </c>
      <c r="AA96">
        <v>0.99561537677169398</v>
      </c>
      <c r="AB96">
        <v>0.88281671886812796</v>
      </c>
      <c r="AC96">
        <v>0.95550275407711405</v>
      </c>
      <c r="AD96">
        <v>0.98293552219462099</v>
      </c>
      <c r="AE96">
        <v>0.99416783669942799</v>
      </c>
    </row>
    <row r="97" spans="1:31" x14ac:dyDescent="0.3">
      <c r="A97" t="s">
        <v>57</v>
      </c>
      <c r="B97">
        <v>20</v>
      </c>
      <c r="C97" t="s">
        <v>88</v>
      </c>
      <c r="D97">
        <v>0.73153424362971697</v>
      </c>
      <c r="E97">
        <v>0.81840662294376898</v>
      </c>
      <c r="F97">
        <v>0.86646597140092496</v>
      </c>
      <c r="G97">
        <v>0.91721320288141095</v>
      </c>
      <c r="H97">
        <v>0.78547035082272598</v>
      </c>
      <c r="I97">
        <v>0.86381041084549304</v>
      </c>
      <c r="J97">
        <v>0.90758563593087005</v>
      </c>
      <c r="K97">
        <v>0.94753182241539902</v>
      </c>
      <c r="L97">
        <v>0.78970558782295197</v>
      </c>
      <c r="M97">
        <v>0.88313639094732599</v>
      </c>
      <c r="N97">
        <v>0.943320648908472</v>
      </c>
      <c r="O97">
        <v>0.98878429801722401</v>
      </c>
      <c r="P97">
        <v>0.77200880352140899</v>
      </c>
      <c r="Q97">
        <v>0.882753101240496</v>
      </c>
      <c r="R97">
        <v>0.943377350940376</v>
      </c>
      <c r="S97">
        <v>0.98579431772709103</v>
      </c>
      <c r="T97">
        <v>0.79436052366566001</v>
      </c>
      <c r="U97">
        <v>0.87875125881168203</v>
      </c>
      <c r="V97">
        <v>0.95196374622356505</v>
      </c>
      <c r="W97">
        <v>0.99264853977844902</v>
      </c>
      <c r="X97">
        <v>0.83773541570969201</v>
      </c>
      <c r="Y97">
        <v>0.92857142857142905</v>
      </c>
      <c r="Z97">
        <v>0.96463022508038598</v>
      </c>
      <c r="AA97">
        <v>0.98128158015617795</v>
      </c>
      <c r="AB97">
        <v>0.79821717990275498</v>
      </c>
      <c r="AC97">
        <v>0.82961912479740696</v>
      </c>
      <c r="AD97">
        <v>0.92990275526742305</v>
      </c>
      <c r="AE97">
        <v>0.96799027552674199</v>
      </c>
    </row>
    <row r="98" spans="1:31" x14ac:dyDescent="0.3">
      <c r="A98" t="s">
        <v>57</v>
      </c>
      <c r="B98">
        <v>30</v>
      </c>
      <c r="C98" t="s">
        <v>88</v>
      </c>
      <c r="D98">
        <v>0.75680485762144101</v>
      </c>
      <c r="E98">
        <v>0.83741624790619795</v>
      </c>
      <c r="F98">
        <v>0.87929229480737003</v>
      </c>
      <c r="G98">
        <v>0.92504187604690102</v>
      </c>
      <c r="H98">
        <v>0.78485491861288004</v>
      </c>
      <c r="I98">
        <v>0.89434839753311102</v>
      </c>
      <c r="J98">
        <v>0.93569912041249603</v>
      </c>
      <c r="K98">
        <v>0.96865837630168805</v>
      </c>
      <c r="L98">
        <v>0.79217921792179202</v>
      </c>
      <c r="M98">
        <v>0.89078907890789105</v>
      </c>
      <c r="N98">
        <v>0.94099409940994105</v>
      </c>
      <c r="O98">
        <v>0.988898889888989</v>
      </c>
      <c r="P98">
        <v>0.78977386431859098</v>
      </c>
      <c r="Q98">
        <v>0.898038823293976</v>
      </c>
      <c r="R98">
        <v>0.94966980188112904</v>
      </c>
      <c r="S98">
        <v>0.98869321592955794</v>
      </c>
      <c r="T98">
        <v>0.79767976797679796</v>
      </c>
      <c r="U98">
        <v>0.90779077907790795</v>
      </c>
      <c r="V98">
        <v>0.94359435943594405</v>
      </c>
      <c r="W98">
        <v>0.986298629862986</v>
      </c>
      <c r="X98">
        <v>0.76762346981848895</v>
      </c>
      <c r="Y98">
        <v>0.95113972140143499</v>
      </c>
      <c r="Z98">
        <v>0.96074292950612095</v>
      </c>
      <c r="AA98">
        <v>0.98543689320388395</v>
      </c>
      <c r="AB98">
        <v>0.89298662332791601</v>
      </c>
      <c r="AC98">
        <v>0.90786348293536701</v>
      </c>
      <c r="AD98">
        <v>0.96249531191398896</v>
      </c>
      <c r="AE98">
        <v>0.98162270283785502</v>
      </c>
    </row>
    <row r="99" spans="1:31" x14ac:dyDescent="0.3">
      <c r="A99" t="s">
        <v>57</v>
      </c>
      <c r="B99">
        <v>50</v>
      </c>
      <c r="C99" t="s">
        <v>88</v>
      </c>
      <c r="D99">
        <v>0.79546148366744696</v>
      </c>
      <c r="E99">
        <v>0.87340999287676802</v>
      </c>
      <c r="F99">
        <v>0.91625114480512904</v>
      </c>
      <c r="G99">
        <v>0.95532715986567596</v>
      </c>
      <c r="H99">
        <v>0.79079079079079095</v>
      </c>
      <c r="I99">
        <v>0.89739739739739699</v>
      </c>
      <c r="J99">
        <v>0.94604604604604603</v>
      </c>
      <c r="K99">
        <v>0.98718718718718701</v>
      </c>
      <c r="L99">
        <v>0.79949999999999999</v>
      </c>
      <c r="M99">
        <v>0.89859999999999995</v>
      </c>
      <c r="N99">
        <v>0.94910000000000005</v>
      </c>
      <c r="O99">
        <v>0.99</v>
      </c>
      <c r="P99">
        <v>0.79797979797979801</v>
      </c>
      <c r="Q99">
        <v>0.89488948894889497</v>
      </c>
      <c r="R99">
        <v>0.94609460946094603</v>
      </c>
      <c r="S99">
        <v>0.98939893989398897</v>
      </c>
      <c r="T99">
        <v>0.80079999999999996</v>
      </c>
      <c r="U99">
        <v>0.89749999999999996</v>
      </c>
      <c r="V99">
        <v>0.9496</v>
      </c>
      <c r="W99">
        <v>0.98699999999999999</v>
      </c>
      <c r="X99">
        <v>0.77072870759454704</v>
      </c>
      <c r="Y99">
        <v>0.90939838064978995</v>
      </c>
      <c r="Z99">
        <v>0.943322742646305</v>
      </c>
      <c r="AA99">
        <v>0.99579788869529595</v>
      </c>
      <c r="AB99">
        <v>0.88425230637202301</v>
      </c>
      <c r="AC99">
        <v>0.95333619394979596</v>
      </c>
      <c r="AD99">
        <v>0.97854537652864204</v>
      </c>
      <c r="AE99">
        <v>0.99141815061145699</v>
      </c>
    </row>
    <row r="100" spans="1:31" x14ac:dyDescent="0.3">
      <c r="A100" t="s">
        <v>31</v>
      </c>
      <c r="B100">
        <v>20</v>
      </c>
      <c r="C100" t="s">
        <v>88</v>
      </c>
      <c r="D100">
        <v>0.788950276243094</v>
      </c>
      <c r="E100">
        <v>0.84230465666929799</v>
      </c>
      <c r="F100">
        <v>0.91412786108918698</v>
      </c>
      <c r="G100">
        <v>0.95185477505919502</v>
      </c>
      <c r="H100">
        <v>0.82884810269113796</v>
      </c>
      <c r="I100">
        <v>0.91442405134556903</v>
      </c>
      <c r="J100">
        <v>0.95034342979394204</v>
      </c>
      <c r="K100">
        <v>0.97196261682243001</v>
      </c>
      <c r="L100">
        <v>0.78746484531940497</v>
      </c>
      <c r="M100">
        <v>0.87856568903174004</v>
      </c>
      <c r="N100">
        <v>0.94907593411008395</v>
      </c>
      <c r="O100">
        <v>0.99337083165930096</v>
      </c>
      <c r="P100">
        <v>0.78190371334200803</v>
      </c>
      <c r="Q100">
        <v>0.89400460414372895</v>
      </c>
      <c r="R100">
        <v>0.95295766189570597</v>
      </c>
      <c r="S100">
        <v>0.98919027124411996</v>
      </c>
      <c r="T100">
        <v>0.807897116447302</v>
      </c>
      <c r="U100">
        <v>0.89229378076961696</v>
      </c>
      <c r="V100">
        <v>0.95709836230282297</v>
      </c>
      <c r="W100">
        <v>0.99216316688435602</v>
      </c>
      <c r="X100">
        <v>0.83275495354304296</v>
      </c>
      <c r="Y100">
        <v>0.91245942012761705</v>
      </c>
      <c r="Z100">
        <v>0.94772192992275806</v>
      </c>
      <c r="AA100">
        <v>0.97268554796820805</v>
      </c>
      <c r="AB100">
        <v>0.79593457201842099</v>
      </c>
      <c r="AC100">
        <v>0.84151183103064997</v>
      </c>
      <c r="AD100">
        <v>0.91297443226933495</v>
      </c>
      <c r="AE100">
        <v>0.94997617913291998</v>
      </c>
    </row>
    <row r="101" spans="1:31" x14ac:dyDescent="0.3">
      <c r="A101" t="s">
        <v>31</v>
      </c>
      <c r="B101">
        <v>30</v>
      </c>
      <c r="C101" t="s">
        <v>88</v>
      </c>
      <c r="D101">
        <v>0.86381745744295502</v>
      </c>
      <c r="E101">
        <v>0.89339611251961804</v>
      </c>
      <c r="F101">
        <v>0.94386091995653798</v>
      </c>
      <c r="G101">
        <v>0.968127490039841</v>
      </c>
      <c r="H101">
        <v>0.77800105764145999</v>
      </c>
      <c r="I101">
        <v>0.94362771020624003</v>
      </c>
      <c r="J101">
        <v>0.96023268112110005</v>
      </c>
      <c r="K101">
        <v>0.98318350079323102</v>
      </c>
      <c r="L101">
        <v>0.79567956795679595</v>
      </c>
      <c r="M101">
        <v>0.90649064906490695</v>
      </c>
      <c r="N101">
        <v>0.94039403940393995</v>
      </c>
      <c r="O101">
        <v>0.98769876987698801</v>
      </c>
      <c r="P101">
        <v>0.79331063488884401</v>
      </c>
      <c r="Q101">
        <v>0.89565391548167395</v>
      </c>
      <c r="R101">
        <v>0.94842779891848605</v>
      </c>
      <c r="S101">
        <v>0.98868415782094898</v>
      </c>
      <c r="T101">
        <v>0.79327932793279299</v>
      </c>
      <c r="U101">
        <v>0.90109010901090103</v>
      </c>
      <c r="V101">
        <v>0.93929392939293899</v>
      </c>
      <c r="W101">
        <v>0.98809880988098797</v>
      </c>
      <c r="X101">
        <v>0.77715003138731997</v>
      </c>
      <c r="Y101">
        <v>0.94413057124921496</v>
      </c>
      <c r="Z101">
        <v>0.95909186022180404</v>
      </c>
      <c r="AA101">
        <v>0.98566645741786996</v>
      </c>
      <c r="AB101">
        <v>0.86716181663216896</v>
      </c>
      <c r="AC101">
        <v>0.89285279435041998</v>
      </c>
      <c r="AD101">
        <v>0.94350420065749396</v>
      </c>
      <c r="AE101">
        <v>0.96736880555217297</v>
      </c>
    </row>
    <row r="102" spans="1:31" x14ac:dyDescent="0.3">
      <c r="A102" t="s">
        <v>31</v>
      </c>
      <c r="B102">
        <v>50</v>
      </c>
      <c r="C102" t="s">
        <v>88</v>
      </c>
      <c r="D102">
        <v>0.86934244235696001</v>
      </c>
      <c r="E102">
        <v>0.93733988044406502</v>
      </c>
      <c r="F102">
        <v>0.96893680614859101</v>
      </c>
      <c r="G102">
        <v>0.98484201537147698</v>
      </c>
      <c r="H102">
        <v>0.77017615731257705</v>
      </c>
      <c r="I102">
        <v>0.91018025399426505</v>
      </c>
      <c r="J102">
        <v>0.94561655059401895</v>
      </c>
      <c r="K102">
        <v>0.994059811552642</v>
      </c>
      <c r="L102">
        <v>0.8034</v>
      </c>
      <c r="M102">
        <v>0.89990000000000003</v>
      </c>
      <c r="N102">
        <v>0.95140000000000002</v>
      </c>
      <c r="O102">
        <v>0.98939999999999995</v>
      </c>
      <c r="P102">
        <v>0.795415874286858</v>
      </c>
      <c r="Q102">
        <v>0.89370433390050996</v>
      </c>
      <c r="R102">
        <v>0.94735261735562004</v>
      </c>
      <c r="S102">
        <v>0.99199279351416303</v>
      </c>
      <c r="T102">
        <v>0.80220000000000002</v>
      </c>
      <c r="U102">
        <v>0.89639999999999997</v>
      </c>
      <c r="V102">
        <v>0.94810000000000005</v>
      </c>
      <c r="W102">
        <v>0.98880000000000001</v>
      </c>
      <c r="X102">
        <v>0.77177329412957496</v>
      </c>
      <c r="Y102">
        <v>0.90530264625367496</v>
      </c>
      <c r="Z102">
        <v>0.93947074926493002</v>
      </c>
      <c r="AA102">
        <v>0.99422082530670197</v>
      </c>
      <c r="AB102">
        <v>0.87179213002566303</v>
      </c>
      <c r="AC102">
        <v>0.94150983746792105</v>
      </c>
      <c r="AD102">
        <v>0.96995295124037595</v>
      </c>
      <c r="AE102">
        <v>0.98642001710864002</v>
      </c>
    </row>
    <row r="103" spans="1:31" x14ac:dyDescent="0.3">
      <c r="A103" t="s">
        <v>56</v>
      </c>
      <c r="B103">
        <v>20</v>
      </c>
      <c r="C103" t="s">
        <v>89</v>
      </c>
      <c r="D103">
        <v>0.71960000000000002</v>
      </c>
      <c r="E103">
        <v>0.79830000000000001</v>
      </c>
      <c r="F103">
        <v>0.8347</v>
      </c>
      <c r="G103">
        <v>0.87270000000000003</v>
      </c>
      <c r="H103">
        <v>0.79969999999999997</v>
      </c>
      <c r="I103">
        <v>0.86699999999999999</v>
      </c>
      <c r="J103">
        <v>0.90049999999999997</v>
      </c>
      <c r="K103">
        <v>0.93240000000000001</v>
      </c>
      <c r="L103">
        <v>0.84209999999999996</v>
      </c>
      <c r="M103">
        <v>0.93059999999999998</v>
      </c>
      <c r="N103">
        <v>0.96830000000000005</v>
      </c>
      <c r="O103">
        <v>0.99390000000000001</v>
      </c>
      <c r="P103">
        <v>0.84940000000000004</v>
      </c>
      <c r="Q103">
        <v>0.93179999999999996</v>
      </c>
      <c r="R103">
        <v>0.97040000000000004</v>
      </c>
      <c r="S103">
        <v>0.99690000000000001</v>
      </c>
      <c r="T103">
        <v>0.83418341834183396</v>
      </c>
      <c r="U103">
        <v>0.932193219321932</v>
      </c>
      <c r="V103">
        <v>0.96499649964996503</v>
      </c>
      <c r="W103">
        <v>0.99359935993599402</v>
      </c>
      <c r="X103">
        <v>0.81468778371835004</v>
      </c>
      <c r="Y103">
        <v>0.85816604458791501</v>
      </c>
      <c r="Z103">
        <v>0.87410471098557496</v>
      </c>
      <c r="AA103">
        <v>0.89165741955008604</v>
      </c>
      <c r="AB103">
        <v>0.55231169958758397</v>
      </c>
      <c r="AC103">
        <v>0.61905795528543495</v>
      </c>
      <c r="AD103">
        <v>0.63935315823746497</v>
      </c>
      <c r="AE103">
        <v>0.65248534838289596</v>
      </c>
    </row>
    <row r="104" spans="1:31" x14ac:dyDescent="0.3">
      <c r="A104" t="s">
        <v>56</v>
      </c>
      <c r="B104">
        <v>30</v>
      </c>
      <c r="C104" t="s">
        <v>89</v>
      </c>
      <c r="D104">
        <v>0.76080000000000003</v>
      </c>
      <c r="E104">
        <v>0.83830000000000005</v>
      </c>
      <c r="F104">
        <v>0.877</v>
      </c>
      <c r="G104">
        <v>0.91500000000000004</v>
      </c>
      <c r="H104">
        <v>0.81299999999999994</v>
      </c>
      <c r="I104">
        <v>0.89870000000000005</v>
      </c>
      <c r="J104">
        <v>0.93540000000000001</v>
      </c>
      <c r="K104">
        <v>0.96530000000000005</v>
      </c>
      <c r="L104">
        <v>0.83540000000000003</v>
      </c>
      <c r="M104">
        <v>0.92730000000000001</v>
      </c>
      <c r="N104">
        <v>0.96689999999999998</v>
      </c>
      <c r="O104">
        <v>0.99519999999999997</v>
      </c>
      <c r="P104">
        <v>0.83</v>
      </c>
      <c r="Q104">
        <v>0.92259999999999998</v>
      </c>
      <c r="R104">
        <v>0.96460000000000001</v>
      </c>
      <c r="S104">
        <v>0.99609999999999999</v>
      </c>
      <c r="T104">
        <v>0.82769999999999999</v>
      </c>
      <c r="U104">
        <v>0.92589999999999995</v>
      </c>
      <c r="V104">
        <v>0.96830000000000005</v>
      </c>
      <c r="W104">
        <v>0.99470000000000003</v>
      </c>
      <c r="X104">
        <v>0.80118843790915495</v>
      </c>
      <c r="Y104">
        <v>0.92083794944103103</v>
      </c>
      <c r="Z104">
        <v>0.94249169100614405</v>
      </c>
      <c r="AA104">
        <v>0.95669251686977497</v>
      </c>
      <c r="AB104">
        <v>0.72489999999999999</v>
      </c>
      <c r="AC104">
        <v>0.77659999999999996</v>
      </c>
      <c r="AD104">
        <v>0.7873</v>
      </c>
      <c r="AE104">
        <v>0.8044</v>
      </c>
    </row>
    <row r="105" spans="1:31" x14ac:dyDescent="0.3">
      <c r="A105" t="s">
        <v>56</v>
      </c>
      <c r="B105">
        <v>50</v>
      </c>
      <c r="C105" t="s">
        <v>89</v>
      </c>
      <c r="D105">
        <v>0.79669999999999996</v>
      </c>
      <c r="E105">
        <v>0.87990000000000002</v>
      </c>
      <c r="F105">
        <v>0.91910000000000003</v>
      </c>
      <c r="G105">
        <v>0.95599999999999996</v>
      </c>
      <c r="H105">
        <v>0.81940000000000002</v>
      </c>
      <c r="I105">
        <v>0.91439999999999999</v>
      </c>
      <c r="J105">
        <v>0.95750000000000002</v>
      </c>
      <c r="K105">
        <v>0.98919999999999997</v>
      </c>
      <c r="L105">
        <v>0.82340000000000002</v>
      </c>
      <c r="M105">
        <v>0.91910000000000003</v>
      </c>
      <c r="N105">
        <v>0.96330000000000005</v>
      </c>
      <c r="O105">
        <v>0.99329999999999996</v>
      </c>
      <c r="P105">
        <v>0.83289999999999997</v>
      </c>
      <c r="Q105">
        <v>0.92300000000000004</v>
      </c>
      <c r="R105">
        <v>0.96560000000000001</v>
      </c>
      <c r="S105">
        <v>0.99350000000000005</v>
      </c>
      <c r="T105">
        <v>0.81740000000000002</v>
      </c>
      <c r="U105">
        <v>0.9133</v>
      </c>
      <c r="V105">
        <v>0.95789999999999997</v>
      </c>
      <c r="W105">
        <v>0.99219999999999997</v>
      </c>
      <c r="X105">
        <v>0.81912118780096299</v>
      </c>
      <c r="Y105">
        <v>0.92475922953450995</v>
      </c>
      <c r="Z105">
        <v>0.95254815409309801</v>
      </c>
      <c r="AA105">
        <v>0.99207463884430203</v>
      </c>
      <c r="AB105">
        <v>0.82269999999999999</v>
      </c>
      <c r="AC105">
        <v>0.88219999999999998</v>
      </c>
      <c r="AD105">
        <v>0.90869999999999995</v>
      </c>
      <c r="AE105">
        <v>0.92459999999999998</v>
      </c>
    </row>
    <row r="106" spans="1:31" x14ac:dyDescent="0.3">
      <c r="A106" t="s">
        <v>57</v>
      </c>
      <c r="B106">
        <v>20</v>
      </c>
      <c r="C106" t="s">
        <v>89</v>
      </c>
      <c r="D106">
        <v>0.42259999999999998</v>
      </c>
      <c r="E106">
        <v>0.58479999999999999</v>
      </c>
      <c r="F106">
        <v>0.72460000000000002</v>
      </c>
      <c r="G106">
        <v>0.9355</v>
      </c>
      <c r="H106">
        <v>0.746</v>
      </c>
      <c r="I106">
        <v>0.8619</v>
      </c>
      <c r="J106">
        <v>0.9274</v>
      </c>
      <c r="K106">
        <v>0.9859</v>
      </c>
      <c r="L106">
        <v>0.83330000000000004</v>
      </c>
      <c r="M106">
        <v>0.92179999999999995</v>
      </c>
      <c r="N106">
        <v>0.96319999999999995</v>
      </c>
      <c r="O106">
        <v>0.99270000000000003</v>
      </c>
      <c r="P106">
        <v>0.83189999999999997</v>
      </c>
      <c r="Q106">
        <v>0.92259999999999998</v>
      </c>
      <c r="R106">
        <v>0.96340000000000003</v>
      </c>
      <c r="S106">
        <v>0.99519999999999997</v>
      </c>
      <c r="T106">
        <v>0.83589999999999998</v>
      </c>
      <c r="U106">
        <v>0.92920000000000003</v>
      </c>
      <c r="V106">
        <v>0.96750000000000003</v>
      </c>
      <c r="W106">
        <v>0.99360000000000004</v>
      </c>
      <c r="X106">
        <v>0.79920000000000002</v>
      </c>
      <c r="Y106">
        <v>0.85499999999999998</v>
      </c>
      <c r="Z106">
        <v>0.88100000000000001</v>
      </c>
      <c r="AA106">
        <v>0.90369999999999995</v>
      </c>
      <c r="AB106">
        <v>0.61480514262756103</v>
      </c>
      <c r="AC106">
        <v>0.67577340297308197</v>
      </c>
      <c r="AD106">
        <v>0.69947770188830805</v>
      </c>
      <c r="AE106">
        <v>0.72278023302531103</v>
      </c>
    </row>
    <row r="107" spans="1:31" x14ac:dyDescent="0.3">
      <c r="A107" t="s">
        <v>57</v>
      </c>
      <c r="B107">
        <v>30</v>
      </c>
      <c r="C107" t="s">
        <v>89</v>
      </c>
      <c r="D107">
        <v>0.44479999999999997</v>
      </c>
      <c r="E107">
        <v>0.59689999999999999</v>
      </c>
      <c r="F107">
        <v>0.72489999999999999</v>
      </c>
      <c r="G107">
        <v>0.90500000000000003</v>
      </c>
      <c r="H107">
        <v>0.76659999999999995</v>
      </c>
      <c r="I107">
        <v>0.87470000000000003</v>
      </c>
      <c r="J107">
        <v>0.93289999999999995</v>
      </c>
      <c r="K107">
        <v>0.98619999999999997</v>
      </c>
      <c r="L107">
        <v>0.8286</v>
      </c>
      <c r="M107">
        <v>0.91439999999999999</v>
      </c>
      <c r="N107">
        <v>0.96099999999999997</v>
      </c>
      <c r="O107">
        <v>0.99280000000000002</v>
      </c>
      <c r="P107">
        <v>0.83150000000000002</v>
      </c>
      <c r="Q107">
        <v>0.92290000000000005</v>
      </c>
      <c r="R107">
        <v>0.96350000000000002</v>
      </c>
      <c r="S107">
        <v>0.99480000000000002</v>
      </c>
      <c r="T107">
        <v>0.83489999999999998</v>
      </c>
      <c r="U107">
        <v>0.9264</v>
      </c>
      <c r="V107">
        <v>0.96760000000000002</v>
      </c>
      <c r="W107">
        <v>0.99480000000000002</v>
      </c>
      <c r="X107">
        <v>0.82120000000000004</v>
      </c>
      <c r="Y107">
        <v>0.90780000000000005</v>
      </c>
      <c r="Z107">
        <v>0.93759999999999999</v>
      </c>
      <c r="AA107">
        <v>0.95920000000000005</v>
      </c>
      <c r="AB107">
        <v>0.71689999999999998</v>
      </c>
      <c r="AC107">
        <v>0.7762</v>
      </c>
      <c r="AD107">
        <v>0.79820000000000002</v>
      </c>
      <c r="AE107">
        <v>0.82340000000000002</v>
      </c>
    </row>
    <row r="108" spans="1:31" x14ac:dyDescent="0.3">
      <c r="A108" t="s">
        <v>57</v>
      </c>
      <c r="B108">
        <v>50</v>
      </c>
      <c r="C108" t="s">
        <v>89</v>
      </c>
      <c r="D108">
        <v>0.4869</v>
      </c>
      <c r="E108">
        <v>0.63690000000000002</v>
      </c>
      <c r="F108">
        <v>0.74739999999999995</v>
      </c>
      <c r="G108">
        <v>0.90539999999999998</v>
      </c>
      <c r="H108">
        <v>0.78839999999999999</v>
      </c>
      <c r="I108">
        <v>0.89180000000000004</v>
      </c>
      <c r="J108">
        <v>0.9466</v>
      </c>
      <c r="K108">
        <v>0.9899</v>
      </c>
      <c r="L108">
        <v>0.81979999999999997</v>
      </c>
      <c r="M108">
        <v>0.91269999999999996</v>
      </c>
      <c r="N108">
        <v>0.96</v>
      </c>
      <c r="O108">
        <v>0.99309999999999998</v>
      </c>
      <c r="P108">
        <v>0.82130000000000003</v>
      </c>
      <c r="Q108">
        <v>0.91749999999999998</v>
      </c>
      <c r="R108">
        <v>0.96</v>
      </c>
      <c r="S108">
        <v>0.99250000000000005</v>
      </c>
      <c r="T108">
        <v>0.81989999999999996</v>
      </c>
      <c r="U108">
        <v>0.91379999999999995</v>
      </c>
      <c r="V108">
        <v>0.96050000000000002</v>
      </c>
      <c r="W108">
        <v>0.99319999999999997</v>
      </c>
      <c r="X108">
        <v>0.80500000000000005</v>
      </c>
      <c r="Y108">
        <v>0.91639999999999999</v>
      </c>
      <c r="Z108">
        <v>0.95169999999999999</v>
      </c>
      <c r="AA108">
        <v>0.98880000000000001</v>
      </c>
      <c r="AB108">
        <v>0.82399999999999995</v>
      </c>
      <c r="AC108">
        <v>0.88360000000000005</v>
      </c>
      <c r="AD108">
        <v>0.91069999999999995</v>
      </c>
      <c r="AE108">
        <v>0.93140000000000001</v>
      </c>
    </row>
    <row r="109" spans="1:31" x14ac:dyDescent="0.3">
      <c r="A109" t="s">
        <v>31</v>
      </c>
      <c r="B109">
        <v>20</v>
      </c>
      <c r="C109" t="s">
        <v>89</v>
      </c>
      <c r="D109">
        <v>0.65949999999999998</v>
      </c>
      <c r="E109">
        <v>0.73099999999999998</v>
      </c>
      <c r="F109">
        <v>0.76780000000000004</v>
      </c>
      <c r="G109">
        <v>0.80800000000000005</v>
      </c>
      <c r="H109">
        <v>0.79379999999999995</v>
      </c>
      <c r="I109">
        <v>0.86270000000000002</v>
      </c>
      <c r="J109">
        <v>0.89659999999999995</v>
      </c>
      <c r="K109">
        <v>0.93059999999999998</v>
      </c>
      <c r="L109">
        <v>0.83409999999999995</v>
      </c>
      <c r="M109">
        <v>0.92610000000000003</v>
      </c>
      <c r="N109">
        <v>0.96679999999999999</v>
      </c>
      <c r="O109">
        <v>0.99199999999999999</v>
      </c>
      <c r="P109">
        <v>0.85370000000000001</v>
      </c>
      <c r="Q109">
        <v>0.93810000000000004</v>
      </c>
      <c r="R109">
        <v>0.97419999999999995</v>
      </c>
      <c r="S109">
        <v>0.99680000000000002</v>
      </c>
      <c r="T109">
        <v>0.85019999999999996</v>
      </c>
      <c r="U109">
        <v>0.93669999999999998</v>
      </c>
      <c r="V109">
        <v>0.97170000000000001</v>
      </c>
      <c r="W109">
        <v>0.99270000000000003</v>
      </c>
      <c r="X109">
        <v>0.79290000000000005</v>
      </c>
      <c r="Y109">
        <v>0.86219999999999997</v>
      </c>
      <c r="Z109">
        <v>0.89559999999999995</v>
      </c>
      <c r="AA109">
        <v>0.92620000000000002</v>
      </c>
      <c r="AB109">
        <v>0.65600000000000003</v>
      </c>
      <c r="AC109">
        <v>0.72650000000000003</v>
      </c>
      <c r="AD109">
        <v>0.76449999999999996</v>
      </c>
      <c r="AE109">
        <v>0.80310000000000004</v>
      </c>
    </row>
    <row r="110" spans="1:31" x14ac:dyDescent="0.3">
      <c r="A110" t="s">
        <v>31</v>
      </c>
      <c r="B110">
        <v>30</v>
      </c>
      <c r="C110" t="s">
        <v>89</v>
      </c>
      <c r="D110">
        <v>0.73209999999999997</v>
      </c>
      <c r="E110">
        <v>0.80500000000000005</v>
      </c>
      <c r="F110">
        <v>0.83850000000000002</v>
      </c>
      <c r="G110">
        <v>0.87329999999999997</v>
      </c>
      <c r="H110">
        <v>0.8256</v>
      </c>
      <c r="I110">
        <v>0.90280000000000005</v>
      </c>
      <c r="J110">
        <v>0.93479999999999996</v>
      </c>
      <c r="K110">
        <v>0.96360000000000001</v>
      </c>
      <c r="L110">
        <v>0.83689999999999998</v>
      </c>
      <c r="M110">
        <v>0.92330000000000001</v>
      </c>
      <c r="N110">
        <v>0.96819999999999995</v>
      </c>
      <c r="O110">
        <v>0.99480000000000002</v>
      </c>
      <c r="P110">
        <v>0.83279999999999998</v>
      </c>
      <c r="Q110">
        <v>0.92300000000000004</v>
      </c>
      <c r="R110">
        <v>0.96709999999999996</v>
      </c>
      <c r="S110">
        <v>0.99509999999999998</v>
      </c>
      <c r="T110">
        <v>0.83279999999999998</v>
      </c>
      <c r="U110">
        <v>0.92169999999999996</v>
      </c>
      <c r="V110">
        <v>0.96340000000000003</v>
      </c>
      <c r="W110">
        <v>0.99480000000000002</v>
      </c>
      <c r="X110">
        <v>0.82499999999999996</v>
      </c>
      <c r="Y110">
        <v>0.90169999999999995</v>
      </c>
      <c r="Z110">
        <v>0.93589999999999995</v>
      </c>
      <c r="AA110">
        <v>0.96419999999999995</v>
      </c>
      <c r="AB110">
        <v>0.7288</v>
      </c>
      <c r="AC110">
        <v>0.79690000000000005</v>
      </c>
      <c r="AD110">
        <v>0.83320000000000005</v>
      </c>
      <c r="AE110">
        <v>0.86909999999999998</v>
      </c>
    </row>
    <row r="111" spans="1:31" x14ac:dyDescent="0.3">
      <c r="A111" t="s">
        <v>31</v>
      </c>
      <c r="B111">
        <v>50</v>
      </c>
      <c r="C111" t="s">
        <v>89</v>
      </c>
      <c r="D111">
        <v>0.80530000000000002</v>
      </c>
      <c r="E111">
        <v>0.87570000000000003</v>
      </c>
      <c r="F111">
        <v>0.90959999999999996</v>
      </c>
      <c r="G111">
        <v>0.94110000000000005</v>
      </c>
      <c r="H111">
        <v>0.80820000000000003</v>
      </c>
      <c r="I111">
        <v>0.91269999999999996</v>
      </c>
      <c r="J111">
        <v>0.95679999999999998</v>
      </c>
      <c r="K111">
        <v>0.98860000000000003</v>
      </c>
      <c r="L111">
        <v>0.82589999999999997</v>
      </c>
      <c r="M111">
        <v>0.91649999999999998</v>
      </c>
      <c r="N111">
        <v>0.96120000000000005</v>
      </c>
      <c r="O111">
        <v>0.99460000000000004</v>
      </c>
      <c r="P111">
        <v>0.82489999999999997</v>
      </c>
      <c r="Q111">
        <v>0.91900000000000004</v>
      </c>
      <c r="R111">
        <v>0.96289999999999998</v>
      </c>
      <c r="S111">
        <v>0.99370000000000003</v>
      </c>
      <c r="T111">
        <v>0.8226</v>
      </c>
      <c r="U111">
        <v>0.91569999999999996</v>
      </c>
      <c r="V111">
        <v>0.96089999999999998</v>
      </c>
      <c r="W111">
        <v>0.99390000000000001</v>
      </c>
      <c r="X111">
        <v>0.80330000000000001</v>
      </c>
      <c r="Y111">
        <v>0.90820000000000001</v>
      </c>
      <c r="Z111">
        <v>0.95189999999999997</v>
      </c>
      <c r="AA111">
        <v>0.98850000000000005</v>
      </c>
      <c r="AB111">
        <v>0.80659999999999998</v>
      </c>
      <c r="AC111">
        <v>0.87719999999999998</v>
      </c>
      <c r="AD111">
        <v>0.90939999999999999</v>
      </c>
      <c r="AE111">
        <v>0.93840000000000001</v>
      </c>
    </row>
    <row r="112" spans="1:31" x14ac:dyDescent="0.3">
      <c r="A112" t="s">
        <v>56</v>
      </c>
      <c r="B112">
        <v>20</v>
      </c>
      <c r="C112" t="s">
        <v>70</v>
      </c>
      <c r="D112">
        <v>0.65300000000000002</v>
      </c>
      <c r="E112">
        <v>0.71489999999999998</v>
      </c>
      <c r="F112">
        <v>0.74529999999999996</v>
      </c>
      <c r="G112">
        <v>0.77159999999999995</v>
      </c>
      <c r="H112">
        <v>0.80279999999999996</v>
      </c>
      <c r="I112">
        <v>0.85240000000000005</v>
      </c>
      <c r="J112">
        <v>0.87819999999999998</v>
      </c>
      <c r="K112">
        <v>0.90310000000000001</v>
      </c>
      <c r="L112">
        <v>0.83628362836283598</v>
      </c>
      <c r="M112">
        <v>0.93449344934493495</v>
      </c>
      <c r="N112">
        <v>0.966096609660966</v>
      </c>
      <c r="O112">
        <v>0.99429942994299403</v>
      </c>
      <c r="P112">
        <v>0.86014616077685502</v>
      </c>
      <c r="Q112">
        <v>0.93983381719891901</v>
      </c>
      <c r="R112">
        <v>0.96696366002602896</v>
      </c>
      <c r="S112">
        <v>0.99729702672940201</v>
      </c>
      <c r="T112">
        <v>0.82547217452782595</v>
      </c>
      <c r="U112">
        <v>0.93354206645793403</v>
      </c>
      <c r="V112">
        <v>0.96182203817796197</v>
      </c>
      <c r="W112">
        <v>0.99454600545399496</v>
      </c>
      <c r="X112">
        <v>0.82170304334460498</v>
      </c>
      <c r="Y112">
        <v>0.85982170304334504</v>
      </c>
      <c r="Z112">
        <v>0.86863408136079501</v>
      </c>
      <c r="AA112">
        <v>0.88175017932165201</v>
      </c>
      <c r="AB112">
        <v>0.47692307692307701</v>
      </c>
      <c r="AC112">
        <v>0.55298461538461496</v>
      </c>
      <c r="AD112">
        <v>0.57243076923076897</v>
      </c>
      <c r="AE112">
        <v>0.58240000000000003</v>
      </c>
    </row>
    <row r="113" spans="1:31" x14ac:dyDescent="0.3">
      <c r="A113" t="s">
        <v>56</v>
      </c>
      <c r="B113">
        <v>30</v>
      </c>
      <c r="C113" t="s">
        <v>70</v>
      </c>
      <c r="D113">
        <v>0.73070000000000002</v>
      </c>
      <c r="E113">
        <v>0.79410000000000003</v>
      </c>
      <c r="F113">
        <v>0.8236</v>
      </c>
      <c r="G113">
        <v>0.85350000000000004</v>
      </c>
      <c r="H113">
        <v>0.80920000000000003</v>
      </c>
      <c r="I113">
        <v>0.90810000000000002</v>
      </c>
      <c r="J113">
        <v>0.93679999999999997</v>
      </c>
      <c r="K113">
        <v>0.95650000000000002</v>
      </c>
      <c r="L113">
        <v>0.83350000000000002</v>
      </c>
      <c r="M113">
        <v>0.92700000000000005</v>
      </c>
      <c r="N113">
        <v>0.97009999999999996</v>
      </c>
      <c r="O113">
        <v>0.99560000000000004</v>
      </c>
      <c r="P113">
        <v>0.82369421652991803</v>
      </c>
      <c r="Q113">
        <v>0.915449269561737</v>
      </c>
      <c r="R113">
        <v>0.96197718631178697</v>
      </c>
      <c r="S113">
        <v>0.99579747848709199</v>
      </c>
      <c r="T113">
        <v>0.81950000000000001</v>
      </c>
      <c r="U113">
        <v>0.93089999999999995</v>
      </c>
      <c r="V113">
        <v>0.96950000000000003</v>
      </c>
      <c r="W113">
        <v>0.99480000000000002</v>
      </c>
      <c r="X113">
        <v>0.77151305057096198</v>
      </c>
      <c r="Y113">
        <v>0.92618270799347502</v>
      </c>
      <c r="Z113">
        <v>0.94524877650897199</v>
      </c>
      <c r="AA113">
        <v>0.95503670473083202</v>
      </c>
      <c r="AB113">
        <v>0.72550000000000003</v>
      </c>
      <c r="AC113">
        <v>0.77249999999999996</v>
      </c>
      <c r="AD113">
        <v>0.77839999999999998</v>
      </c>
      <c r="AE113">
        <v>0.79300000000000004</v>
      </c>
    </row>
    <row r="114" spans="1:31" x14ac:dyDescent="0.3">
      <c r="A114" t="s">
        <v>56</v>
      </c>
      <c r="B114">
        <v>50</v>
      </c>
      <c r="C114" t="s">
        <v>70</v>
      </c>
      <c r="D114">
        <v>0.81389999999999996</v>
      </c>
      <c r="E114">
        <v>0.879</v>
      </c>
      <c r="F114">
        <v>0.90759999999999996</v>
      </c>
      <c r="G114">
        <v>0.93320000000000003</v>
      </c>
      <c r="H114">
        <v>0.81930000000000003</v>
      </c>
      <c r="I114">
        <v>0.91910000000000003</v>
      </c>
      <c r="J114">
        <v>0.9556</v>
      </c>
      <c r="K114">
        <v>0.99170000000000003</v>
      </c>
      <c r="L114">
        <v>0.81879999999999997</v>
      </c>
      <c r="M114">
        <v>0.91869999999999996</v>
      </c>
      <c r="N114">
        <v>0.96279999999999999</v>
      </c>
      <c r="O114">
        <v>0.99460000000000004</v>
      </c>
      <c r="P114">
        <v>0.82861430715357698</v>
      </c>
      <c r="Q114">
        <v>0.92706353176588296</v>
      </c>
      <c r="R114">
        <v>0.96618309154577298</v>
      </c>
      <c r="S114">
        <v>0.993496748374187</v>
      </c>
      <c r="T114">
        <v>0.81340000000000001</v>
      </c>
      <c r="U114">
        <v>0.91549999999999998</v>
      </c>
      <c r="V114">
        <v>0.96030000000000004</v>
      </c>
      <c r="W114">
        <v>0.99270000000000003</v>
      </c>
      <c r="X114">
        <v>0.82225154806618606</v>
      </c>
      <c r="Y114">
        <v>0.93208811288194104</v>
      </c>
      <c r="Z114">
        <v>0.953304233072784</v>
      </c>
      <c r="AA114">
        <v>0.99198050959293504</v>
      </c>
      <c r="AB114">
        <v>0.82050000000000001</v>
      </c>
      <c r="AC114">
        <v>0.8851</v>
      </c>
      <c r="AD114">
        <v>0.91059999999999997</v>
      </c>
      <c r="AE114">
        <v>0.92159999999999997</v>
      </c>
    </row>
    <row r="115" spans="1:31" x14ac:dyDescent="0.3">
      <c r="A115" t="s">
        <v>57</v>
      </c>
      <c r="B115">
        <v>20</v>
      </c>
      <c r="C115" t="s">
        <v>70</v>
      </c>
      <c r="D115">
        <v>0.73899999999999999</v>
      </c>
      <c r="E115">
        <v>0.85219999999999996</v>
      </c>
      <c r="F115">
        <v>0.90990000000000004</v>
      </c>
      <c r="G115">
        <v>0.96030000000000004</v>
      </c>
      <c r="H115">
        <v>0.81620000000000004</v>
      </c>
      <c r="I115">
        <v>0.89659999999999995</v>
      </c>
      <c r="J115">
        <v>0.93369999999999997</v>
      </c>
      <c r="K115">
        <v>0.96379999999999999</v>
      </c>
      <c r="L115">
        <v>0.83520000000000005</v>
      </c>
      <c r="M115">
        <v>0.92559999999999998</v>
      </c>
      <c r="N115">
        <v>0.96499999999999997</v>
      </c>
      <c r="O115">
        <v>0.99250000000000005</v>
      </c>
      <c r="P115">
        <v>0.83520000000000005</v>
      </c>
      <c r="Q115">
        <v>0.92789999999999995</v>
      </c>
      <c r="R115">
        <v>0.96579999999999999</v>
      </c>
      <c r="S115">
        <v>0.99490000000000001</v>
      </c>
      <c r="T115">
        <v>0.83445033510053002</v>
      </c>
      <c r="U115">
        <v>0.93488046413924197</v>
      </c>
      <c r="V115">
        <v>0.96428928678603598</v>
      </c>
      <c r="W115">
        <v>0.99489846954086203</v>
      </c>
      <c r="X115">
        <v>0.81094728337709598</v>
      </c>
      <c r="Y115">
        <v>0.85417087457079399</v>
      </c>
      <c r="Z115">
        <v>0.87012724702080402</v>
      </c>
      <c r="AA115">
        <v>0.888507372248031</v>
      </c>
      <c r="AB115">
        <v>0.56381381381381401</v>
      </c>
      <c r="AC115">
        <v>0.62548262548262601</v>
      </c>
      <c r="AD115">
        <v>0.64671814671814698</v>
      </c>
      <c r="AE115">
        <v>0.66033891033891001</v>
      </c>
    </row>
    <row r="116" spans="1:31" x14ac:dyDescent="0.3">
      <c r="A116" t="s">
        <v>57</v>
      </c>
      <c r="B116">
        <v>30</v>
      </c>
      <c r="C116" t="s">
        <v>70</v>
      </c>
      <c r="D116">
        <v>0.77639999999999998</v>
      </c>
      <c r="E116">
        <v>0.87039999999999995</v>
      </c>
      <c r="F116">
        <v>0.92</v>
      </c>
      <c r="G116">
        <v>0.9617</v>
      </c>
      <c r="H116">
        <v>0.82020000000000004</v>
      </c>
      <c r="I116">
        <v>0.90820000000000001</v>
      </c>
      <c r="J116">
        <v>0.9486</v>
      </c>
      <c r="K116">
        <v>0.97689999999999999</v>
      </c>
      <c r="L116">
        <v>0.82720000000000005</v>
      </c>
      <c r="M116">
        <v>0.9173</v>
      </c>
      <c r="N116">
        <v>0.96240000000000003</v>
      </c>
      <c r="O116">
        <v>0.99370000000000003</v>
      </c>
      <c r="P116">
        <v>0.83160000000000001</v>
      </c>
      <c r="Q116">
        <v>0.9244</v>
      </c>
      <c r="R116">
        <v>0.96650000000000003</v>
      </c>
      <c r="S116">
        <v>0.99429999999999996</v>
      </c>
      <c r="T116">
        <v>0.83089999999999997</v>
      </c>
      <c r="U116">
        <v>0.92820000000000003</v>
      </c>
      <c r="V116">
        <v>0.96919999999999995</v>
      </c>
      <c r="W116">
        <v>0.99539999999999995</v>
      </c>
      <c r="X116">
        <v>0.79077728554168303</v>
      </c>
      <c r="Y116">
        <v>0.91733789770439</v>
      </c>
      <c r="Z116">
        <v>0.94180426902939995</v>
      </c>
      <c r="AA116">
        <v>0.95620217478856195</v>
      </c>
      <c r="AB116">
        <v>0.7177</v>
      </c>
      <c r="AC116">
        <v>0.76839999999999997</v>
      </c>
      <c r="AD116">
        <v>0.78</v>
      </c>
      <c r="AE116">
        <v>0.79930000000000001</v>
      </c>
    </row>
    <row r="117" spans="1:31" x14ac:dyDescent="0.3">
      <c r="A117" t="s">
        <v>57</v>
      </c>
      <c r="B117">
        <v>50</v>
      </c>
      <c r="C117" t="s">
        <v>70</v>
      </c>
      <c r="D117">
        <v>0.79879999999999995</v>
      </c>
      <c r="E117">
        <v>0.88990000000000002</v>
      </c>
      <c r="F117">
        <v>0.93479999999999996</v>
      </c>
      <c r="G117">
        <v>0.97240000000000004</v>
      </c>
      <c r="H117">
        <v>0.81820000000000004</v>
      </c>
      <c r="I117">
        <v>0.91339999999999999</v>
      </c>
      <c r="J117">
        <v>0.95879999999999999</v>
      </c>
      <c r="K117">
        <v>0.98870000000000002</v>
      </c>
      <c r="L117">
        <v>0.82169999999999999</v>
      </c>
      <c r="M117">
        <v>0.91690000000000005</v>
      </c>
      <c r="N117">
        <v>0.96250000000000002</v>
      </c>
      <c r="O117">
        <v>0.99360000000000004</v>
      </c>
      <c r="P117">
        <v>0.82310000000000005</v>
      </c>
      <c r="Q117">
        <v>0.91879999999999995</v>
      </c>
      <c r="R117">
        <v>0.96120000000000005</v>
      </c>
      <c r="S117">
        <v>0.99350000000000005</v>
      </c>
      <c r="T117">
        <v>0.81869999999999998</v>
      </c>
      <c r="U117">
        <v>0.91690000000000005</v>
      </c>
      <c r="V117">
        <v>0.96319999999999995</v>
      </c>
      <c r="W117">
        <v>0.99399999999999999</v>
      </c>
      <c r="X117">
        <v>0.80970561639706595</v>
      </c>
      <c r="Y117">
        <v>0.92474630764593602</v>
      </c>
      <c r="Z117">
        <v>0.95157239023410001</v>
      </c>
      <c r="AA117">
        <v>0.99015372249572997</v>
      </c>
      <c r="AB117">
        <v>0.82840000000000003</v>
      </c>
      <c r="AC117">
        <v>0.88859999999999995</v>
      </c>
      <c r="AD117">
        <v>0.91239999999999999</v>
      </c>
      <c r="AE117">
        <v>0.9264</v>
      </c>
    </row>
    <row r="118" spans="1:31" x14ac:dyDescent="0.3">
      <c r="A118" t="s">
        <v>31</v>
      </c>
      <c r="B118">
        <v>20</v>
      </c>
      <c r="C118" t="s">
        <v>70</v>
      </c>
      <c r="D118">
        <v>0.61357676013717999</v>
      </c>
      <c r="E118">
        <v>0.67661892273552504</v>
      </c>
      <c r="F118">
        <v>0.70213839015533597</v>
      </c>
      <c r="G118">
        <v>0.72432923138995398</v>
      </c>
      <c r="H118">
        <v>0.80422380142127903</v>
      </c>
      <c r="I118">
        <v>0.86007406665999397</v>
      </c>
      <c r="J118">
        <v>0.88039235311780595</v>
      </c>
      <c r="K118">
        <v>0.90111099989990995</v>
      </c>
      <c r="L118">
        <v>0.83050000000000002</v>
      </c>
      <c r="M118">
        <v>0.93179999999999996</v>
      </c>
      <c r="N118">
        <v>0.96540000000000004</v>
      </c>
      <c r="O118">
        <v>0.99399999999999999</v>
      </c>
      <c r="P118">
        <v>0.85440000000000005</v>
      </c>
      <c r="Q118">
        <v>0.93910000000000005</v>
      </c>
      <c r="R118">
        <v>0.97370000000000001</v>
      </c>
      <c r="S118">
        <v>0.99739999999999995</v>
      </c>
      <c r="T118">
        <v>0.84860000000000002</v>
      </c>
      <c r="U118">
        <v>0.9405</v>
      </c>
      <c r="V118">
        <v>0.97</v>
      </c>
      <c r="W118">
        <v>0.99409999999999998</v>
      </c>
      <c r="X118">
        <v>0.80330165082541305</v>
      </c>
      <c r="Y118">
        <v>0.85562781390695397</v>
      </c>
      <c r="Z118">
        <v>0.87893946973486703</v>
      </c>
      <c r="AA118">
        <v>0.90115057528764397</v>
      </c>
      <c r="AB118">
        <v>0.60869565217391297</v>
      </c>
      <c r="AC118">
        <v>0.66827697262479901</v>
      </c>
      <c r="AD118">
        <v>0.69565217391304301</v>
      </c>
      <c r="AE118">
        <v>0.71517713365539404</v>
      </c>
    </row>
    <row r="119" spans="1:31" x14ac:dyDescent="0.3">
      <c r="A119" t="s">
        <v>31</v>
      </c>
      <c r="B119">
        <v>30</v>
      </c>
      <c r="C119" t="s">
        <v>70</v>
      </c>
      <c r="D119">
        <v>0.72399999999999998</v>
      </c>
      <c r="E119">
        <v>0.78339999999999999</v>
      </c>
      <c r="F119">
        <v>0.80359999999999998</v>
      </c>
      <c r="G119">
        <v>0.82769999999999999</v>
      </c>
      <c r="H119">
        <v>0.81294388316494903</v>
      </c>
      <c r="I119">
        <v>0.91297389216765001</v>
      </c>
      <c r="J119">
        <v>0.93938181454436298</v>
      </c>
      <c r="K119">
        <v>0.95658697609282795</v>
      </c>
      <c r="L119">
        <v>0.83309999999999995</v>
      </c>
      <c r="M119">
        <v>0.92469999999999997</v>
      </c>
      <c r="N119">
        <v>0.96970000000000001</v>
      </c>
      <c r="O119">
        <v>0.99509999999999998</v>
      </c>
      <c r="P119">
        <v>0.83050000000000002</v>
      </c>
      <c r="Q119">
        <v>0.92469999999999997</v>
      </c>
      <c r="R119">
        <v>0.96560000000000001</v>
      </c>
      <c r="S119">
        <v>0.99550000000000005</v>
      </c>
      <c r="T119">
        <v>0.82930000000000004</v>
      </c>
      <c r="U119">
        <v>0.92169999999999996</v>
      </c>
      <c r="V119">
        <v>0.96609999999999996</v>
      </c>
      <c r="W119">
        <v>0.99570000000000003</v>
      </c>
      <c r="X119">
        <v>0.80860430215107604</v>
      </c>
      <c r="Y119">
        <v>0.91445722861430701</v>
      </c>
      <c r="Z119">
        <v>0.93916958479239598</v>
      </c>
      <c r="AA119">
        <v>0.958779389694847</v>
      </c>
      <c r="AB119">
        <v>0.72060000000000002</v>
      </c>
      <c r="AC119">
        <v>0.77480000000000004</v>
      </c>
      <c r="AD119">
        <v>0.79669999999999996</v>
      </c>
      <c r="AE119">
        <v>0.8216</v>
      </c>
    </row>
    <row r="120" spans="1:31" x14ac:dyDescent="0.3">
      <c r="A120" t="s">
        <v>31</v>
      </c>
      <c r="B120">
        <v>50</v>
      </c>
      <c r="C120" t="s">
        <v>70</v>
      </c>
      <c r="D120">
        <v>0.82250000000000001</v>
      </c>
      <c r="E120">
        <v>0.88019999999999998</v>
      </c>
      <c r="F120">
        <v>0.90949999999999998</v>
      </c>
      <c r="G120">
        <v>0.92879999999999996</v>
      </c>
      <c r="H120">
        <v>0.80832332933173301</v>
      </c>
      <c r="I120">
        <v>0.92436974789916004</v>
      </c>
      <c r="J120">
        <v>0.95338135254101597</v>
      </c>
      <c r="K120">
        <v>0.99019607843137303</v>
      </c>
      <c r="L120">
        <v>0.82389999999999997</v>
      </c>
      <c r="M120">
        <v>0.91620000000000001</v>
      </c>
      <c r="N120">
        <v>0.96319999999999995</v>
      </c>
      <c r="O120">
        <v>0.99490000000000001</v>
      </c>
      <c r="P120">
        <v>0.8236</v>
      </c>
      <c r="Q120">
        <v>0.92100000000000004</v>
      </c>
      <c r="R120">
        <v>0.96399999999999997</v>
      </c>
      <c r="S120">
        <v>0.99419999999999997</v>
      </c>
      <c r="T120">
        <v>0.82130000000000003</v>
      </c>
      <c r="U120">
        <v>0.91639999999999999</v>
      </c>
      <c r="V120">
        <v>0.96089999999999998</v>
      </c>
      <c r="W120">
        <v>0.99439999999999995</v>
      </c>
      <c r="X120">
        <v>0.80546382467727395</v>
      </c>
      <c r="Y120">
        <v>0.91584108876213399</v>
      </c>
      <c r="Z120">
        <v>0.95056539577704402</v>
      </c>
      <c r="AA120">
        <v>0.99049334534173905</v>
      </c>
      <c r="AB120">
        <v>0.82340000000000002</v>
      </c>
      <c r="AC120">
        <v>0.88060000000000005</v>
      </c>
      <c r="AD120">
        <v>0.90759999999999996</v>
      </c>
      <c r="AE120">
        <v>0.92879999999999996</v>
      </c>
    </row>
    <row r="121" spans="1:31" x14ac:dyDescent="0.3">
      <c r="A121" t="s">
        <v>56</v>
      </c>
      <c r="B121">
        <v>20</v>
      </c>
      <c r="C121" t="s">
        <v>90</v>
      </c>
      <c r="D121">
        <v>0.60646981759548502</v>
      </c>
      <c r="E121">
        <v>0.66441600322483096</v>
      </c>
      <c r="F121">
        <v>0.68890456515166798</v>
      </c>
      <c r="G121">
        <v>0.70674191272800602</v>
      </c>
      <c r="H121">
        <v>0.81138539042821201</v>
      </c>
      <c r="I121">
        <v>0.85158690176322405</v>
      </c>
      <c r="J121">
        <v>0.86972292191435796</v>
      </c>
      <c r="K121">
        <v>0.88654911838790895</v>
      </c>
      <c r="L121">
        <v>0.82760008046670697</v>
      </c>
      <c r="M121">
        <v>0.93703480185073396</v>
      </c>
      <c r="N121">
        <v>0.96348823174411602</v>
      </c>
      <c r="O121">
        <v>0.99527258096962401</v>
      </c>
      <c r="P121">
        <v>0.86853796445880405</v>
      </c>
      <c r="Q121">
        <v>0.94567851373182599</v>
      </c>
      <c r="R121">
        <v>0.96304523424878796</v>
      </c>
      <c r="S121">
        <v>0.997980613893376</v>
      </c>
      <c r="T121">
        <v>0.81448331977217203</v>
      </c>
      <c r="U121">
        <v>0.93236371033360499</v>
      </c>
      <c r="V121">
        <v>0.96094385679414196</v>
      </c>
      <c r="W121">
        <v>0.99481285598047198</v>
      </c>
      <c r="X121">
        <v>0.82852760736196296</v>
      </c>
      <c r="Y121">
        <v>0.86257668711656399</v>
      </c>
      <c r="Z121">
        <v>0.86728016359918203</v>
      </c>
      <c r="AA121">
        <v>0.87893660531697304</v>
      </c>
      <c r="AB121">
        <v>0.40995748182691</v>
      </c>
      <c r="AC121">
        <v>0.49321080784528898</v>
      </c>
      <c r="AD121">
        <v>0.51446989439034396</v>
      </c>
      <c r="AE121">
        <v>0.52160197503771799</v>
      </c>
    </row>
    <row r="122" spans="1:31" x14ac:dyDescent="0.3">
      <c r="A122" t="s">
        <v>56</v>
      </c>
      <c r="B122">
        <v>30</v>
      </c>
      <c r="C122" t="s">
        <v>90</v>
      </c>
      <c r="D122">
        <v>0.72370000000000001</v>
      </c>
      <c r="E122">
        <v>0.77729999999999999</v>
      </c>
      <c r="F122">
        <v>0.79430000000000001</v>
      </c>
      <c r="G122">
        <v>0.81630000000000003</v>
      </c>
      <c r="H122">
        <v>0.78044596912521402</v>
      </c>
      <c r="I122">
        <v>0.91817172838260497</v>
      </c>
      <c r="J122">
        <v>0.94117647058823495</v>
      </c>
      <c r="K122">
        <v>0.95298153566744004</v>
      </c>
      <c r="L122">
        <v>0.82350000000000001</v>
      </c>
      <c r="M122">
        <v>0.93240000000000001</v>
      </c>
      <c r="N122">
        <v>0.97199999999999998</v>
      </c>
      <c r="O122">
        <v>0.99550000000000005</v>
      </c>
      <c r="P122">
        <v>0.81084629367804495</v>
      </c>
      <c r="Q122">
        <v>0.908503332660069</v>
      </c>
      <c r="R122">
        <v>0.958695213088265</v>
      </c>
      <c r="S122">
        <v>0.99575843263987096</v>
      </c>
      <c r="T122">
        <v>0.80840000000000001</v>
      </c>
      <c r="U122">
        <v>0.9345</v>
      </c>
      <c r="V122">
        <v>0.96950000000000003</v>
      </c>
      <c r="W122">
        <v>0.99519999999999997</v>
      </c>
      <c r="X122">
        <v>0.75889126668704798</v>
      </c>
      <c r="Y122">
        <v>0.92978701722205204</v>
      </c>
      <c r="Z122">
        <v>0.94731478650769396</v>
      </c>
      <c r="AA122">
        <v>0.95465199225517205</v>
      </c>
      <c r="AB122">
        <v>0.7268</v>
      </c>
      <c r="AC122">
        <v>0.77100000000000002</v>
      </c>
      <c r="AD122">
        <v>0.77329999999999999</v>
      </c>
      <c r="AE122">
        <v>0.78739999999999999</v>
      </c>
    </row>
    <row r="123" spans="1:31" x14ac:dyDescent="0.3">
      <c r="A123" t="s">
        <v>56</v>
      </c>
      <c r="B123">
        <v>50</v>
      </c>
      <c r="C123" t="s">
        <v>90</v>
      </c>
      <c r="D123">
        <v>0.82299999999999995</v>
      </c>
      <c r="E123">
        <v>0.88180000000000003</v>
      </c>
      <c r="F123">
        <v>0.90749999999999997</v>
      </c>
      <c r="G123">
        <v>0.92520000000000002</v>
      </c>
      <c r="H123">
        <v>0.82301242549752496</v>
      </c>
      <c r="I123">
        <v>0.93039700979897</v>
      </c>
      <c r="J123">
        <v>0.95615718759470703</v>
      </c>
      <c r="K123">
        <v>0.99212041620365699</v>
      </c>
      <c r="L123">
        <v>0.81540000000000001</v>
      </c>
      <c r="M123">
        <v>0.92210000000000003</v>
      </c>
      <c r="N123">
        <v>0.96560000000000001</v>
      </c>
      <c r="O123">
        <v>0.99450000000000005</v>
      </c>
      <c r="P123">
        <v>0.81835564053537302</v>
      </c>
      <c r="Q123">
        <v>0.93187078595149397</v>
      </c>
      <c r="R123">
        <v>0.96819965784441997</v>
      </c>
      <c r="S123">
        <v>0.99335815638522695</v>
      </c>
      <c r="T123">
        <v>0.8095</v>
      </c>
      <c r="U123">
        <v>0.91930000000000001</v>
      </c>
      <c r="V123">
        <v>0.96240000000000003</v>
      </c>
      <c r="W123">
        <v>0.99309999999999998</v>
      </c>
      <c r="X123">
        <v>0.82509660362009396</v>
      </c>
      <c r="Y123">
        <v>0.93644498678055699</v>
      </c>
      <c r="Z123">
        <v>0.953528574333943</v>
      </c>
      <c r="AA123">
        <v>0.99166158226560897</v>
      </c>
      <c r="AB123">
        <v>0.81950000000000001</v>
      </c>
      <c r="AC123">
        <v>0.88600000000000001</v>
      </c>
      <c r="AD123">
        <v>0.91069999999999995</v>
      </c>
      <c r="AE123">
        <v>0.92069999999999996</v>
      </c>
    </row>
    <row r="124" spans="1:31" x14ac:dyDescent="0.3">
      <c r="A124" t="s">
        <v>57</v>
      </c>
      <c r="B124">
        <v>20</v>
      </c>
      <c r="C124" t="s">
        <v>90</v>
      </c>
      <c r="D124">
        <v>0.72299999999999998</v>
      </c>
      <c r="E124">
        <v>0.79600000000000004</v>
      </c>
      <c r="F124">
        <v>0.83189999999999997</v>
      </c>
      <c r="G124">
        <v>0.86770000000000003</v>
      </c>
      <c r="H124">
        <v>0.79879999999999995</v>
      </c>
      <c r="I124">
        <v>0.86629999999999996</v>
      </c>
      <c r="J124">
        <v>0.90110000000000001</v>
      </c>
      <c r="K124">
        <v>0.92649999999999999</v>
      </c>
      <c r="L124">
        <v>0.83709999999999996</v>
      </c>
      <c r="M124">
        <v>0.92969999999999997</v>
      </c>
      <c r="N124">
        <v>0.9657</v>
      </c>
      <c r="O124">
        <v>0.99370000000000003</v>
      </c>
      <c r="P124">
        <v>0.84482241120560297</v>
      </c>
      <c r="Q124">
        <v>0.93446723361680795</v>
      </c>
      <c r="R124">
        <v>0.96498249124562296</v>
      </c>
      <c r="S124">
        <v>0.99489744872436203</v>
      </c>
      <c r="T124">
        <v>0.82564566375238702</v>
      </c>
      <c r="U124">
        <v>0.937493719224199</v>
      </c>
      <c r="V124">
        <v>0.96171239071450099</v>
      </c>
      <c r="W124">
        <v>0.99587981107426404</v>
      </c>
      <c r="X124">
        <v>0.81930058455542998</v>
      </c>
      <c r="Y124">
        <v>0.85652753563737005</v>
      </c>
      <c r="Z124">
        <v>0.86585991180391797</v>
      </c>
      <c r="AA124">
        <v>0.87867910983488895</v>
      </c>
      <c r="AB124">
        <v>0.48893507763785299</v>
      </c>
      <c r="AC124">
        <v>0.55972612788849496</v>
      </c>
      <c r="AD124">
        <v>0.58051106492236204</v>
      </c>
      <c r="AE124">
        <v>0.58980315441985598</v>
      </c>
    </row>
    <row r="125" spans="1:31" x14ac:dyDescent="0.3">
      <c r="A125" t="s">
        <v>57</v>
      </c>
      <c r="B125">
        <v>30</v>
      </c>
      <c r="C125" t="s">
        <v>90</v>
      </c>
      <c r="D125">
        <v>0.75129999999999997</v>
      </c>
      <c r="E125">
        <v>0.82250000000000001</v>
      </c>
      <c r="F125">
        <v>0.85919999999999996</v>
      </c>
      <c r="G125">
        <v>0.89370000000000005</v>
      </c>
      <c r="H125">
        <v>0.81850000000000001</v>
      </c>
      <c r="I125">
        <v>0.90900000000000003</v>
      </c>
      <c r="J125">
        <v>0.94130000000000003</v>
      </c>
      <c r="K125">
        <v>0.96409999999999996</v>
      </c>
      <c r="L125">
        <v>0.82709999999999995</v>
      </c>
      <c r="M125">
        <v>0.91810000000000003</v>
      </c>
      <c r="N125">
        <v>0.96719999999999995</v>
      </c>
      <c r="O125">
        <v>0.99380000000000002</v>
      </c>
      <c r="P125">
        <v>0.82384715414624399</v>
      </c>
      <c r="Q125">
        <v>0.920576172851856</v>
      </c>
      <c r="R125">
        <v>0.96458937681304402</v>
      </c>
      <c r="S125">
        <v>0.99419825947784302</v>
      </c>
      <c r="T125">
        <v>0.82430000000000003</v>
      </c>
      <c r="U125">
        <v>0.93410000000000004</v>
      </c>
      <c r="V125">
        <v>0.96970000000000001</v>
      </c>
      <c r="W125">
        <v>0.99529999999999996</v>
      </c>
      <c r="X125">
        <v>0.76030191758465904</v>
      </c>
      <c r="Y125">
        <v>0.92237862097103196</v>
      </c>
      <c r="Z125">
        <v>0.94461444308445497</v>
      </c>
      <c r="AA125">
        <v>0.95491636066911501</v>
      </c>
      <c r="AB125">
        <v>0.71899999999999997</v>
      </c>
      <c r="AC125">
        <v>0.76829999999999998</v>
      </c>
      <c r="AD125">
        <v>0.77270000000000005</v>
      </c>
      <c r="AE125">
        <v>0.78849999999999998</v>
      </c>
    </row>
    <row r="126" spans="1:31" x14ac:dyDescent="0.3">
      <c r="A126" t="s">
        <v>57</v>
      </c>
      <c r="B126">
        <v>50</v>
      </c>
      <c r="C126" t="s">
        <v>90</v>
      </c>
      <c r="D126">
        <v>0.8054</v>
      </c>
      <c r="E126">
        <v>0.87490000000000001</v>
      </c>
      <c r="F126">
        <v>0.9133</v>
      </c>
      <c r="G126">
        <v>0.94359999999999999</v>
      </c>
      <c r="H126">
        <v>0.81640000000000001</v>
      </c>
      <c r="I126">
        <v>0.91690000000000005</v>
      </c>
      <c r="J126">
        <v>0.95679999999999998</v>
      </c>
      <c r="K126">
        <v>0.98919999999999997</v>
      </c>
      <c r="L126">
        <v>0.82110000000000005</v>
      </c>
      <c r="M126">
        <v>0.91849999999999998</v>
      </c>
      <c r="N126">
        <v>0.96220000000000006</v>
      </c>
      <c r="O126">
        <v>0.99380000000000002</v>
      </c>
      <c r="P126">
        <v>0.81846369273854802</v>
      </c>
      <c r="Q126">
        <v>0.92368473694738995</v>
      </c>
      <c r="R126">
        <v>0.96149229845969197</v>
      </c>
      <c r="S126">
        <v>0.99359871974394898</v>
      </c>
      <c r="T126">
        <v>0.81420000000000003</v>
      </c>
      <c r="U126">
        <v>0.92049999999999998</v>
      </c>
      <c r="V126">
        <v>0.96399999999999997</v>
      </c>
      <c r="W126">
        <v>0.99470000000000003</v>
      </c>
      <c r="X126">
        <v>0.81459244937417297</v>
      </c>
      <c r="Y126">
        <v>0.93090465045283399</v>
      </c>
      <c r="Z126">
        <v>0.95207082527729703</v>
      </c>
      <c r="AA126">
        <v>0.99073979851429705</v>
      </c>
      <c r="AB126">
        <v>0.8276</v>
      </c>
      <c r="AC126">
        <v>0.89070000000000005</v>
      </c>
      <c r="AD126">
        <v>0.91379999999999995</v>
      </c>
      <c r="AE126">
        <v>0.92479999999999996</v>
      </c>
    </row>
    <row r="127" spans="1:31" x14ac:dyDescent="0.3">
      <c r="A127" t="s">
        <v>31</v>
      </c>
      <c r="B127">
        <v>20</v>
      </c>
      <c r="C127" t="s">
        <v>90</v>
      </c>
      <c r="D127">
        <v>0.55938448201127</v>
      </c>
      <c r="E127">
        <v>0.625270914607716</v>
      </c>
      <c r="F127">
        <v>0.64694408322496799</v>
      </c>
      <c r="G127">
        <v>0.66114000866926703</v>
      </c>
      <c r="H127">
        <v>0.81297983416931097</v>
      </c>
      <c r="I127">
        <v>0.85914627904596197</v>
      </c>
      <c r="J127">
        <v>0.87194185689425696</v>
      </c>
      <c r="K127">
        <v>0.88709182106663897</v>
      </c>
      <c r="L127">
        <v>0.82643136468464895</v>
      </c>
      <c r="M127">
        <v>0.93472375413616804</v>
      </c>
      <c r="N127">
        <v>0.96310037100170498</v>
      </c>
      <c r="O127">
        <v>0.99538754637521298</v>
      </c>
      <c r="P127">
        <v>0.86344979477425199</v>
      </c>
      <c r="Q127">
        <v>0.944639103013315</v>
      </c>
      <c r="R127">
        <v>0.97066773450795896</v>
      </c>
      <c r="S127">
        <v>0.99779757733506902</v>
      </c>
      <c r="T127">
        <v>0.84166750175368299</v>
      </c>
      <c r="U127">
        <v>0.94187794368173205</v>
      </c>
      <c r="V127">
        <v>0.96763202725723996</v>
      </c>
      <c r="W127">
        <v>0.99488926746166995</v>
      </c>
      <c r="X127">
        <v>0.81433059693929299</v>
      </c>
      <c r="Y127">
        <v>0.85537650755042105</v>
      </c>
      <c r="Z127">
        <v>0.86926117360900002</v>
      </c>
      <c r="AA127">
        <v>0.88628762541806005</v>
      </c>
      <c r="AB127">
        <v>0.55522066738428399</v>
      </c>
      <c r="AC127">
        <v>0.61819160387513405</v>
      </c>
      <c r="AD127">
        <v>0.63799784714746999</v>
      </c>
      <c r="AE127">
        <v>0.65209903121636204</v>
      </c>
    </row>
    <row r="128" spans="1:31" x14ac:dyDescent="0.3">
      <c r="A128" t="s">
        <v>31</v>
      </c>
      <c r="B128">
        <v>30</v>
      </c>
      <c r="C128" t="s">
        <v>90</v>
      </c>
      <c r="D128">
        <v>0.72489999999999999</v>
      </c>
      <c r="E128">
        <v>0.77759999999999996</v>
      </c>
      <c r="F128">
        <v>0.78879999999999995</v>
      </c>
      <c r="G128">
        <v>0.80640000000000001</v>
      </c>
      <c r="H128">
        <v>0.78137445113856796</v>
      </c>
      <c r="I128">
        <v>0.92137240886347405</v>
      </c>
      <c r="J128">
        <v>0.941386704789135</v>
      </c>
      <c r="K128">
        <v>0.95425303788420301</v>
      </c>
      <c r="L128">
        <v>0.82509999999999994</v>
      </c>
      <c r="M128">
        <v>0.92959999999999998</v>
      </c>
      <c r="N128">
        <v>0.97250000000000003</v>
      </c>
      <c r="O128">
        <v>0.99529999999999996</v>
      </c>
      <c r="P128">
        <v>0.81850035038542401</v>
      </c>
      <c r="Q128">
        <v>0.919311242366603</v>
      </c>
      <c r="R128">
        <v>0.962558814696166</v>
      </c>
      <c r="S128">
        <v>0.99529482430673699</v>
      </c>
      <c r="T128">
        <v>0.82399999999999995</v>
      </c>
      <c r="U128">
        <v>0.92490000000000006</v>
      </c>
      <c r="V128">
        <v>0.96870000000000001</v>
      </c>
      <c r="W128">
        <v>0.99570000000000003</v>
      </c>
      <c r="X128">
        <v>0.77773279352226699</v>
      </c>
      <c r="Y128">
        <v>0.92165991902833999</v>
      </c>
      <c r="Z128">
        <v>0.94342105263157905</v>
      </c>
      <c r="AA128">
        <v>0.95708502024291497</v>
      </c>
      <c r="AB128">
        <v>0.72009999999999996</v>
      </c>
      <c r="AC128">
        <v>0.77059999999999995</v>
      </c>
      <c r="AD128">
        <v>0.78110000000000002</v>
      </c>
      <c r="AE128">
        <v>0.79969999999999997</v>
      </c>
    </row>
    <row r="129" spans="1:31" x14ac:dyDescent="0.3">
      <c r="A129" t="s">
        <v>31</v>
      </c>
      <c r="B129">
        <v>50</v>
      </c>
      <c r="C129" t="s">
        <v>90</v>
      </c>
      <c r="D129">
        <v>0.82320000000000004</v>
      </c>
      <c r="E129">
        <v>0.88360000000000005</v>
      </c>
      <c r="F129">
        <v>0.91220000000000001</v>
      </c>
      <c r="G129">
        <v>0.92469999999999997</v>
      </c>
      <c r="H129">
        <v>0.81122656886715605</v>
      </c>
      <c r="I129">
        <v>0.93276283618581901</v>
      </c>
      <c r="J129">
        <v>0.953748981255094</v>
      </c>
      <c r="K129">
        <v>0.99032192339038305</v>
      </c>
      <c r="L129">
        <v>0.81940000000000002</v>
      </c>
      <c r="M129">
        <v>0.91859999999999997</v>
      </c>
      <c r="N129">
        <v>0.96599999999999997</v>
      </c>
      <c r="O129">
        <v>0.99560000000000004</v>
      </c>
      <c r="P129">
        <v>0.81487040928650101</v>
      </c>
      <c r="Q129">
        <v>0.92634844391073801</v>
      </c>
      <c r="R129">
        <v>0.96487541278895195</v>
      </c>
      <c r="S129">
        <v>0.99439607725407797</v>
      </c>
      <c r="T129">
        <v>0.81659999999999999</v>
      </c>
      <c r="U129">
        <v>0.91779999999999995</v>
      </c>
      <c r="V129">
        <v>0.96120000000000005</v>
      </c>
      <c r="W129">
        <v>0.99509999999999998</v>
      </c>
      <c r="X129">
        <v>0.80936050030260198</v>
      </c>
      <c r="Y129">
        <v>0.925055477103087</v>
      </c>
      <c r="Z129">
        <v>0.95047407706274001</v>
      </c>
      <c r="AA129">
        <v>0.99102279604599597</v>
      </c>
      <c r="AB129">
        <v>0.8226</v>
      </c>
      <c r="AC129">
        <v>0.88500000000000001</v>
      </c>
      <c r="AD129">
        <v>0.90980000000000005</v>
      </c>
      <c r="AE129">
        <v>0.92410000000000003</v>
      </c>
    </row>
    <row r="130" spans="1:31" x14ac:dyDescent="0.3">
      <c r="A130" t="s">
        <v>56</v>
      </c>
      <c r="B130">
        <v>20</v>
      </c>
      <c r="C130" t="s">
        <v>55</v>
      </c>
      <c r="D130">
        <v>0.92859999999999998</v>
      </c>
      <c r="E130">
        <v>0.92859999999999998</v>
      </c>
      <c r="F130">
        <v>0.98540000000000005</v>
      </c>
      <c r="G130">
        <v>0.99780000000000002</v>
      </c>
      <c r="H130">
        <v>0.86899999999999999</v>
      </c>
      <c r="I130">
        <v>0.95689999999999997</v>
      </c>
      <c r="J130">
        <v>0.95689999999999997</v>
      </c>
      <c r="K130">
        <v>0.99750000000000005</v>
      </c>
      <c r="L130">
        <v>0.80649999999999999</v>
      </c>
      <c r="M130">
        <v>0.93759999999999999</v>
      </c>
      <c r="N130">
        <v>0.96150000000000002</v>
      </c>
      <c r="O130">
        <v>0.99219999999999997</v>
      </c>
      <c r="P130">
        <v>0.88260000000000005</v>
      </c>
      <c r="Q130">
        <v>0.9577</v>
      </c>
      <c r="R130">
        <v>0.9577</v>
      </c>
      <c r="S130">
        <v>0.99870000000000003</v>
      </c>
      <c r="T130">
        <v>0.80310000000000004</v>
      </c>
      <c r="U130">
        <v>0.93069999999999997</v>
      </c>
      <c r="V130">
        <v>0.96089999999999998</v>
      </c>
      <c r="W130">
        <v>0.99219999999999997</v>
      </c>
      <c r="X130">
        <v>0.86980000000000002</v>
      </c>
      <c r="Y130">
        <v>0.95820000000000005</v>
      </c>
      <c r="Z130">
        <v>0.95820000000000005</v>
      </c>
      <c r="AA130">
        <v>0.99650000000000005</v>
      </c>
      <c r="AB130">
        <v>0.92169999999999996</v>
      </c>
      <c r="AC130">
        <v>0.92169999999999996</v>
      </c>
      <c r="AD130">
        <v>0.98309999999999997</v>
      </c>
      <c r="AE130">
        <v>0.99750000000000005</v>
      </c>
    </row>
    <row r="131" spans="1:31" x14ac:dyDescent="0.3">
      <c r="A131" t="s">
        <v>56</v>
      </c>
      <c r="B131">
        <v>30</v>
      </c>
      <c r="C131" t="s">
        <v>55</v>
      </c>
      <c r="D131">
        <v>0.81369999999999998</v>
      </c>
      <c r="E131">
        <v>0.94120000000000004</v>
      </c>
      <c r="F131">
        <v>0.98529999999999995</v>
      </c>
      <c r="G131">
        <v>0.99639999999999995</v>
      </c>
      <c r="H131">
        <v>0.88149999999999995</v>
      </c>
      <c r="I131">
        <v>0.92879999999999996</v>
      </c>
      <c r="J131">
        <v>0.97430000000000005</v>
      </c>
      <c r="K131">
        <v>0.99270000000000003</v>
      </c>
      <c r="L131">
        <v>0.85609999999999997</v>
      </c>
      <c r="M131">
        <v>0.91439999999999999</v>
      </c>
      <c r="N131">
        <v>0.96960000000000002</v>
      </c>
      <c r="O131">
        <v>0.99529999999999996</v>
      </c>
      <c r="P131">
        <v>0.89900000000000002</v>
      </c>
      <c r="Q131">
        <v>0.89900000000000002</v>
      </c>
      <c r="R131">
        <v>0.95489999999999997</v>
      </c>
      <c r="S131">
        <v>0.99570000000000003</v>
      </c>
      <c r="T131">
        <v>0.85719999999999996</v>
      </c>
      <c r="U131">
        <v>0.90980000000000005</v>
      </c>
      <c r="V131">
        <v>0.96809999999999996</v>
      </c>
      <c r="W131">
        <v>0.995</v>
      </c>
      <c r="X131">
        <v>0.89229999999999998</v>
      </c>
      <c r="Y131">
        <v>0.93340000000000001</v>
      </c>
      <c r="Z131">
        <v>0.97599999999999998</v>
      </c>
      <c r="AA131">
        <v>0.99250000000000005</v>
      </c>
      <c r="AB131">
        <v>0.81130000000000002</v>
      </c>
      <c r="AC131">
        <v>0.94420000000000004</v>
      </c>
      <c r="AD131">
        <v>0.98660000000000003</v>
      </c>
      <c r="AE131">
        <v>0.99780000000000002</v>
      </c>
    </row>
    <row r="132" spans="1:31" x14ac:dyDescent="0.3">
      <c r="A132" t="s">
        <v>56</v>
      </c>
      <c r="B132">
        <v>50</v>
      </c>
      <c r="C132" t="s">
        <v>55</v>
      </c>
      <c r="D132">
        <v>0.81659999999999999</v>
      </c>
      <c r="E132">
        <v>0.96089999999999998</v>
      </c>
      <c r="F132">
        <v>0.96089999999999998</v>
      </c>
      <c r="G132">
        <v>0.99670000000000003</v>
      </c>
      <c r="H132">
        <v>0.84619999999999995</v>
      </c>
      <c r="I132">
        <v>0.91049999999999998</v>
      </c>
      <c r="J132">
        <v>0.96930000000000005</v>
      </c>
      <c r="K132">
        <v>0.99229999999999996</v>
      </c>
      <c r="L132">
        <v>0.80959999999999999</v>
      </c>
      <c r="M132">
        <v>0.92720000000000002</v>
      </c>
      <c r="N132">
        <v>0.95350000000000001</v>
      </c>
      <c r="O132">
        <v>0.99250000000000005</v>
      </c>
      <c r="P132">
        <v>0.89100000000000001</v>
      </c>
      <c r="Q132">
        <v>0.9385</v>
      </c>
      <c r="R132">
        <v>0.9698</v>
      </c>
      <c r="S132">
        <v>0.99339999999999995</v>
      </c>
      <c r="T132">
        <v>0.80559999999999998</v>
      </c>
      <c r="U132">
        <v>0.92220000000000002</v>
      </c>
      <c r="V132">
        <v>0.94879999999999998</v>
      </c>
      <c r="W132">
        <v>0.98929999999999996</v>
      </c>
      <c r="X132">
        <v>0.84140000000000004</v>
      </c>
      <c r="Y132">
        <v>0.90639999999999998</v>
      </c>
      <c r="Z132">
        <v>0.9708</v>
      </c>
      <c r="AA132">
        <v>0.9919</v>
      </c>
      <c r="AB132">
        <v>0.81850000000000001</v>
      </c>
      <c r="AC132">
        <v>0.96389999999999998</v>
      </c>
      <c r="AD132">
        <v>0.96389999999999998</v>
      </c>
      <c r="AE132">
        <v>0.99739999999999995</v>
      </c>
    </row>
    <row r="133" spans="1:31" x14ac:dyDescent="0.3">
      <c r="A133" t="s">
        <v>57</v>
      </c>
      <c r="B133">
        <v>20</v>
      </c>
      <c r="C133" t="s">
        <v>55</v>
      </c>
      <c r="D133">
        <v>0.92430000000000001</v>
      </c>
      <c r="E133">
        <v>0.92430000000000001</v>
      </c>
      <c r="F133">
        <v>0.98529999999999995</v>
      </c>
      <c r="G133">
        <v>0.99729999999999996</v>
      </c>
      <c r="H133">
        <v>0.86570000000000003</v>
      </c>
      <c r="I133">
        <v>0.95689999999999997</v>
      </c>
      <c r="J133">
        <v>0.95689999999999997</v>
      </c>
      <c r="K133">
        <v>0.99750000000000005</v>
      </c>
      <c r="L133">
        <v>0.80489999999999995</v>
      </c>
      <c r="M133">
        <v>0.93</v>
      </c>
      <c r="N133">
        <v>0.96079999999999999</v>
      </c>
      <c r="O133">
        <v>0.9929</v>
      </c>
      <c r="P133">
        <v>0.87780000000000002</v>
      </c>
      <c r="Q133">
        <v>0.9546</v>
      </c>
      <c r="R133">
        <v>0.9546</v>
      </c>
      <c r="S133">
        <v>0.99660000000000004</v>
      </c>
      <c r="T133">
        <v>0.80300000000000005</v>
      </c>
      <c r="U133">
        <v>0.93540000000000001</v>
      </c>
      <c r="V133">
        <v>0.9597</v>
      </c>
      <c r="W133">
        <v>0.99339999999999995</v>
      </c>
      <c r="X133">
        <v>0.8659</v>
      </c>
      <c r="Y133">
        <v>0.95920000000000005</v>
      </c>
      <c r="Z133">
        <v>0.95920000000000005</v>
      </c>
      <c r="AA133">
        <v>0.99729999999999996</v>
      </c>
      <c r="AB133">
        <v>0.92410000000000003</v>
      </c>
      <c r="AC133">
        <v>0.92410000000000003</v>
      </c>
      <c r="AD133">
        <v>0.9829</v>
      </c>
      <c r="AE133">
        <v>0.99690000000000001</v>
      </c>
    </row>
    <row r="134" spans="1:31" x14ac:dyDescent="0.3">
      <c r="A134" t="s">
        <v>57</v>
      </c>
      <c r="B134">
        <v>30</v>
      </c>
      <c r="C134" t="s">
        <v>55</v>
      </c>
      <c r="D134">
        <v>0.8125</v>
      </c>
      <c r="E134">
        <v>0.94040000000000001</v>
      </c>
      <c r="F134">
        <v>0.98450000000000004</v>
      </c>
      <c r="G134">
        <v>0.99660000000000004</v>
      </c>
      <c r="H134">
        <v>0.88529999999999998</v>
      </c>
      <c r="I134">
        <v>0.93469999999999998</v>
      </c>
      <c r="J134">
        <v>0.97399999999999998</v>
      </c>
      <c r="K134">
        <v>0.9919</v>
      </c>
      <c r="L134">
        <v>0.85170000000000001</v>
      </c>
      <c r="M134">
        <v>0.90669999999999995</v>
      </c>
      <c r="N134">
        <v>0.96699999999999997</v>
      </c>
      <c r="O134">
        <v>0.99470000000000003</v>
      </c>
      <c r="P134">
        <v>0.90310000000000001</v>
      </c>
      <c r="Q134">
        <v>0.90310000000000001</v>
      </c>
      <c r="R134">
        <v>0.95809999999999995</v>
      </c>
      <c r="S134">
        <v>0.99350000000000005</v>
      </c>
      <c r="T134">
        <v>0.86250000000000004</v>
      </c>
      <c r="U134">
        <v>0.91479999999999995</v>
      </c>
      <c r="V134">
        <v>0.96740000000000004</v>
      </c>
      <c r="W134">
        <v>0.99509999999999998</v>
      </c>
      <c r="X134">
        <v>0.88400000000000001</v>
      </c>
      <c r="Y134">
        <v>0.92869999999999997</v>
      </c>
      <c r="Z134">
        <v>0.97130000000000005</v>
      </c>
      <c r="AA134">
        <v>0.99109999999999998</v>
      </c>
      <c r="AB134">
        <v>0.81289999999999996</v>
      </c>
      <c r="AC134">
        <v>0.93820000000000003</v>
      </c>
      <c r="AD134">
        <v>0.98480000000000001</v>
      </c>
      <c r="AE134">
        <v>0.99680000000000002</v>
      </c>
    </row>
    <row r="135" spans="1:31" x14ac:dyDescent="0.3">
      <c r="A135" t="s">
        <v>57</v>
      </c>
      <c r="B135">
        <v>50</v>
      </c>
      <c r="C135" t="s">
        <v>55</v>
      </c>
      <c r="D135">
        <v>0.8175</v>
      </c>
      <c r="E135">
        <v>0.96150000000000002</v>
      </c>
      <c r="F135">
        <v>0.96150000000000002</v>
      </c>
      <c r="G135">
        <v>0.99660000000000004</v>
      </c>
      <c r="H135">
        <v>0.83940000000000003</v>
      </c>
      <c r="I135">
        <v>0.90739999999999998</v>
      </c>
      <c r="J135">
        <v>0.97219999999999995</v>
      </c>
      <c r="K135">
        <v>0.99239999999999995</v>
      </c>
      <c r="L135">
        <v>0.80989999999999995</v>
      </c>
      <c r="M135">
        <v>0.9274</v>
      </c>
      <c r="N135">
        <v>0.95309999999999995</v>
      </c>
      <c r="O135">
        <v>0.99150000000000005</v>
      </c>
      <c r="P135">
        <v>0.88139999999999996</v>
      </c>
      <c r="Q135">
        <v>0.93710000000000004</v>
      </c>
      <c r="R135">
        <v>0.96489999999999998</v>
      </c>
      <c r="S135">
        <v>0.99309999999999998</v>
      </c>
      <c r="T135">
        <v>0.80740000000000001</v>
      </c>
      <c r="U135">
        <v>0.92659999999999998</v>
      </c>
      <c r="V135">
        <v>0.95050000000000001</v>
      </c>
      <c r="W135">
        <v>0.99099999999999999</v>
      </c>
      <c r="X135">
        <v>0.84240000000000004</v>
      </c>
      <c r="Y135">
        <v>0.90620000000000001</v>
      </c>
      <c r="Z135">
        <v>0.96809999999999996</v>
      </c>
      <c r="AA135">
        <v>0.9909</v>
      </c>
      <c r="AB135">
        <v>0.82850000000000001</v>
      </c>
      <c r="AC135">
        <v>0.96630000000000005</v>
      </c>
      <c r="AD135">
        <v>0.96630000000000005</v>
      </c>
      <c r="AE135">
        <v>0.99770000000000003</v>
      </c>
    </row>
    <row r="136" spans="1:31" x14ac:dyDescent="0.3">
      <c r="A136" t="s">
        <v>31</v>
      </c>
      <c r="B136">
        <v>20</v>
      </c>
      <c r="C136" t="s">
        <v>55</v>
      </c>
      <c r="D136">
        <v>0.92069999999999996</v>
      </c>
      <c r="E136">
        <v>0.92069999999999996</v>
      </c>
      <c r="F136">
        <v>0.98329999999999995</v>
      </c>
      <c r="G136">
        <v>0.99719999999999998</v>
      </c>
      <c r="H136">
        <v>0.86570000000000003</v>
      </c>
      <c r="I136">
        <v>0.95789999999999997</v>
      </c>
      <c r="J136">
        <v>0.95789999999999997</v>
      </c>
      <c r="K136">
        <v>0.99750000000000005</v>
      </c>
      <c r="L136">
        <v>0.80010000000000003</v>
      </c>
      <c r="M136">
        <v>0.93179999999999996</v>
      </c>
      <c r="N136">
        <v>0.95979999999999999</v>
      </c>
      <c r="O136">
        <v>0.99299999999999999</v>
      </c>
      <c r="P136">
        <v>0.88949999999999996</v>
      </c>
      <c r="Q136">
        <v>0.96199999999999997</v>
      </c>
      <c r="R136">
        <v>0.96199999999999997</v>
      </c>
      <c r="S136">
        <v>0.99829999999999997</v>
      </c>
      <c r="T136">
        <v>0.81710000000000005</v>
      </c>
      <c r="U136">
        <v>0.94230000000000003</v>
      </c>
      <c r="V136">
        <v>0.96609999999999996</v>
      </c>
      <c r="W136">
        <v>0.9919</v>
      </c>
      <c r="X136">
        <v>0.86650000000000005</v>
      </c>
      <c r="Y136">
        <v>0.95789999999999997</v>
      </c>
      <c r="Z136">
        <v>0.95789999999999997</v>
      </c>
      <c r="AA136">
        <v>0.99719999999999998</v>
      </c>
      <c r="AB136">
        <v>0.92630000000000001</v>
      </c>
      <c r="AC136">
        <v>0.92630000000000001</v>
      </c>
      <c r="AD136">
        <v>0.98480000000000001</v>
      </c>
      <c r="AE136">
        <v>0.99750000000000005</v>
      </c>
    </row>
    <row r="137" spans="1:31" x14ac:dyDescent="0.3">
      <c r="A137" t="s">
        <v>31</v>
      </c>
      <c r="B137">
        <v>30</v>
      </c>
      <c r="C137" t="s">
        <v>55</v>
      </c>
      <c r="D137">
        <v>0.81059999999999999</v>
      </c>
      <c r="E137">
        <v>0.93700000000000006</v>
      </c>
      <c r="F137">
        <v>0.98429999999999995</v>
      </c>
      <c r="G137">
        <v>0.997</v>
      </c>
      <c r="H137">
        <v>0.88519999999999999</v>
      </c>
      <c r="I137">
        <v>0.93240000000000001</v>
      </c>
      <c r="J137">
        <v>0.9758</v>
      </c>
      <c r="K137">
        <v>0.99109999999999998</v>
      </c>
      <c r="L137">
        <v>0.85699999999999998</v>
      </c>
      <c r="M137">
        <v>0.91459999999999997</v>
      </c>
      <c r="N137">
        <v>0.96799999999999997</v>
      </c>
      <c r="O137">
        <v>0.996</v>
      </c>
      <c r="P137">
        <v>0.89980000000000004</v>
      </c>
      <c r="Q137">
        <v>0.89980000000000004</v>
      </c>
      <c r="R137">
        <v>0.95520000000000005</v>
      </c>
      <c r="S137">
        <v>0.99539999999999995</v>
      </c>
      <c r="T137">
        <v>0.85450000000000004</v>
      </c>
      <c r="U137">
        <v>0.90880000000000005</v>
      </c>
      <c r="V137">
        <v>0.96689999999999998</v>
      </c>
      <c r="W137">
        <v>0.99609999999999999</v>
      </c>
      <c r="X137">
        <v>0.88639999999999997</v>
      </c>
      <c r="Y137">
        <v>0.93169999999999997</v>
      </c>
      <c r="Z137">
        <v>0.97299999999999998</v>
      </c>
      <c r="AA137">
        <v>0.99239999999999995</v>
      </c>
      <c r="AB137">
        <v>0.81299999999999994</v>
      </c>
      <c r="AC137">
        <v>0.9375</v>
      </c>
      <c r="AD137">
        <v>0.98329999999999995</v>
      </c>
      <c r="AE137">
        <v>0.99539999999999995</v>
      </c>
    </row>
    <row r="138" spans="1:31" x14ac:dyDescent="0.3">
      <c r="A138" t="s">
        <v>31</v>
      </c>
      <c r="B138">
        <v>50</v>
      </c>
      <c r="C138" t="s">
        <v>55</v>
      </c>
      <c r="D138">
        <v>0.82079999999999997</v>
      </c>
      <c r="E138">
        <v>0.96130000000000004</v>
      </c>
      <c r="F138">
        <v>0.96130000000000004</v>
      </c>
      <c r="G138">
        <v>0.99739999999999995</v>
      </c>
      <c r="H138">
        <v>0.84560000000000002</v>
      </c>
      <c r="I138">
        <v>0.91020000000000001</v>
      </c>
      <c r="J138">
        <v>0.97040000000000004</v>
      </c>
      <c r="K138">
        <v>0.99099999999999999</v>
      </c>
      <c r="L138">
        <v>0.80940000000000001</v>
      </c>
      <c r="M138">
        <v>0.92649999999999999</v>
      </c>
      <c r="N138">
        <v>0.95320000000000005</v>
      </c>
      <c r="O138">
        <v>0.99239999999999995</v>
      </c>
      <c r="P138">
        <v>0.88170000000000004</v>
      </c>
      <c r="Q138">
        <v>0.93700000000000006</v>
      </c>
      <c r="R138">
        <v>0.96870000000000001</v>
      </c>
      <c r="S138">
        <v>0.99419999999999997</v>
      </c>
      <c r="T138">
        <v>0.80940000000000001</v>
      </c>
      <c r="U138">
        <v>0.9244</v>
      </c>
      <c r="V138">
        <v>0.95069999999999999</v>
      </c>
      <c r="W138">
        <v>0.99170000000000003</v>
      </c>
      <c r="X138">
        <v>0.84309999999999996</v>
      </c>
      <c r="Y138">
        <v>0.90429999999999999</v>
      </c>
      <c r="Z138">
        <v>0.96789999999999998</v>
      </c>
      <c r="AA138">
        <v>0.99150000000000005</v>
      </c>
      <c r="AB138">
        <v>0.81979999999999997</v>
      </c>
      <c r="AC138">
        <v>0.96399999999999997</v>
      </c>
      <c r="AD138">
        <v>0.96399999999999997</v>
      </c>
      <c r="AE138">
        <v>0.99729999999999996</v>
      </c>
    </row>
    <row r="139" spans="1:31" x14ac:dyDescent="0.3">
      <c r="A139" t="s">
        <v>56</v>
      </c>
      <c r="B139">
        <v>20</v>
      </c>
      <c r="C139" t="s">
        <v>32</v>
      </c>
      <c r="D139">
        <v>0.72758489126287695</v>
      </c>
      <c r="E139">
        <v>0.72758489126287695</v>
      </c>
      <c r="F139">
        <v>0.94429607020221296</v>
      </c>
      <c r="G139">
        <v>0.99160625715375805</v>
      </c>
      <c r="H139">
        <v>0.77785314566728803</v>
      </c>
      <c r="I139">
        <v>0.926911989147024</v>
      </c>
      <c r="J139">
        <v>0.98083771409191101</v>
      </c>
      <c r="K139">
        <v>0.99576055621502502</v>
      </c>
      <c r="L139">
        <v>0.80884565239193695</v>
      </c>
      <c r="M139">
        <v>0.87152742954568296</v>
      </c>
      <c r="N139">
        <v>0.96429645973322597</v>
      </c>
      <c r="O139">
        <v>0.99508574867114596</v>
      </c>
      <c r="P139">
        <v>0.73950000000000005</v>
      </c>
      <c r="Q139">
        <v>0.88260000000000005</v>
      </c>
      <c r="R139">
        <v>0.9577</v>
      </c>
      <c r="S139">
        <v>0.98780000000000001</v>
      </c>
      <c r="T139">
        <v>0.80616342099979899</v>
      </c>
      <c r="U139">
        <v>0.86819915679582405</v>
      </c>
      <c r="V139">
        <v>0.96456534832362995</v>
      </c>
      <c r="W139">
        <v>0.99598474201967502</v>
      </c>
      <c r="X139">
        <v>0.85201182086837901</v>
      </c>
      <c r="Y139">
        <v>0.95248920209138399</v>
      </c>
      <c r="Z139">
        <v>0.987497158445101</v>
      </c>
      <c r="AA139">
        <v>0.99602182314162302</v>
      </c>
      <c r="AB139">
        <v>0.70783582089552199</v>
      </c>
      <c r="AC139">
        <v>0.70783582089552199</v>
      </c>
      <c r="AD139">
        <v>0.93694029850746297</v>
      </c>
      <c r="AE139">
        <v>0.99067164179104505</v>
      </c>
    </row>
    <row r="140" spans="1:31" x14ac:dyDescent="0.3">
      <c r="A140" t="s">
        <v>56</v>
      </c>
      <c r="B140">
        <v>30</v>
      </c>
      <c r="C140" t="s">
        <v>32</v>
      </c>
      <c r="D140">
        <v>0.92516227567774001</v>
      </c>
      <c r="E140">
        <v>0.92516227567774001</v>
      </c>
      <c r="F140">
        <v>0.981290568919435</v>
      </c>
      <c r="G140">
        <v>0.99541809851088203</v>
      </c>
      <c r="H140">
        <v>0.69976457554355398</v>
      </c>
      <c r="I140">
        <v>0.96440936158426804</v>
      </c>
      <c r="J140">
        <v>0.96440936158426804</v>
      </c>
      <c r="K140">
        <v>0.98989059687023995</v>
      </c>
      <c r="L140">
        <v>0.796939081724517</v>
      </c>
      <c r="M140">
        <v>0.91467440232069597</v>
      </c>
      <c r="N140">
        <v>0.941882564769431</v>
      </c>
      <c r="O140">
        <v>0.98789636891067301</v>
      </c>
      <c r="P140">
        <v>0.79900000000000004</v>
      </c>
      <c r="Q140">
        <v>0.89900000000000002</v>
      </c>
      <c r="R140">
        <v>0.95489999999999997</v>
      </c>
      <c r="S140">
        <v>0.98540000000000005</v>
      </c>
      <c r="T140">
        <v>0.795518207282913</v>
      </c>
      <c r="U140">
        <v>0.91016406562625096</v>
      </c>
      <c r="V140">
        <v>0.94047619047619002</v>
      </c>
      <c r="W140">
        <v>0.98779511804721898</v>
      </c>
      <c r="X140">
        <v>0.78452057656152097</v>
      </c>
      <c r="Y140">
        <v>0.97493210779193695</v>
      </c>
      <c r="Z140">
        <v>0.97493210779193695</v>
      </c>
      <c r="AA140">
        <v>0.99216628368498005</v>
      </c>
      <c r="AB140">
        <v>0.92877201940260401</v>
      </c>
      <c r="AC140">
        <v>0.92877201940260401</v>
      </c>
      <c r="AD140">
        <v>0.98289507275976495</v>
      </c>
      <c r="AE140">
        <v>0.99719172836354397</v>
      </c>
    </row>
    <row r="141" spans="1:31" x14ac:dyDescent="0.3">
      <c r="A141" t="s">
        <v>56</v>
      </c>
      <c r="B141">
        <v>50</v>
      </c>
      <c r="C141" t="s">
        <v>32</v>
      </c>
      <c r="D141">
        <v>0.88462788430289196</v>
      </c>
      <c r="E141">
        <v>0.95764272559852703</v>
      </c>
      <c r="F141">
        <v>0.98732531686707803</v>
      </c>
      <c r="G141">
        <v>0.99642508937276597</v>
      </c>
      <c r="H141">
        <v>0.72181479179614705</v>
      </c>
      <c r="I141">
        <v>0.89484151646985699</v>
      </c>
      <c r="J141">
        <v>0.93660658794282203</v>
      </c>
      <c r="K141">
        <v>0.99651957737725305</v>
      </c>
      <c r="L141">
        <v>0.80959999999999999</v>
      </c>
      <c r="M141">
        <v>0.9012</v>
      </c>
      <c r="N141">
        <v>0.95350000000000001</v>
      </c>
      <c r="O141">
        <v>0.98740000000000006</v>
      </c>
      <c r="P141">
        <v>0.80779999999999996</v>
      </c>
      <c r="Q141">
        <v>0.89100000000000001</v>
      </c>
      <c r="R141">
        <v>0.9385</v>
      </c>
      <c r="S141">
        <v>0.99339999999999995</v>
      </c>
      <c r="T141">
        <v>0.80559999999999998</v>
      </c>
      <c r="U141">
        <v>0.89839999999999998</v>
      </c>
      <c r="V141">
        <v>0.94879999999999998</v>
      </c>
      <c r="W141">
        <v>0.98360000000000003</v>
      </c>
      <c r="X141">
        <v>0.76875941737820197</v>
      </c>
      <c r="Y141">
        <v>0.91049723756906098</v>
      </c>
      <c r="Z141">
        <v>0.94465092918131599</v>
      </c>
      <c r="AA141">
        <v>0.99638372677046705</v>
      </c>
      <c r="AB141">
        <v>0.88687831834434905</v>
      </c>
      <c r="AC141">
        <v>0.96088416946581401</v>
      </c>
      <c r="AD141">
        <v>0.98775598656409103</v>
      </c>
      <c r="AE141">
        <v>0.99718279336872895</v>
      </c>
    </row>
    <row r="142" spans="1:31" x14ac:dyDescent="0.3">
      <c r="A142" t="s">
        <v>57</v>
      </c>
      <c r="B142">
        <v>20</v>
      </c>
      <c r="C142" t="s">
        <v>32</v>
      </c>
      <c r="D142">
        <v>0.71433962264150896</v>
      </c>
      <c r="E142">
        <v>0.71433962264150896</v>
      </c>
      <c r="F142">
        <v>0.94452830188679204</v>
      </c>
      <c r="G142">
        <v>0.98981132075471701</v>
      </c>
      <c r="H142">
        <v>0.77117055716476401</v>
      </c>
      <c r="I142">
        <v>0.92656329868802201</v>
      </c>
      <c r="J142">
        <v>0.98023513375362104</v>
      </c>
      <c r="K142">
        <v>0.99574033055034905</v>
      </c>
      <c r="L142">
        <v>0.807483948635634</v>
      </c>
      <c r="M142">
        <v>0.86767656500802604</v>
      </c>
      <c r="N142">
        <v>0.963884430176565</v>
      </c>
      <c r="O142">
        <v>0.99608747993579405</v>
      </c>
      <c r="P142">
        <v>0.73099999999999998</v>
      </c>
      <c r="Q142">
        <v>0.87780000000000002</v>
      </c>
      <c r="R142">
        <v>0.9546</v>
      </c>
      <c r="S142">
        <v>0.98570000000000002</v>
      </c>
      <c r="T142">
        <v>0.80517396971823896</v>
      </c>
      <c r="U142">
        <v>0.86794344730773099</v>
      </c>
      <c r="V142">
        <v>0.96229820515391595</v>
      </c>
      <c r="W142">
        <v>0.99608944149202805</v>
      </c>
      <c r="X142">
        <v>0.84707492302428999</v>
      </c>
      <c r="Y142">
        <v>0.95347245980157402</v>
      </c>
      <c r="Z142">
        <v>0.98791196259550695</v>
      </c>
      <c r="AA142">
        <v>0.99692097160451598</v>
      </c>
      <c r="AB142">
        <v>0.71888888888888902</v>
      </c>
      <c r="AC142">
        <v>0.71888888888888902</v>
      </c>
      <c r="AD142">
        <v>0.93666666666666698</v>
      </c>
      <c r="AE142">
        <v>0.98851851851851902</v>
      </c>
    </row>
    <row r="143" spans="1:31" x14ac:dyDescent="0.3">
      <c r="A143" t="s">
        <v>57</v>
      </c>
      <c r="B143">
        <v>30</v>
      </c>
      <c r="C143" t="s">
        <v>32</v>
      </c>
      <c r="D143">
        <v>0.92335390946502105</v>
      </c>
      <c r="E143">
        <v>0.92335390946502105</v>
      </c>
      <c r="F143">
        <v>0.98006687242798396</v>
      </c>
      <c r="G143">
        <v>0.99562757201646102</v>
      </c>
      <c r="H143">
        <v>0.70089965397923903</v>
      </c>
      <c r="I143">
        <v>0.96401384083045005</v>
      </c>
      <c r="J143">
        <v>0.96401384083045005</v>
      </c>
      <c r="K143">
        <v>0.98878892733564006</v>
      </c>
      <c r="L143">
        <v>0.79495899179836005</v>
      </c>
      <c r="M143">
        <v>0.906881376275255</v>
      </c>
      <c r="N143">
        <v>0.937887577515503</v>
      </c>
      <c r="O143">
        <v>0.98729745949189796</v>
      </c>
      <c r="P143">
        <v>0.79259999999999997</v>
      </c>
      <c r="Q143">
        <v>0.90310000000000001</v>
      </c>
      <c r="R143">
        <v>0.95809999999999995</v>
      </c>
      <c r="S143">
        <v>0.98399999999999999</v>
      </c>
      <c r="T143">
        <v>0.79827982798279795</v>
      </c>
      <c r="U143">
        <v>0.91489148914891505</v>
      </c>
      <c r="V143">
        <v>0.94299429942994295</v>
      </c>
      <c r="W143">
        <v>0.98589858985898604</v>
      </c>
      <c r="X143">
        <v>0.77083768539795305</v>
      </c>
      <c r="Y143">
        <v>0.97002297890119105</v>
      </c>
      <c r="Z143">
        <v>0.97002297890119105</v>
      </c>
      <c r="AA143">
        <v>0.99070398997284304</v>
      </c>
      <c r="AB143">
        <v>0.92101226993865004</v>
      </c>
      <c r="AC143">
        <v>0.92101226993865004</v>
      </c>
      <c r="AD143">
        <v>0.98057259713701395</v>
      </c>
      <c r="AE143">
        <v>0.99591002044989796</v>
      </c>
    </row>
    <row r="144" spans="1:31" x14ac:dyDescent="0.3">
      <c r="A144" t="s">
        <v>57</v>
      </c>
      <c r="B144">
        <v>50</v>
      </c>
      <c r="C144" t="s">
        <v>32</v>
      </c>
      <c r="D144">
        <v>0.88579477733232204</v>
      </c>
      <c r="E144">
        <v>0.958283671036949</v>
      </c>
      <c r="F144">
        <v>0.98656409145086099</v>
      </c>
      <c r="G144">
        <v>0.99631596055910698</v>
      </c>
      <c r="H144">
        <v>0.71505706221622301</v>
      </c>
      <c r="I144">
        <v>0.89115228862437101</v>
      </c>
      <c r="J144">
        <v>0.93569763161124098</v>
      </c>
      <c r="K144">
        <v>0.99545956559087001</v>
      </c>
      <c r="L144">
        <v>0.80989999999999995</v>
      </c>
      <c r="M144">
        <v>0.9</v>
      </c>
      <c r="N144">
        <v>0.95309999999999995</v>
      </c>
      <c r="O144">
        <v>0.9869</v>
      </c>
      <c r="P144">
        <v>0.7984</v>
      </c>
      <c r="Q144">
        <v>0.88139999999999996</v>
      </c>
      <c r="R144">
        <v>0.93710000000000004</v>
      </c>
      <c r="S144">
        <v>0.99309999999999998</v>
      </c>
      <c r="T144">
        <v>0.80740000000000001</v>
      </c>
      <c r="U144">
        <v>0.89770000000000005</v>
      </c>
      <c r="V144">
        <v>0.95050000000000001</v>
      </c>
      <c r="W144">
        <v>0.98550000000000004</v>
      </c>
      <c r="X144">
        <v>0.76577755410166104</v>
      </c>
      <c r="Y144">
        <v>0.91212883744338202</v>
      </c>
      <c r="Z144">
        <v>0.94494212380473097</v>
      </c>
      <c r="AA144">
        <v>0.99738298943130299</v>
      </c>
      <c r="AB144">
        <v>0.89441865486343497</v>
      </c>
      <c r="AC144">
        <v>0.96361869804598899</v>
      </c>
      <c r="AD144">
        <v>0.98877253589549796</v>
      </c>
      <c r="AE144">
        <v>0.99751700313073499</v>
      </c>
    </row>
    <row r="145" spans="1:31" x14ac:dyDescent="0.3">
      <c r="A145" t="s">
        <v>31</v>
      </c>
      <c r="B145">
        <v>20</v>
      </c>
      <c r="C145" t="s">
        <v>32</v>
      </c>
      <c r="D145">
        <v>0.71121631463947599</v>
      </c>
      <c r="E145">
        <v>0.71121631463947599</v>
      </c>
      <c r="F145">
        <v>0.93918426802622001</v>
      </c>
      <c r="G145">
        <v>0.98980335032774902</v>
      </c>
      <c r="H145">
        <v>0.77202512306908799</v>
      </c>
      <c r="I145">
        <v>0.92853505347139698</v>
      </c>
      <c r="J145">
        <v>0.98319470378543505</v>
      </c>
      <c r="K145">
        <v>0.99575623832965499</v>
      </c>
      <c r="L145">
        <v>0.80266853932584303</v>
      </c>
      <c r="M145">
        <v>0.86336276083467101</v>
      </c>
      <c r="N145">
        <v>0.96288121990369202</v>
      </c>
      <c r="O145">
        <v>0.99618780096308202</v>
      </c>
      <c r="P145">
        <v>0.74280000000000002</v>
      </c>
      <c r="Q145">
        <v>0.88949999999999996</v>
      </c>
      <c r="R145">
        <v>0.96199999999999997</v>
      </c>
      <c r="S145">
        <v>0.98980000000000001</v>
      </c>
      <c r="T145">
        <v>0.819723113964687</v>
      </c>
      <c r="U145">
        <v>0.87861155698234406</v>
      </c>
      <c r="V145">
        <v>0.96920144462279301</v>
      </c>
      <c r="W145">
        <v>0.99508426966292096</v>
      </c>
      <c r="X145">
        <v>0.84786324786324796</v>
      </c>
      <c r="Y145">
        <v>0.95202279202279205</v>
      </c>
      <c r="Z145">
        <v>0.987350427350427</v>
      </c>
      <c r="AA145">
        <v>0.99680911680911699</v>
      </c>
      <c r="AB145">
        <v>0.72261949567181005</v>
      </c>
      <c r="AC145">
        <v>0.72261949567181005</v>
      </c>
      <c r="AD145">
        <v>0.94279262325931501</v>
      </c>
      <c r="AE145">
        <v>0.99059089198343997</v>
      </c>
    </row>
    <row r="146" spans="1:31" x14ac:dyDescent="0.3">
      <c r="A146" t="s">
        <v>31</v>
      </c>
      <c r="B146">
        <v>30</v>
      </c>
      <c r="C146" t="s">
        <v>32</v>
      </c>
      <c r="D146">
        <v>0.92036405005688304</v>
      </c>
      <c r="E146">
        <v>0.92036405005688304</v>
      </c>
      <c r="F146">
        <v>0.98015421564909599</v>
      </c>
      <c r="G146">
        <v>0.99620781190747099</v>
      </c>
      <c r="H146">
        <v>0.70348021330339605</v>
      </c>
      <c r="I146">
        <v>0.96603985405557102</v>
      </c>
      <c r="J146">
        <v>0.96603985405557102</v>
      </c>
      <c r="K146">
        <v>0.98751052483861901</v>
      </c>
      <c r="L146">
        <v>0.79737973797379702</v>
      </c>
      <c r="M146">
        <v>0.91469146914691501</v>
      </c>
      <c r="N146">
        <v>0.93849384938493896</v>
      </c>
      <c r="O146">
        <v>0.98769876987698801</v>
      </c>
      <c r="P146">
        <v>0.79690000000000005</v>
      </c>
      <c r="Q146">
        <v>0.89980000000000004</v>
      </c>
      <c r="R146">
        <v>0.95520000000000005</v>
      </c>
      <c r="S146">
        <v>0.98450000000000004</v>
      </c>
      <c r="T146">
        <v>0.79657965796579699</v>
      </c>
      <c r="U146">
        <v>0.90889088908890903</v>
      </c>
      <c r="V146">
        <v>0.938093809380938</v>
      </c>
      <c r="W146">
        <v>0.98649864986498603</v>
      </c>
      <c r="X146">
        <v>0.77709398143319097</v>
      </c>
      <c r="Y146">
        <v>0.97183686241785705</v>
      </c>
      <c r="Z146">
        <v>0.97183686241785705</v>
      </c>
      <c r="AA146">
        <v>0.99207259831021199</v>
      </c>
      <c r="AB146">
        <v>0.92042271454036195</v>
      </c>
      <c r="AC146">
        <v>0.92042271454036195</v>
      </c>
      <c r="AD146">
        <v>0.97873694932518496</v>
      </c>
      <c r="AE146">
        <v>0.99414311179017101</v>
      </c>
    </row>
    <row r="147" spans="1:31" x14ac:dyDescent="0.3">
      <c r="A147" t="s">
        <v>31</v>
      </c>
      <c r="B147">
        <v>50</v>
      </c>
      <c r="C147" t="s">
        <v>32</v>
      </c>
      <c r="D147">
        <v>0.88735135135135101</v>
      </c>
      <c r="E147">
        <v>0.95816216216216199</v>
      </c>
      <c r="F147">
        <v>0.98864864864864899</v>
      </c>
      <c r="G147">
        <v>0.99718918918918897</v>
      </c>
      <c r="H147">
        <v>0.71079580505860596</v>
      </c>
      <c r="I147">
        <v>0.89611351017890195</v>
      </c>
      <c r="J147">
        <v>0.93633559531153598</v>
      </c>
      <c r="K147">
        <v>0.99580505860579904</v>
      </c>
      <c r="L147">
        <v>0.80940000000000001</v>
      </c>
      <c r="M147">
        <v>0.89849999999999997</v>
      </c>
      <c r="N147">
        <v>0.95320000000000005</v>
      </c>
      <c r="O147">
        <v>0.98740000000000006</v>
      </c>
      <c r="P147">
        <v>0.79690000000000005</v>
      </c>
      <c r="Q147">
        <v>0.88170000000000004</v>
      </c>
      <c r="R147">
        <v>0.93700000000000006</v>
      </c>
      <c r="S147">
        <v>0.99419999999999997</v>
      </c>
      <c r="T147">
        <v>0.80940000000000001</v>
      </c>
      <c r="U147">
        <v>0.8982</v>
      </c>
      <c r="V147">
        <v>0.95069999999999999</v>
      </c>
      <c r="W147">
        <v>0.98729999999999996</v>
      </c>
      <c r="X147">
        <v>0.76400201106083498</v>
      </c>
      <c r="Y147">
        <v>0.90930115635997999</v>
      </c>
      <c r="Z147">
        <v>0.94268476621417796</v>
      </c>
      <c r="AA147">
        <v>0.99698340874811497</v>
      </c>
      <c r="AB147">
        <v>0.88713342711827703</v>
      </c>
      <c r="AC147">
        <v>0.96104317714533105</v>
      </c>
      <c r="AD147">
        <v>0.98712260577859501</v>
      </c>
      <c r="AE147">
        <v>0.99707823828590003</v>
      </c>
    </row>
    <row r="148" spans="1:31" x14ac:dyDescent="0.3">
      <c r="A148" t="s">
        <v>56</v>
      </c>
      <c r="B148">
        <v>20</v>
      </c>
      <c r="C148" t="s">
        <v>58</v>
      </c>
      <c r="P148">
        <v>0.7359</v>
      </c>
      <c r="Q148">
        <v>0.84709999999999996</v>
      </c>
      <c r="R148">
        <v>0.91339999999999999</v>
      </c>
      <c r="S148">
        <v>0.98240000000000005</v>
      </c>
    </row>
    <row r="149" spans="1:31" x14ac:dyDescent="0.3">
      <c r="A149" t="s">
        <v>56</v>
      </c>
      <c r="B149">
        <v>30</v>
      </c>
      <c r="C149" t="s">
        <v>58</v>
      </c>
      <c r="P149">
        <v>0.6804</v>
      </c>
      <c r="Q149">
        <v>0.8135</v>
      </c>
      <c r="R149">
        <v>0.88859999999999995</v>
      </c>
      <c r="S149">
        <v>0.97119999999999995</v>
      </c>
    </row>
    <row r="150" spans="1:31" x14ac:dyDescent="0.3">
      <c r="A150" t="s">
        <v>56</v>
      </c>
      <c r="B150">
        <v>50</v>
      </c>
      <c r="C150" t="s">
        <v>58</v>
      </c>
      <c r="P150">
        <v>0.61629999999999996</v>
      </c>
      <c r="Q150">
        <v>0.74950000000000006</v>
      </c>
      <c r="R150">
        <v>0.84909999999999997</v>
      </c>
      <c r="S150">
        <v>0.95630000000000004</v>
      </c>
    </row>
    <row r="151" spans="1:31" x14ac:dyDescent="0.3">
      <c r="A151" t="s">
        <v>57</v>
      </c>
      <c r="B151">
        <v>20</v>
      </c>
      <c r="C151" t="s">
        <v>58</v>
      </c>
      <c r="P151">
        <v>0.69620000000000004</v>
      </c>
      <c r="Q151">
        <v>0.81869999999999998</v>
      </c>
      <c r="R151">
        <v>0.89319999999999999</v>
      </c>
      <c r="S151">
        <v>0.9728</v>
      </c>
    </row>
    <row r="152" spans="1:31" x14ac:dyDescent="0.3">
      <c r="A152" t="s">
        <v>57</v>
      </c>
      <c r="B152">
        <v>30</v>
      </c>
      <c r="C152" t="s">
        <v>58</v>
      </c>
      <c r="P152">
        <v>0.63049999999999995</v>
      </c>
      <c r="Q152">
        <v>0.77159999999999995</v>
      </c>
      <c r="R152">
        <v>0.86240000000000006</v>
      </c>
      <c r="S152">
        <v>0.95909999999999995</v>
      </c>
    </row>
    <row r="153" spans="1:31" x14ac:dyDescent="0.3">
      <c r="A153" t="s">
        <v>57</v>
      </c>
      <c r="B153">
        <v>50</v>
      </c>
      <c r="C153" t="s">
        <v>58</v>
      </c>
      <c r="P153">
        <v>0.52839999999999998</v>
      </c>
      <c r="Q153">
        <v>0.67569999999999997</v>
      </c>
      <c r="R153">
        <v>0.7893</v>
      </c>
      <c r="S153">
        <v>0.93</v>
      </c>
    </row>
    <row r="154" spans="1:31" x14ac:dyDescent="0.3">
      <c r="A154" t="s">
        <v>31</v>
      </c>
      <c r="B154">
        <v>20</v>
      </c>
      <c r="C154" t="s">
        <v>58</v>
      </c>
      <c r="P154">
        <v>0.81269999999999998</v>
      </c>
      <c r="Q154">
        <v>0.90610000000000002</v>
      </c>
      <c r="R154">
        <v>0.95640000000000003</v>
      </c>
      <c r="S154">
        <v>0.99070000000000003</v>
      </c>
    </row>
    <row r="155" spans="1:31" x14ac:dyDescent="0.3">
      <c r="A155" t="s">
        <v>31</v>
      </c>
      <c r="B155">
        <v>30</v>
      </c>
      <c r="C155" t="s">
        <v>58</v>
      </c>
      <c r="P155">
        <v>0.80310000000000004</v>
      </c>
      <c r="Q155">
        <v>0.90310000000000001</v>
      </c>
      <c r="R155">
        <v>0.94950000000000001</v>
      </c>
      <c r="S155">
        <v>0.98960000000000004</v>
      </c>
    </row>
    <row r="156" spans="1:31" x14ac:dyDescent="0.3">
      <c r="A156" t="s">
        <v>31</v>
      </c>
      <c r="B156">
        <v>50</v>
      </c>
      <c r="C156" t="s">
        <v>58</v>
      </c>
      <c r="P156">
        <v>0.79579999999999995</v>
      </c>
      <c r="Q156">
        <v>0.90300000000000002</v>
      </c>
      <c r="R156">
        <v>0.95150000000000001</v>
      </c>
      <c r="S156">
        <v>0.9909</v>
      </c>
    </row>
    <row r="157" spans="1:31" x14ac:dyDescent="0.3">
      <c r="A157" t="s">
        <v>56</v>
      </c>
      <c r="B157">
        <v>20</v>
      </c>
      <c r="C157" t="s">
        <v>91</v>
      </c>
      <c r="D157">
        <v>0.8931</v>
      </c>
      <c r="E157">
        <v>0.98050000000000004</v>
      </c>
      <c r="F157">
        <v>0.99280000000000002</v>
      </c>
      <c r="G157">
        <v>0.99939999999999996</v>
      </c>
      <c r="H157">
        <v>0.85840000000000005</v>
      </c>
      <c r="I157">
        <v>0.93500000000000005</v>
      </c>
      <c r="J157">
        <v>0.97699999999999998</v>
      </c>
      <c r="K157">
        <v>0.99850000000000005</v>
      </c>
      <c r="L157">
        <v>0.83140000000000003</v>
      </c>
      <c r="M157">
        <v>0.92569999999999997</v>
      </c>
      <c r="N157">
        <v>0.96650000000000003</v>
      </c>
      <c r="O157">
        <v>0.99470000000000003</v>
      </c>
      <c r="P157">
        <v>0.81579999999999997</v>
      </c>
      <c r="Q157">
        <v>0.90580000000000005</v>
      </c>
      <c r="R157">
        <v>0.95789999999999997</v>
      </c>
      <c r="S157">
        <v>0.99180000000000001</v>
      </c>
      <c r="T157">
        <v>0.80776155231046198</v>
      </c>
      <c r="U157">
        <v>0.89697939587917597</v>
      </c>
      <c r="V157">
        <v>0.95549109821964395</v>
      </c>
      <c r="W157">
        <v>0.99209841968393697</v>
      </c>
      <c r="X157">
        <v>0.78559804719283999</v>
      </c>
      <c r="Y157">
        <v>0.86828722538649294</v>
      </c>
      <c r="Z157">
        <v>0.91924328722538695</v>
      </c>
      <c r="AA157">
        <v>0.99603336045565505</v>
      </c>
      <c r="AB157">
        <v>0.68669478964770303</v>
      </c>
      <c r="AC157">
        <v>0.93375897845171596</v>
      </c>
      <c r="AD157">
        <v>0.98038992133166103</v>
      </c>
      <c r="AE157">
        <v>0.99669364952685002</v>
      </c>
    </row>
    <row r="158" spans="1:31" x14ac:dyDescent="0.3">
      <c r="A158" t="s">
        <v>56</v>
      </c>
      <c r="B158">
        <v>30</v>
      </c>
      <c r="C158" t="s">
        <v>91</v>
      </c>
      <c r="D158">
        <v>0.87490000000000001</v>
      </c>
      <c r="E158">
        <v>0.96150000000000002</v>
      </c>
      <c r="F158">
        <v>0.99119999999999997</v>
      </c>
      <c r="G158">
        <v>0.99890000000000001</v>
      </c>
      <c r="H158">
        <v>0.8427</v>
      </c>
      <c r="I158">
        <v>0.93740000000000001</v>
      </c>
      <c r="J158">
        <v>0.96930000000000005</v>
      </c>
      <c r="K158">
        <v>0.99829999999999997</v>
      </c>
      <c r="L158">
        <v>0.83140000000000003</v>
      </c>
      <c r="M158">
        <v>0.92300000000000004</v>
      </c>
      <c r="N158">
        <v>0.96220000000000006</v>
      </c>
      <c r="O158">
        <v>0.99429999999999996</v>
      </c>
      <c r="P158">
        <v>0.81089999999999995</v>
      </c>
      <c r="Q158">
        <v>0.90649999999999997</v>
      </c>
      <c r="R158">
        <v>0.95530000000000004</v>
      </c>
      <c r="S158">
        <v>0.99319999999999997</v>
      </c>
      <c r="T158">
        <v>0.8044</v>
      </c>
      <c r="U158">
        <v>0.90880000000000005</v>
      </c>
      <c r="V158">
        <v>0.95109999999999995</v>
      </c>
      <c r="W158">
        <v>0.9909</v>
      </c>
      <c r="X158">
        <v>0.781845688350983</v>
      </c>
      <c r="Y158">
        <v>0.92254160363086202</v>
      </c>
      <c r="Z158">
        <v>0.94251134644478096</v>
      </c>
      <c r="AA158">
        <v>0.99576399394856296</v>
      </c>
      <c r="AB158">
        <v>0.78003366294971599</v>
      </c>
      <c r="AC158">
        <v>0.82737218598779705</v>
      </c>
      <c r="AD158">
        <v>0.98485167262781403</v>
      </c>
      <c r="AE158">
        <v>0.99779086892489</v>
      </c>
    </row>
    <row r="159" spans="1:31" x14ac:dyDescent="0.3">
      <c r="A159" t="s">
        <v>56</v>
      </c>
      <c r="B159">
        <v>50</v>
      </c>
      <c r="C159" t="s">
        <v>91</v>
      </c>
      <c r="D159">
        <v>0.86719999999999997</v>
      </c>
      <c r="E159">
        <v>0.94440000000000002</v>
      </c>
      <c r="F159">
        <v>0.9798</v>
      </c>
      <c r="G159">
        <v>0.99829999999999997</v>
      </c>
      <c r="H159">
        <v>0.84470000000000001</v>
      </c>
      <c r="I159">
        <v>0.93279999999999996</v>
      </c>
      <c r="J159">
        <v>0.97030000000000005</v>
      </c>
      <c r="K159">
        <v>0.99580000000000002</v>
      </c>
      <c r="L159">
        <v>0.82199999999999995</v>
      </c>
      <c r="M159">
        <v>0.91710000000000003</v>
      </c>
      <c r="N159">
        <v>0.96299999999999997</v>
      </c>
      <c r="O159">
        <v>0.99339999999999995</v>
      </c>
      <c r="P159">
        <v>0.82089999999999996</v>
      </c>
      <c r="Q159">
        <v>0.91390000000000005</v>
      </c>
      <c r="R159">
        <v>0.9587</v>
      </c>
      <c r="S159">
        <v>0.99199999999999999</v>
      </c>
      <c r="T159">
        <v>0.80400000000000005</v>
      </c>
      <c r="U159">
        <v>0.90090000000000003</v>
      </c>
      <c r="V159">
        <v>0.95050000000000001</v>
      </c>
      <c r="W159">
        <v>0.98839999999999995</v>
      </c>
      <c r="X159">
        <v>0.79420028095524797</v>
      </c>
      <c r="Y159">
        <v>0.90788681517158298</v>
      </c>
      <c r="Z159">
        <v>0.94631747943006195</v>
      </c>
      <c r="AA159">
        <v>0.99157134256472002</v>
      </c>
      <c r="AB159">
        <v>0.83128865456757595</v>
      </c>
      <c r="AC159">
        <v>0.90043597282774002</v>
      </c>
      <c r="AD159">
        <v>0.93389435263104503</v>
      </c>
      <c r="AE159">
        <v>0.99716110716820405</v>
      </c>
    </row>
    <row r="160" spans="1:31" x14ac:dyDescent="0.3">
      <c r="A160" t="s">
        <v>57</v>
      </c>
      <c r="B160">
        <v>20</v>
      </c>
      <c r="C160" t="s">
        <v>91</v>
      </c>
      <c r="D160">
        <v>0.73660000000000003</v>
      </c>
      <c r="E160">
        <v>0.89019999999999999</v>
      </c>
      <c r="F160">
        <v>0.95940000000000003</v>
      </c>
      <c r="G160">
        <v>0.997</v>
      </c>
      <c r="H160">
        <v>0.9163</v>
      </c>
      <c r="I160">
        <v>0.97519999999999996</v>
      </c>
      <c r="J160">
        <v>0.99329999999999996</v>
      </c>
      <c r="K160">
        <v>0.99960000000000004</v>
      </c>
      <c r="L160">
        <v>0.91010000000000002</v>
      </c>
      <c r="M160">
        <v>0.97160000000000002</v>
      </c>
      <c r="N160">
        <v>0.99129999999999996</v>
      </c>
      <c r="O160">
        <v>0.99950000000000006</v>
      </c>
      <c r="P160">
        <v>0.8488</v>
      </c>
      <c r="Q160">
        <v>0.93130000000000002</v>
      </c>
      <c r="R160">
        <v>0.97019999999999995</v>
      </c>
      <c r="S160">
        <v>0.99609999999999999</v>
      </c>
      <c r="T160">
        <v>0.82989999999999997</v>
      </c>
      <c r="U160">
        <v>0.92320000000000002</v>
      </c>
      <c r="V160">
        <v>0.96540000000000004</v>
      </c>
      <c r="W160">
        <v>0.995</v>
      </c>
      <c r="X160">
        <v>0.80328032803280303</v>
      </c>
      <c r="Y160">
        <v>0.884588458845885</v>
      </c>
      <c r="Z160">
        <v>0.94449444944494498</v>
      </c>
      <c r="AA160">
        <v>0.99689968996899703</v>
      </c>
      <c r="AB160">
        <v>0.70506634499396903</v>
      </c>
      <c r="AC160">
        <v>0.95898673100120602</v>
      </c>
      <c r="AD160">
        <v>0.98391636509851199</v>
      </c>
      <c r="AE160">
        <v>0.99728588661037398</v>
      </c>
    </row>
    <row r="161" spans="1:31" x14ac:dyDescent="0.3">
      <c r="A161" t="s">
        <v>57</v>
      </c>
      <c r="B161">
        <v>30</v>
      </c>
      <c r="C161" t="s">
        <v>91</v>
      </c>
      <c r="D161">
        <v>0.75349999999999995</v>
      </c>
      <c r="E161">
        <v>0.89690000000000003</v>
      </c>
      <c r="F161">
        <v>0.96050000000000002</v>
      </c>
      <c r="G161">
        <v>0.996</v>
      </c>
      <c r="H161">
        <v>0.92110000000000003</v>
      </c>
      <c r="I161">
        <v>0.9768</v>
      </c>
      <c r="J161">
        <v>0.99419999999999997</v>
      </c>
      <c r="K161">
        <v>0.99970000000000003</v>
      </c>
      <c r="L161">
        <v>0.89249999999999996</v>
      </c>
      <c r="M161">
        <v>0.96309999999999996</v>
      </c>
      <c r="N161">
        <v>0.98750000000000004</v>
      </c>
      <c r="O161">
        <v>0.99919999999999998</v>
      </c>
      <c r="P161">
        <v>0.84419999999999995</v>
      </c>
      <c r="Q161">
        <v>0.93100000000000005</v>
      </c>
      <c r="R161">
        <v>0.96879999999999999</v>
      </c>
      <c r="S161">
        <v>0.99580000000000002</v>
      </c>
      <c r="T161">
        <v>0.83120000000000005</v>
      </c>
      <c r="U161">
        <v>0.92069999999999996</v>
      </c>
      <c r="V161">
        <v>0.96389999999999998</v>
      </c>
      <c r="W161">
        <v>0.99360000000000004</v>
      </c>
      <c r="X161">
        <v>0.80268026802680303</v>
      </c>
      <c r="Y161">
        <v>0.91629162916291595</v>
      </c>
      <c r="Z161">
        <v>0.95019501950194996</v>
      </c>
      <c r="AA161">
        <v>0.99619961996199602</v>
      </c>
      <c r="AB161">
        <v>0.75382921213334697</v>
      </c>
      <c r="AC161">
        <v>0.83832215436980695</v>
      </c>
      <c r="AD161">
        <v>0.98338171989188095</v>
      </c>
      <c r="AE161">
        <v>0.99709680648713594</v>
      </c>
    </row>
    <row r="162" spans="1:31" x14ac:dyDescent="0.3">
      <c r="A162" t="s">
        <v>57</v>
      </c>
      <c r="B162">
        <v>50</v>
      </c>
      <c r="C162" t="s">
        <v>91</v>
      </c>
      <c r="D162">
        <v>0.76870000000000005</v>
      </c>
      <c r="E162">
        <v>0.90559999999999996</v>
      </c>
      <c r="F162">
        <v>0.96389999999999998</v>
      </c>
      <c r="G162">
        <v>0.99739999999999995</v>
      </c>
      <c r="H162">
        <v>0.92569999999999997</v>
      </c>
      <c r="I162">
        <v>0.97889999999999999</v>
      </c>
      <c r="J162">
        <v>0.99399999999999999</v>
      </c>
      <c r="K162">
        <v>0.99960000000000004</v>
      </c>
      <c r="L162">
        <v>0.87719999999999998</v>
      </c>
      <c r="M162">
        <v>0.9506</v>
      </c>
      <c r="N162">
        <v>0.98250000000000004</v>
      </c>
      <c r="O162">
        <v>0.99829999999999997</v>
      </c>
      <c r="P162">
        <v>0.83399999999999996</v>
      </c>
      <c r="Q162">
        <v>0.92549999999999999</v>
      </c>
      <c r="R162">
        <v>0.96509999999999996</v>
      </c>
      <c r="S162">
        <v>0.99399999999999999</v>
      </c>
      <c r="T162">
        <v>0.81859999999999999</v>
      </c>
      <c r="U162">
        <v>0.91320000000000001</v>
      </c>
      <c r="V162">
        <v>0.95920000000000005</v>
      </c>
      <c r="W162">
        <v>0.99370000000000003</v>
      </c>
      <c r="X162">
        <v>0.8044</v>
      </c>
      <c r="Y162">
        <v>0.91449999999999998</v>
      </c>
      <c r="Z162">
        <v>0.95079999999999998</v>
      </c>
      <c r="AA162">
        <v>0.99119999999999997</v>
      </c>
      <c r="AB162">
        <v>0.83073229291716699</v>
      </c>
      <c r="AC162">
        <v>0.90036014405762299</v>
      </c>
      <c r="AD162">
        <v>0.93747498999599799</v>
      </c>
      <c r="AE162">
        <v>0.99719887955182096</v>
      </c>
    </row>
    <row r="163" spans="1:31" x14ac:dyDescent="0.3">
      <c r="A163" t="s">
        <v>31</v>
      </c>
      <c r="B163">
        <v>20</v>
      </c>
      <c r="C163" t="s">
        <v>91</v>
      </c>
      <c r="D163">
        <v>0.81669999999999998</v>
      </c>
      <c r="E163">
        <v>0.96389999999999998</v>
      </c>
      <c r="F163">
        <v>0.98450000000000004</v>
      </c>
      <c r="G163">
        <v>0.99760000000000004</v>
      </c>
      <c r="H163">
        <v>0.83440000000000003</v>
      </c>
      <c r="I163">
        <v>0.92530000000000001</v>
      </c>
      <c r="J163">
        <v>0.97560000000000002</v>
      </c>
      <c r="K163">
        <v>0.99739999999999995</v>
      </c>
      <c r="L163">
        <v>0.83799999999999997</v>
      </c>
      <c r="M163">
        <v>0.92889999999999995</v>
      </c>
      <c r="N163">
        <v>0.96940000000000004</v>
      </c>
      <c r="O163">
        <v>0.99590000000000001</v>
      </c>
      <c r="P163">
        <v>0.85109999999999997</v>
      </c>
      <c r="Q163">
        <v>0.93679999999999997</v>
      </c>
      <c r="R163">
        <v>0.97250000000000003</v>
      </c>
      <c r="S163">
        <v>0.99609999999999999</v>
      </c>
      <c r="T163">
        <v>0.85460000000000003</v>
      </c>
      <c r="U163">
        <v>0.9385</v>
      </c>
      <c r="V163">
        <v>0.97209999999999996</v>
      </c>
      <c r="W163">
        <v>0.99560000000000004</v>
      </c>
      <c r="X163">
        <v>0.83640000000000003</v>
      </c>
      <c r="Y163">
        <v>0.92059999999999997</v>
      </c>
      <c r="Z163">
        <v>0.9728</v>
      </c>
      <c r="AA163">
        <v>0.99680000000000002</v>
      </c>
      <c r="AB163">
        <v>0.82150000000000001</v>
      </c>
      <c r="AC163">
        <v>0.96699999999999997</v>
      </c>
      <c r="AD163">
        <v>0.98560000000000003</v>
      </c>
      <c r="AE163">
        <v>0.99770000000000003</v>
      </c>
    </row>
    <row r="164" spans="1:31" x14ac:dyDescent="0.3">
      <c r="A164" t="s">
        <v>31</v>
      </c>
      <c r="B164">
        <v>30</v>
      </c>
      <c r="C164" t="s">
        <v>91</v>
      </c>
      <c r="D164">
        <v>0.80869999999999997</v>
      </c>
      <c r="E164">
        <v>0.91820000000000002</v>
      </c>
      <c r="F164">
        <v>0.98380000000000001</v>
      </c>
      <c r="G164">
        <v>0.99760000000000004</v>
      </c>
      <c r="H164">
        <v>0.83530000000000004</v>
      </c>
      <c r="I164">
        <v>0.92779999999999996</v>
      </c>
      <c r="J164">
        <v>0.96460000000000001</v>
      </c>
      <c r="K164">
        <v>0.99690000000000001</v>
      </c>
      <c r="L164">
        <v>0.84060000000000001</v>
      </c>
      <c r="M164">
        <v>0.92710000000000004</v>
      </c>
      <c r="N164">
        <v>0.96860000000000002</v>
      </c>
      <c r="O164">
        <v>0.99550000000000005</v>
      </c>
      <c r="P164">
        <v>0.83320000000000005</v>
      </c>
      <c r="Q164">
        <v>0.92359999999999998</v>
      </c>
      <c r="R164">
        <v>0.96719999999999995</v>
      </c>
      <c r="S164">
        <v>0.995</v>
      </c>
      <c r="T164">
        <v>0.83689999999999998</v>
      </c>
      <c r="U164">
        <v>0.9224</v>
      </c>
      <c r="V164">
        <v>0.96640000000000004</v>
      </c>
      <c r="W164">
        <v>0.99509999999999998</v>
      </c>
      <c r="X164">
        <v>0.83220000000000005</v>
      </c>
      <c r="Y164">
        <v>0.92549999999999999</v>
      </c>
      <c r="Z164">
        <v>0.9637</v>
      </c>
      <c r="AA164">
        <v>0.99739999999999995</v>
      </c>
      <c r="AB164">
        <v>0.80600000000000005</v>
      </c>
      <c r="AC164">
        <v>0.9133</v>
      </c>
      <c r="AD164">
        <v>0.9819</v>
      </c>
      <c r="AE164">
        <v>0.996</v>
      </c>
    </row>
    <row r="165" spans="1:31" x14ac:dyDescent="0.3">
      <c r="A165" t="s">
        <v>31</v>
      </c>
      <c r="B165">
        <v>50</v>
      </c>
      <c r="C165" t="s">
        <v>91</v>
      </c>
      <c r="D165">
        <v>0.83589999999999998</v>
      </c>
      <c r="E165">
        <v>0.9143</v>
      </c>
      <c r="F165">
        <v>0.95609999999999995</v>
      </c>
      <c r="G165">
        <v>0.99809999999999999</v>
      </c>
      <c r="H165">
        <v>0.8236</v>
      </c>
      <c r="I165">
        <v>0.92379999999999995</v>
      </c>
      <c r="J165">
        <v>0.96279999999999999</v>
      </c>
      <c r="K165">
        <v>0.99299999999999999</v>
      </c>
      <c r="L165">
        <v>0.83109999999999995</v>
      </c>
      <c r="M165">
        <v>0.91879999999999995</v>
      </c>
      <c r="N165">
        <v>0.96409999999999996</v>
      </c>
      <c r="O165">
        <v>0.99470000000000003</v>
      </c>
      <c r="P165">
        <v>0.82879999999999998</v>
      </c>
      <c r="Q165">
        <v>0.92090000000000005</v>
      </c>
      <c r="R165">
        <v>0.96399999999999997</v>
      </c>
      <c r="S165">
        <v>0.99450000000000005</v>
      </c>
      <c r="T165">
        <v>0.82850000000000001</v>
      </c>
      <c r="U165">
        <v>0.91810000000000003</v>
      </c>
      <c r="V165">
        <v>0.9647</v>
      </c>
      <c r="W165">
        <v>0.99419999999999997</v>
      </c>
      <c r="X165">
        <v>0.8165</v>
      </c>
      <c r="Y165">
        <v>0.91890000000000005</v>
      </c>
      <c r="Z165">
        <v>0.96079999999999999</v>
      </c>
      <c r="AA165">
        <v>0.99399999999999999</v>
      </c>
      <c r="AB165">
        <v>0.83540000000000003</v>
      </c>
      <c r="AC165">
        <v>0.9123</v>
      </c>
      <c r="AD165">
        <v>0.95420000000000005</v>
      </c>
      <c r="AE165">
        <v>0.99739999999999995</v>
      </c>
    </row>
    <row r="166" spans="1:31" x14ac:dyDescent="0.3">
      <c r="A166" t="s">
        <v>56</v>
      </c>
      <c r="B166">
        <v>20</v>
      </c>
      <c r="C166" t="s">
        <v>68</v>
      </c>
      <c r="D166">
        <v>0.7772</v>
      </c>
      <c r="E166">
        <v>0.97560000000000002</v>
      </c>
      <c r="F166">
        <v>0.98760000000000003</v>
      </c>
      <c r="G166">
        <v>0.99850000000000005</v>
      </c>
      <c r="H166">
        <v>0.80989999999999995</v>
      </c>
      <c r="I166">
        <v>0.88539999999999996</v>
      </c>
      <c r="J166">
        <v>0.93930000000000002</v>
      </c>
      <c r="K166">
        <v>0.998</v>
      </c>
      <c r="L166">
        <v>0.81208120812081197</v>
      </c>
      <c r="M166">
        <v>0.90299029902990302</v>
      </c>
      <c r="N166">
        <v>0.95809580958095797</v>
      </c>
      <c r="O166">
        <v>0.99249924992499206</v>
      </c>
      <c r="P166">
        <v>0.79063719115734699</v>
      </c>
      <c r="Q166">
        <v>0.89586876062818799</v>
      </c>
      <c r="R166">
        <v>0.95268580574172201</v>
      </c>
      <c r="S166">
        <v>0.98979693908172495</v>
      </c>
      <c r="T166">
        <v>0.80339732636445904</v>
      </c>
      <c r="U166">
        <v>0.88189767815860898</v>
      </c>
      <c r="V166">
        <v>0.95527188662177098</v>
      </c>
      <c r="W166">
        <v>0.99175796562468599</v>
      </c>
      <c r="X166">
        <v>0.79652526113834998</v>
      </c>
      <c r="Y166">
        <v>0.88445960349605601</v>
      </c>
      <c r="Z166">
        <v>0.92922617778725203</v>
      </c>
      <c r="AA166">
        <v>0.99594969089746299</v>
      </c>
      <c r="AB166">
        <v>0.75408312309122305</v>
      </c>
      <c r="AC166">
        <v>0.91183109812773899</v>
      </c>
      <c r="AD166">
        <v>0.977028283096534</v>
      </c>
      <c r="AE166">
        <v>0.99641481874917004</v>
      </c>
    </row>
    <row r="167" spans="1:31" x14ac:dyDescent="0.3">
      <c r="A167" t="s">
        <v>56</v>
      </c>
      <c r="B167">
        <v>30</v>
      </c>
      <c r="C167" t="s">
        <v>68</v>
      </c>
      <c r="D167">
        <v>0.79049999999999998</v>
      </c>
      <c r="E167">
        <v>0.88349999999999995</v>
      </c>
      <c r="F167">
        <v>0.98580000000000001</v>
      </c>
      <c r="G167">
        <v>0.99780000000000002</v>
      </c>
      <c r="H167">
        <v>0.79290000000000005</v>
      </c>
      <c r="I167">
        <v>0.91349999999999998</v>
      </c>
      <c r="J167">
        <v>0.94910000000000005</v>
      </c>
      <c r="K167">
        <v>0.99719999999999998</v>
      </c>
      <c r="L167">
        <v>0.8105</v>
      </c>
      <c r="M167">
        <v>0.91259999999999997</v>
      </c>
      <c r="N167">
        <v>0.95379999999999998</v>
      </c>
      <c r="O167">
        <v>0.9919</v>
      </c>
      <c r="P167">
        <v>0.802480248024802</v>
      </c>
      <c r="Q167">
        <v>0.89908990899089902</v>
      </c>
      <c r="R167">
        <v>0.95249524952495201</v>
      </c>
      <c r="S167">
        <v>0.99079907990799099</v>
      </c>
      <c r="T167">
        <v>0.79797979797979801</v>
      </c>
      <c r="U167">
        <v>0.908090809080908</v>
      </c>
      <c r="V167">
        <v>0.94419441944194404</v>
      </c>
      <c r="W167">
        <v>0.98839883988398802</v>
      </c>
      <c r="X167">
        <v>0.77173465183353895</v>
      </c>
      <c r="Y167">
        <v>0.93922538112896603</v>
      </c>
      <c r="Z167">
        <v>0.95148331273176801</v>
      </c>
      <c r="AA167">
        <v>0.99495261639884602</v>
      </c>
      <c r="AB167">
        <v>0.84212336620041295</v>
      </c>
      <c r="AC167">
        <v>0.86585645494152697</v>
      </c>
      <c r="AD167">
        <v>0.983833983031415</v>
      </c>
      <c r="AE167">
        <v>0.99747764274248996</v>
      </c>
    </row>
    <row r="168" spans="1:31" x14ac:dyDescent="0.3">
      <c r="A168" t="s">
        <v>56</v>
      </c>
      <c r="B168">
        <v>50</v>
      </c>
      <c r="C168" t="s">
        <v>68</v>
      </c>
      <c r="D168">
        <v>0.82699999999999996</v>
      </c>
      <c r="E168">
        <v>0.90249999999999997</v>
      </c>
      <c r="F168">
        <v>0.9405</v>
      </c>
      <c r="G168">
        <v>0.99750000000000005</v>
      </c>
      <c r="H168">
        <v>0.81188118811881205</v>
      </c>
      <c r="I168">
        <v>0.915891589158916</v>
      </c>
      <c r="J168">
        <v>0.95309530953095301</v>
      </c>
      <c r="K168">
        <v>0.99229922992299202</v>
      </c>
      <c r="L168">
        <v>0.80759999999999998</v>
      </c>
      <c r="M168">
        <v>0.90639999999999998</v>
      </c>
      <c r="N168">
        <v>0.95669999999999999</v>
      </c>
      <c r="O168">
        <v>0.99070000000000003</v>
      </c>
      <c r="P168">
        <v>0.81299999999999994</v>
      </c>
      <c r="Q168">
        <v>0.90580000000000005</v>
      </c>
      <c r="R168">
        <v>0.95389999999999997</v>
      </c>
      <c r="S168">
        <v>0.99080000000000001</v>
      </c>
      <c r="T168">
        <v>0.80179999999999996</v>
      </c>
      <c r="U168">
        <v>0.89790000000000003</v>
      </c>
      <c r="V168">
        <v>0.94830000000000003</v>
      </c>
      <c r="W168">
        <v>0.98580000000000001</v>
      </c>
      <c r="X168">
        <v>0.77863291139240498</v>
      </c>
      <c r="Y168">
        <v>0.907645569620253</v>
      </c>
      <c r="Z168">
        <v>0.943291139240506</v>
      </c>
      <c r="AA168">
        <v>0.99291139240506299</v>
      </c>
      <c r="AB168">
        <v>0.85547079109624802</v>
      </c>
      <c r="AC168">
        <v>0.92622008569338499</v>
      </c>
      <c r="AD168">
        <v>0.95495872086947398</v>
      </c>
      <c r="AE168">
        <v>0.99707388441843403</v>
      </c>
    </row>
    <row r="169" spans="1:31" x14ac:dyDescent="0.3">
      <c r="A169" t="s">
        <v>57</v>
      </c>
      <c r="B169">
        <v>20</v>
      </c>
      <c r="C169" t="s">
        <v>68</v>
      </c>
      <c r="D169">
        <v>0.92789999999999995</v>
      </c>
      <c r="E169">
        <v>0.97960000000000003</v>
      </c>
      <c r="F169">
        <v>0.99380000000000002</v>
      </c>
      <c r="G169">
        <v>0.99970000000000003</v>
      </c>
      <c r="H169">
        <v>0.91790000000000005</v>
      </c>
      <c r="I169">
        <v>0.97299999999999998</v>
      </c>
      <c r="J169">
        <v>0.99429999999999996</v>
      </c>
      <c r="K169">
        <v>0.99939999999999996</v>
      </c>
      <c r="L169">
        <v>0.84470000000000001</v>
      </c>
      <c r="M169">
        <v>0.93300000000000005</v>
      </c>
      <c r="N169">
        <v>0.97160000000000002</v>
      </c>
      <c r="O169">
        <v>0.99670000000000003</v>
      </c>
      <c r="P169">
        <v>0.81159999999999999</v>
      </c>
      <c r="Q169">
        <v>0.90659999999999996</v>
      </c>
      <c r="R169">
        <v>0.95650000000000002</v>
      </c>
      <c r="S169">
        <v>0.99070000000000003</v>
      </c>
      <c r="T169">
        <v>0.80818081808180797</v>
      </c>
      <c r="U169">
        <v>0.90179017901790204</v>
      </c>
      <c r="V169">
        <v>0.95589558955895604</v>
      </c>
      <c r="W169">
        <v>0.99319931993199295</v>
      </c>
      <c r="X169">
        <v>0.78281139150704404</v>
      </c>
      <c r="Y169">
        <v>0.86226816661599304</v>
      </c>
      <c r="Z169">
        <v>0.91192865105908605</v>
      </c>
      <c r="AA169">
        <v>0.99655417046721395</v>
      </c>
      <c r="AB169">
        <v>0.68154226618705005</v>
      </c>
      <c r="AC169">
        <v>0.93952338129496404</v>
      </c>
      <c r="AD169">
        <v>0.98044064748201398</v>
      </c>
      <c r="AE169">
        <v>0.99640287769784197</v>
      </c>
    </row>
    <row r="170" spans="1:31" x14ac:dyDescent="0.3">
      <c r="A170" t="s">
        <v>57</v>
      </c>
      <c r="B170">
        <v>30</v>
      </c>
      <c r="C170" t="s">
        <v>68</v>
      </c>
      <c r="D170">
        <v>0.92490000000000006</v>
      </c>
      <c r="E170">
        <v>0.97889999999999999</v>
      </c>
      <c r="F170">
        <v>0.99350000000000005</v>
      </c>
      <c r="G170">
        <v>0.99980000000000002</v>
      </c>
      <c r="H170">
        <v>0.89749999999999996</v>
      </c>
      <c r="I170">
        <v>0.96640000000000004</v>
      </c>
      <c r="J170">
        <v>0.98760000000000003</v>
      </c>
      <c r="K170">
        <v>0.99950000000000006</v>
      </c>
      <c r="L170">
        <v>0.83409999999999995</v>
      </c>
      <c r="M170">
        <v>0.92010000000000003</v>
      </c>
      <c r="N170">
        <v>0.9667</v>
      </c>
      <c r="O170">
        <v>0.99399999999999999</v>
      </c>
      <c r="P170">
        <v>0.81389999999999996</v>
      </c>
      <c r="Q170">
        <v>0.91090000000000004</v>
      </c>
      <c r="R170">
        <v>0.95909999999999995</v>
      </c>
      <c r="S170">
        <v>0.99270000000000003</v>
      </c>
      <c r="T170">
        <v>0.81</v>
      </c>
      <c r="U170">
        <v>0.91120000000000001</v>
      </c>
      <c r="V170">
        <v>0.95320000000000005</v>
      </c>
      <c r="W170">
        <v>0.99039999999999995</v>
      </c>
      <c r="X170">
        <v>0.76578390897190596</v>
      </c>
      <c r="Y170">
        <v>0.91622193132615004</v>
      </c>
      <c r="Z170">
        <v>0.93938173396435398</v>
      </c>
      <c r="AA170">
        <v>0.99526734467828004</v>
      </c>
      <c r="AB170">
        <v>0.77446718269536596</v>
      </c>
      <c r="AC170">
        <v>0.82133389884423702</v>
      </c>
      <c r="AD170">
        <v>0.98261053970946899</v>
      </c>
      <c r="AE170">
        <v>0.99639486798854804</v>
      </c>
    </row>
    <row r="171" spans="1:31" x14ac:dyDescent="0.3">
      <c r="A171" t="s">
        <v>57</v>
      </c>
      <c r="B171">
        <v>50</v>
      </c>
      <c r="C171" t="s">
        <v>68</v>
      </c>
      <c r="D171">
        <v>0.91239999999999999</v>
      </c>
      <c r="E171">
        <v>0.97160000000000002</v>
      </c>
      <c r="F171">
        <v>0.99109999999999998</v>
      </c>
      <c r="G171">
        <v>0.99950000000000006</v>
      </c>
      <c r="H171">
        <v>0.87029999999999996</v>
      </c>
      <c r="I171">
        <v>0.95009999999999994</v>
      </c>
      <c r="J171">
        <v>0.98119999999999996</v>
      </c>
      <c r="K171">
        <v>0.99819999999999998</v>
      </c>
      <c r="L171">
        <v>0.82620000000000005</v>
      </c>
      <c r="M171">
        <v>0.91820000000000002</v>
      </c>
      <c r="N171">
        <v>0.96279999999999999</v>
      </c>
      <c r="O171">
        <v>0.99390000000000001</v>
      </c>
      <c r="P171">
        <v>0.81100000000000005</v>
      </c>
      <c r="Q171">
        <v>0.90859999999999996</v>
      </c>
      <c r="R171">
        <v>0.95599999999999996</v>
      </c>
      <c r="S171">
        <v>0.99099999999999999</v>
      </c>
      <c r="T171">
        <v>0.80589999999999995</v>
      </c>
      <c r="U171">
        <v>0.90459999999999996</v>
      </c>
      <c r="V171">
        <v>0.95269999999999999</v>
      </c>
      <c r="W171">
        <v>0.99099999999999999</v>
      </c>
      <c r="X171">
        <v>0.78475291281639203</v>
      </c>
      <c r="Y171">
        <v>0.91060666934511802</v>
      </c>
      <c r="Z171">
        <v>0.94395339493772601</v>
      </c>
      <c r="AA171">
        <v>0.99055845721173197</v>
      </c>
      <c r="AB171">
        <v>0.84168704156479202</v>
      </c>
      <c r="AC171">
        <v>0.90973920130399299</v>
      </c>
      <c r="AD171">
        <v>0.93846780766096205</v>
      </c>
      <c r="AE171">
        <v>0.99755501222493903</v>
      </c>
    </row>
    <row r="172" spans="1:31" x14ac:dyDescent="0.3">
      <c r="A172" t="s">
        <v>31</v>
      </c>
      <c r="B172">
        <v>20</v>
      </c>
      <c r="C172" t="s">
        <v>68</v>
      </c>
      <c r="D172">
        <v>0.69262418464626196</v>
      </c>
      <c r="E172">
        <v>0.95614651279478202</v>
      </c>
      <c r="F172">
        <v>0.98314099347716999</v>
      </c>
      <c r="G172">
        <v>0.99668840943301595</v>
      </c>
      <c r="H172">
        <v>0.79735682819383302</v>
      </c>
      <c r="I172">
        <v>0.88015618742490997</v>
      </c>
      <c r="J172">
        <v>0.93812575090108097</v>
      </c>
      <c r="K172">
        <v>0.99709651581898295</v>
      </c>
      <c r="L172">
        <v>0.80979999999999996</v>
      </c>
      <c r="M172">
        <v>0.90610000000000002</v>
      </c>
      <c r="N172">
        <v>0.95620000000000005</v>
      </c>
      <c r="O172">
        <v>0.99380000000000002</v>
      </c>
      <c r="P172">
        <v>0.81940000000000002</v>
      </c>
      <c r="Q172">
        <v>0.91569999999999996</v>
      </c>
      <c r="R172">
        <v>0.96209999999999996</v>
      </c>
      <c r="S172">
        <v>0.99270000000000003</v>
      </c>
      <c r="T172">
        <v>0.82520000000000004</v>
      </c>
      <c r="U172">
        <v>0.91610000000000003</v>
      </c>
      <c r="V172">
        <v>0.96289999999999998</v>
      </c>
      <c r="W172">
        <v>0.99309999999999998</v>
      </c>
      <c r="X172">
        <v>0.797658360852597</v>
      </c>
      <c r="Y172">
        <v>0.87741418993295295</v>
      </c>
      <c r="Z172">
        <v>0.93165215650955702</v>
      </c>
      <c r="AA172">
        <v>0.99669768838186701</v>
      </c>
      <c r="AB172">
        <v>0.69959432048681502</v>
      </c>
      <c r="AC172">
        <v>0.95811359026369203</v>
      </c>
      <c r="AD172">
        <v>0.98397565922920904</v>
      </c>
      <c r="AE172">
        <v>0.99746450304259604</v>
      </c>
    </row>
    <row r="173" spans="1:31" x14ac:dyDescent="0.3">
      <c r="A173" t="s">
        <v>31</v>
      </c>
      <c r="B173">
        <v>30</v>
      </c>
      <c r="C173" t="s">
        <v>68</v>
      </c>
      <c r="D173">
        <v>0.75570000000000004</v>
      </c>
      <c r="E173">
        <v>0.83299999999999996</v>
      </c>
      <c r="F173">
        <v>0.98299999999999998</v>
      </c>
      <c r="G173">
        <v>0.99670000000000003</v>
      </c>
      <c r="H173">
        <v>0.79101191071964805</v>
      </c>
      <c r="I173">
        <v>0.91532379141227105</v>
      </c>
      <c r="J173">
        <v>0.94575117605845305</v>
      </c>
      <c r="K173">
        <v>0.99629666700029995</v>
      </c>
      <c r="L173">
        <v>0.81340000000000001</v>
      </c>
      <c r="M173">
        <v>0.91310000000000002</v>
      </c>
      <c r="N173">
        <v>0.95389999999999997</v>
      </c>
      <c r="O173">
        <v>0.99199999999999999</v>
      </c>
      <c r="P173">
        <v>0.80740000000000001</v>
      </c>
      <c r="Q173">
        <v>0.90980000000000005</v>
      </c>
      <c r="R173">
        <v>0.95509999999999995</v>
      </c>
      <c r="S173">
        <v>0.99250000000000005</v>
      </c>
      <c r="T173">
        <v>0.81069999999999998</v>
      </c>
      <c r="U173">
        <v>0.90800000000000003</v>
      </c>
      <c r="V173">
        <v>0.95240000000000002</v>
      </c>
      <c r="W173">
        <v>0.99150000000000005</v>
      </c>
      <c r="X173">
        <v>0.78552842273819101</v>
      </c>
      <c r="Y173">
        <v>0.91463170536429095</v>
      </c>
      <c r="Z173">
        <v>0.94435548438751005</v>
      </c>
      <c r="AA173">
        <v>0.99729783827061602</v>
      </c>
      <c r="AB173">
        <v>0.75808890232839399</v>
      </c>
      <c r="AC173">
        <v>0.83277895373450295</v>
      </c>
      <c r="AD173">
        <v>0.98195746396532602</v>
      </c>
      <c r="AE173">
        <v>0.99556496320935395</v>
      </c>
    </row>
    <row r="174" spans="1:31" x14ac:dyDescent="0.3">
      <c r="A174" t="s">
        <v>31</v>
      </c>
      <c r="B174">
        <v>50</v>
      </c>
      <c r="C174" t="s">
        <v>68</v>
      </c>
      <c r="D174">
        <v>0.82210000000000005</v>
      </c>
      <c r="E174">
        <v>0.89139999999999997</v>
      </c>
      <c r="F174">
        <v>0.92820000000000003</v>
      </c>
      <c r="G174">
        <v>0.99719999999999998</v>
      </c>
      <c r="H174">
        <v>0.79481533380042002</v>
      </c>
      <c r="I174">
        <v>0.91282153938544697</v>
      </c>
      <c r="J174">
        <v>0.94975477930137098</v>
      </c>
      <c r="K174">
        <v>0.99079171254128695</v>
      </c>
      <c r="L174">
        <v>0.81230000000000002</v>
      </c>
      <c r="M174">
        <v>0.90629999999999999</v>
      </c>
      <c r="N174">
        <v>0.95730000000000004</v>
      </c>
      <c r="O174">
        <v>0.99199999999999999</v>
      </c>
      <c r="P174">
        <v>0.8085</v>
      </c>
      <c r="Q174">
        <v>0.90700000000000003</v>
      </c>
      <c r="R174">
        <v>0.95599999999999996</v>
      </c>
      <c r="S174">
        <v>0.99229999999999996</v>
      </c>
      <c r="T174">
        <v>0.80789999999999995</v>
      </c>
      <c r="U174">
        <v>0.90580000000000005</v>
      </c>
      <c r="V174">
        <v>0.95389999999999997</v>
      </c>
      <c r="W174">
        <v>0.99239999999999995</v>
      </c>
      <c r="X174">
        <v>0.79205841168233604</v>
      </c>
      <c r="Y174">
        <v>0.90788157631526301</v>
      </c>
      <c r="Z174">
        <v>0.94618923784756903</v>
      </c>
      <c r="AA174">
        <v>0.99119823964792997</v>
      </c>
      <c r="AB174">
        <v>0.82594746340485303</v>
      </c>
      <c r="AC174">
        <v>0.89552837377180705</v>
      </c>
      <c r="AD174">
        <v>0.92841387607780201</v>
      </c>
      <c r="AE174">
        <v>0.99679165831160998</v>
      </c>
    </row>
    <row r="175" spans="1:31" x14ac:dyDescent="0.3">
      <c r="A175" t="s">
        <v>56</v>
      </c>
      <c r="B175">
        <v>20</v>
      </c>
      <c r="C175" t="s">
        <v>92</v>
      </c>
      <c r="D175">
        <v>0.67572718154463396</v>
      </c>
      <c r="E175">
        <v>0.96539618856569698</v>
      </c>
      <c r="F175">
        <v>0.98595787362086296</v>
      </c>
      <c r="G175">
        <v>0.99789368104312903</v>
      </c>
      <c r="H175">
        <v>0.77956880918799099</v>
      </c>
      <c r="I175">
        <v>0.85543018335684096</v>
      </c>
      <c r="J175">
        <v>0.90439250453354803</v>
      </c>
      <c r="K175">
        <v>0.99717912552891397</v>
      </c>
      <c r="L175">
        <v>0.80508389430322502</v>
      </c>
      <c r="M175">
        <v>0.88757158645634504</v>
      </c>
      <c r="N175">
        <v>0.956796945644529</v>
      </c>
      <c r="O175">
        <v>0.99186175022606204</v>
      </c>
      <c r="P175">
        <v>0.76898417150871601</v>
      </c>
      <c r="Q175">
        <v>0.89010218393107599</v>
      </c>
      <c r="R175">
        <v>0.95361650971749101</v>
      </c>
      <c r="S175">
        <v>0.98867962332198001</v>
      </c>
      <c r="T175">
        <v>0.80236435283419205</v>
      </c>
      <c r="U175">
        <v>0.87369910073759705</v>
      </c>
      <c r="V175">
        <v>0.95756289784783299</v>
      </c>
      <c r="W175">
        <v>0.99232090532484596</v>
      </c>
      <c r="X175">
        <v>0.81636023340306096</v>
      </c>
      <c r="Y175">
        <v>0.90928107453484497</v>
      </c>
      <c r="Z175">
        <v>0.94935593966751097</v>
      </c>
      <c r="AA175">
        <v>0.99581636023340303</v>
      </c>
      <c r="AB175">
        <v>0.81271626297577804</v>
      </c>
      <c r="AC175">
        <v>0.895617070357555</v>
      </c>
      <c r="AD175">
        <v>0.97505767012687405</v>
      </c>
      <c r="AE175">
        <v>0.99625144175317204</v>
      </c>
    </row>
    <row r="176" spans="1:31" x14ac:dyDescent="0.3">
      <c r="A176" t="s">
        <v>56</v>
      </c>
      <c r="B176">
        <v>30</v>
      </c>
      <c r="C176" t="s">
        <v>92</v>
      </c>
      <c r="D176">
        <v>0.75070000000000003</v>
      </c>
      <c r="E176">
        <v>0.81299999999999994</v>
      </c>
      <c r="F176">
        <v>0.98419999999999996</v>
      </c>
      <c r="G176">
        <v>0.99690000000000001</v>
      </c>
      <c r="H176">
        <v>0.76071824876424898</v>
      </c>
      <c r="I176">
        <v>0.91546454151114698</v>
      </c>
      <c r="J176">
        <v>0.93695147785735899</v>
      </c>
      <c r="K176">
        <v>0.99596489458287096</v>
      </c>
      <c r="L176">
        <v>0.80289999999999995</v>
      </c>
      <c r="M176">
        <v>0.91010000000000002</v>
      </c>
      <c r="N176">
        <v>0.94669999999999999</v>
      </c>
      <c r="O176">
        <v>0.9899</v>
      </c>
      <c r="P176">
        <v>0.79917868589743601</v>
      </c>
      <c r="Q176">
        <v>0.89793669871794901</v>
      </c>
      <c r="R176">
        <v>0.95362580128205099</v>
      </c>
      <c r="S176">
        <v>0.98828125</v>
      </c>
      <c r="T176">
        <v>0.79653896168850702</v>
      </c>
      <c r="U176">
        <v>0.90857257177153194</v>
      </c>
      <c r="V176">
        <v>0.94228268480544197</v>
      </c>
      <c r="W176">
        <v>0.98769630889266802</v>
      </c>
      <c r="X176">
        <v>0.77410267111853104</v>
      </c>
      <c r="Y176">
        <v>0.95419449081802998</v>
      </c>
      <c r="Z176">
        <v>0.96024624373956602</v>
      </c>
      <c r="AA176">
        <v>0.99384390651085097</v>
      </c>
      <c r="AB176">
        <v>0.88489034290560997</v>
      </c>
      <c r="AC176">
        <v>0.89737065309584396</v>
      </c>
      <c r="AD176">
        <v>0.98315763964618896</v>
      </c>
      <c r="AE176">
        <v>0.99733430267781398</v>
      </c>
    </row>
    <row r="177" spans="1:31" x14ac:dyDescent="0.3">
      <c r="A177" t="s">
        <v>56</v>
      </c>
      <c r="B177">
        <v>50</v>
      </c>
      <c r="C177" t="s">
        <v>92</v>
      </c>
      <c r="D177">
        <v>0.82020000000000004</v>
      </c>
      <c r="E177">
        <v>0.88800000000000001</v>
      </c>
      <c r="F177">
        <v>0.92069999999999996</v>
      </c>
      <c r="G177">
        <v>0.99660000000000004</v>
      </c>
      <c r="H177">
        <v>0.791641490433031</v>
      </c>
      <c r="I177">
        <v>0.91208459214501503</v>
      </c>
      <c r="J177">
        <v>0.94723061430010103</v>
      </c>
      <c r="K177">
        <v>0.99154078549848901</v>
      </c>
      <c r="L177">
        <v>0.80559999999999998</v>
      </c>
      <c r="M177">
        <v>0.90259999999999996</v>
      </c>
      <c r="N177">
        <v>0.95450000000000002</v>
      </c>
      <c r="O177">
        <v>0.98899999999999999</v>
      </c>
      <c r="P177">
        <v>0.80885594069324795</v>
      </c>
      <c r="Q177">
        <v>0.89881787216990605</v>
      </c>
      <c r="R177">
        <v>0.94470046082949299</v>
      </c>
      <c r="S177">
        <v>0.99178521338409098</v>
      </c>
      <c r="T177">
        <v>0.80389999999999995</v>
      </c>
      <c r="U177">
        <v>0.89749999999999996</v>
      </c>
      <c r="V177">
        <v>0.94820000000000004</v>
      </c>
      <c r="W177">
        <v>0.98460000000000003</v>
      </c>
      <c r="X177">
        <v>0.77261663286004101</v>
      </c>
      <c r="Y177">
        <v>0.90851926977687603</v>
      </c>
      <c r="Z177">
        <v>0.94371196754563902</v>
      </c>
      <c r="AA177">
        <v>0.99492900608519297</v>
      </c>
      <c r="AB177">
        <v>0.87350555081127201</v>
      </c>
      <c r="AC177">
        <v>0.94684030742954695</v>
      </c>
      <c r="AD177">
        <v>0.97395388556789098</v>
      </c>
      <c r="AE177">
        <v>0.99722459436379196</v>
      </c>
    </row>
    <row r="178" spans="1:31" x14ac:dyDescent="0.3">
      <c r="A178" t="s">
        <v>57</v>
      </c>
      <c r="B178">
        <v>20</v>
      </c>
      <c r="C178" t="s">
        <v>92</v>
      </c>
      <c r="D178">
        <v>0.89490000000000003</v>
      </c>
      <c r="E178">
        <v>0.98570000000000002</v>
      </c>
      <c r="F178">
        <v>0.99529999999999996</v>
      </c>
      <c r="G178">
        <v>0.99950000000000006</v>
      </c>
      <c r="H178">
        <v>0.85160000000000002</v>
      </c>
      <c r="I178">
        <v>0.92889999999999995</v>
      </c>
      <c r="J178">
        <v>0.97350000000000003</v>
      </c>
      <c r="K178">
        <v>0.99909999999999999</v>
      </c>
      <c r="L178">
        <v>0.81659999999999999</v>
      </c>
      <c r="M178">
        <v>0.90590000000000004</v>
      </c>
      <c r="N178">
        <v>0.95920000000000005</v>
      </c>
      <c r="O178">
        <v>0.99409999999999998</v>
      </c>
      <c r="P178">
        <v>0.78577857785778604</v>
      </c>
      <c r="Q178">
        <v>0.89518951895189502</v>
      </c>
      <c r="R178">
        <v>0.95029502950294997</v>
      </c>
      <c r="S178">
        <v>0.98879887988798898</v>
      </c>
      <c r="T178">
        <v>0.80387239165329005</v>
      </c>
      <c r="U178">
        <v>0.88683788121990403</v>
      </c>
      <c r="V178">
        <v>0.95525682182985505</v>
      </c>
      <c r="W178">
        <v>0.993077849117175</v>
      </c>
      <c r="X178">
        <v>0.79221054865754004</v>
      </c>
      <c r="Y178">
        <v>0.87965616045845296</v>
      </c>
      <c r="Z178">
        <v>0.92231773320598498</v>
      </c>
      <c r="AA178">
        <v>0.99660405391064399</v>
      </c>
      <c r="AB178">
        <v>0.75437212360289296</v>
      </c>
      <c r="AC178">
        <v>0.91663379355687002</v>
      </c>
      <c r="AD178">
        <v>0.97698882314266899</v>
      </c>
      <c r="AE178">
        <v>0.99592373438527304</v>
      </c>
    </row>
    <row r="179" spans="1:31" x14ac:dyDescent="0.3">
      <c r="A179" t="s">
        <v>57</v>
      </c>
      <c r="B179">
        <v>30</v>
      </c>
      <c r="C179" t="s">
        <v>92</v>
      </c>
      <c r="D179">
        <v>0.85519999999999996</v>
      </c>
      <c r="E179">
        <v>0.94469999999999998</v>
      </c>
      <c r="F179">
        <v>0.99250000000000005</v>
      </c>
      <c r="G179">
        <v>0.99919999999999998</v>
      </c>
      <c r="H179">
        <v>0.82879999999999998</v>
      </c>
      <c r="I179">
        <v>0.93020000000000003</v>
      </c>
      <c r="J179">
        <v>0.96540000000000004</v>
      </c>
      <c r="K179">
        <v>0.99729999999999996</v>
      </c>
      <c r="L179">
        <v>0.8095</v>
      </c>
      <c r="M179">
        <v>0.90359999999999996</v>
      </c>
      <c r="N179">
        <v>0.95279999999999998</v>
      </c>
      <c r="O179">
        <v>0.99170000000000003</v>
      </c>
      <c r="P179">
        <v>0.8004</v>
      </c>
      <c r="Q179">
        <v>0.90359999999999996</v>
      </c>
      <c r="R179">
        <v>0.95420000000000005</v>
      </c>
      <c r="S179">
        <v>0.98960000000000004</v>
      </c>
      <c r="T179">
        <v>0.80330000000000001</v>
      </c>
      <c r="U179">
        <v>0.91100000000000003</v>
      </c>
      <c r="V179">
        <v>0.94779999999999998</v>
      </c>
      <c r="W179">
        <v>0.98760000000000003</v>
      </c>
      <c r="X179">
        <v>0.75958474663377495</v>
      </c>
      <c r="Y179">
        <v>0.93401171754548296</v>
      </c>
      <c r="Z179">
        <v>0.94511255010792505</v>
      </c>
      <c r="AA179">
        <v>0.99373008531195395</v>
      </c>
      <c r="AB179">
        <v>0.83821995596245202</v>
      </c>
      <c r="AC179">
        <v>0.86313593695677404</v>
      </c>
      <c r="AD179">
        <v>0.98145787460887701</v>
      </c>
      <c r="AE179">
        <v>0.99617568663808098</v>
      </c>
    </row>
    <row r="180" spans="1:31" x14ac:dyDescent="0.3">
      <c r="A180" t="s">
        <v>57</v>
      </c>
      <c r="B180">
        <v>50</v>
      </c>
      <c r="C180" t="s">
        <v>92</v>
      </c>
      <c r="D180">
        <v>0.84830000000000005</v>
      </c>
      <c r="E180">
        <v>0.92400000000000004</v>
      </c>
      <c r="F180">
        <v>0.96089999999999998</v>
      </c>
      <c r="G180">
        <v>0.99819999999999998</v>
      </c>
      <c r="H180">
        <v>0.82069999999999999</v>
      </c>
      <c r="I180">
        <v>0.91869999999999996</v>
      </c>
      <c r="J180">
        <v>0.95960000000000001</v>
      </c>
      <c r="K180">
        <v>0.99350000000000005</v>
      </c>
      <c r="L180">
        <v>0.80930000000000002</v>
      </c>
      <c r="M180">
        <v>0.90680000000000005</v>
      </c>
      <c r="N180">
        <v>0.95479999999999998</v>
      </c>
      <c r="O180">
        <v>0.99129999999999996</v>
      </c>
      <c r="P180">
        <v>0.80330000000000001</v>
      </c>
      <c r="Q180">
        <v>0.89949999999999997</v>
      </c>
      <c r="R180">
        <v>0.94869999999999999</v>
      </c>
      <c r="S180">
        <v>0.99050000000000005</v>
      </c>
      <c r="T180">
        <v>0.80389999999999995</v>
      </c>
      <c r="U180">
        <v>0.90049999999999997</v>
      </c>
      <c r="V180">
        <v>0.95150000000000001</v>
      </c>
      <c r="W180">
        <v>0.98809999999999998</v>
      </c>
      <c r="X180">
        <v>0.772736500203004</v>
      </c>
      <c r="Y180">
        <v>0.90905399918798202</v>
      </c>
      <c r="Z180">
        <v>0.94326025172553796</v>
      </c>
      <c r="AA180">
        <v>0.993300852618758</v>
      </c>
      <c r="AB180">
        <v>0.86860623884045796</v>
      </c>
      <c r="AC180">
        <v>0.936981409515807</v>
      </c>
      <c r="AD180">
        <v>0.96292406259846697</v>
      </c>
      <c r="AE180">
        <v>0.99747925638063195</v>
      </c>
    </row>
    <row r="181" spans="1:31" x14ac:dyDescent="0.3">
      <c r="A181" t="s">
        <v>31</v>
      </c>
      <c r="B181">
        <v>20</v>
      </c>
      <c r="C181" t="s">
        <v>92</v>
      </c>
      <c r="D181">
        <v>0.62613889451305904</v>
      </c>
      <c r="E181">
        <v>0.94219477627049997</v>
      </c>
      <c r="F181">
        <v>0.982688803401498</v>
      </c>
      <c r="G181">
        <v>0.99665924276169304</v>
      </c>
      <c r="H181">
        <v>0.77174577306987202</v>
      </c>
      <c r="I181">
        <v>0.85261764106742699</v>
      </c>
      <c r="J181">
        <v>0.90385007129761696</v>
      </c>
      <c r="K181">
        <v>0.99724994907313103</v>
      </c>
      <c r="L181">
        <v>0.79861737300871705</v>
      </c>
      <c r="M181">
        <v>0.887185652740206</v>
      </c>
      <c r="N181">
        <v>0.953912433623885</v>
      </c>
      <c r="O181">
        <v>0.992585913235147</v>
      </c>
      <c r="P181">
        <v>0.79427942794279405</v>
      </c>
      <c r="Q181">
        <v>0.902890289028903</v>
      </c>
      <c r="R181">
        <v>0.95929592959295895</v>
      </c>
      <c r="S181">
        <v>0.99109910991099104</v>
      </c>
      <c r="T181">
        <v>0.81633266533066096</v>
      </c>
      <c r="U181">
        <v>0.898697394789579</v>
      </c>
      <c r="V181">
        <v>0.96022044088176395</v>
      </c>
      <c r="W181">
        <v>0.99168336673346702</v>
      </c>
      <c r="X181">
        <v>0.785347835009235</v>
      </c>
      <c r="Y181">
        <v>0.86691976195362197</v>
      </c>
      <c r="Z181">
        <v>0.91401600656679705</v>
      </c>
      <c r="AA181">
        <v>0.99640878309049896</v>
      </c>
      <c r="AB181">
        <v>0.69170954831332199</v>
      </c>
      <c r="AC181">
        <v>0.94019439679816996</v>
      </c>
      <c r="AD181">
        <v>0.98193253287592897</v>
      </c>
      <c r="AE181">
        <v>0.99702687249857103</v>
      </c>
    </row>
    <row r="182" spans="1:31" x14ac:dyDescent="0.3">
      <c r="A182" t="s">
        <v>31</v>
      </c>
      <c r="B182">
        <v>30</v>
      </c>
      <c r="C182" t="s">
        <v>92</v>
      </c>
      <c r="D182">
        <v>0.7369</v>
      </c>
      <c r="E182">
        <v>0.77849999999999997</v>
      </c>
      <c r="F182">
        <v>0.98350000000000004</v>
      </c>
      <c r="G182">
        <v>0.997</v>
      </c>
      <c r="H182">
        <v>0.76331300813008096</v>
      </c>
      <c r="I182">
        <v>0.91839430894308904</v>
      </c>
      <c r="J182">
        <v>0.93658536585365804</v>
      </c>
      <c r="K182">
        <v>0.99502032520325201</v>
      </c>
      <c r="L182">
        <v>0.80289999999999995</v>
      </c>
      <c r="M182">
        <v>0.91249999999999998</v>
      </c>
      <c r="N182">
        <v>0.94520000000000004</v>
      </c>
      <c r="O182">
        <v>0.98929999999999996</v>
      </c>
      <c r="P182">
        <v>0.79921968787514996</v>
      </c>
      <c r="Q182">
        <v>0.90136054421768697</v>
      </c>
      <c r="R182">
        <v>0.95188075230091995</v>
      </c>
      <c r="S182">
        <v>0.98979591836734704</v>
      </c>
      <c r="T182">
        <v>0.80100000000000005</v>
      </c>
      <c r="U182">
        <v>0.90580000000000005</v>
      </c>
      <c r="V182">
        <v>0.94499999999999995</v>
      </c>
      <c r="W182">
        <v>0.9889</v>
      </c>
      <c r="X182">
        <v>0.76623376623376604</v>
      </c>
      <c r="Y182">
        <v>0.92471590909090895</v>
      </c>
      <c r="Z182">
        <v>0.94155844155844204</v>
      </c>
      <c r="AA182">
        <v>0.99563717532467499</v>
      </c>
      <c r="AB182">
        <v>0.79056461189679395</v>
      </c>
      <c r="AC182">
        <v>0.83094030011875197</v>
      </c>
      <c r="AD182">
        <v>0.98056785058836204</v>
      </c>
      <c r="AE182">
        <v>0.99492604987584998</v>
      </c>
    </row>
    <row r="183" spans="1:31" x14ac:dyDescent="0.3">
      <c r="A183" t="s">
        <v>31</v>
      </c>
      <c r="B183">
        <v>50</v>
      </c>
      <c r="C183" t="s">
        <v>92</v>
      </c>
      <c r="D183">
        <v>0.81978197819781995</v>
      </c>
      <c r="E183">
        <v>0.88638863886388597</v>
      </c>
      <c r="F183">
        <v>0.91889188918891895</v>
      </c>
      <c r="G183">
        <v>0.99729972997299698</v>
      </c>
      <c r="H183">
        <v>0.77543575192541503</v>
      </c>
      <c r="I183">
        <v>0.90930279691933502</v>
      </c>
      <c r="J183">
        <v>0.94477097689501399</v>
      </c>
      <c r="K183">
        <v>0.99057559789217697</v>
      </c>
      <c r="L183">
        <v>0.80869999999999997</v>
      </c>
      <c r="M183">
        <v>0.9032</v>
      </c>
      <c r="N183">
        <v>0.95420000000000005</v>
      </c>
      <c r="O183">
        <v>0.99029999999999996</v>
      </c>
      <c r="P183">
        <v>0.80068006800680103</v>
      </c>
      <c r="Q183">
        <v>0.89678967896789696</v>
      </c>
      <c r="R183">
        <v>0.94979497949795</v>
      </c>
      <c r="S183">
        <v>0.99229922992299202</v>
      </c>
      <c r="T183">
        <v>0.80630000000000002</v>
      </c>
      <c r="U183">
        <v>0.9012</v>
      </c>
      <c r="V183">
        <v>0.95040000000000002</v>
      </c>
      <c r="W183">
        <v>0.98980000000000001</v>
      </c>
      <c r="X183">
        <v>0.77608322391677598</v>
      </c>
      <c r="Y183">
        <v>0.90617109382890604</v>
      </c>
      <c r="Z183">
        <v>0.94131905868094101</v>
      </c>
      <c r="AA183">
        <v>0.99272800727199295</v>
      </c>
      <c r="AB183">
        <v>0.84724084579680203</v>
      </c>
      <c r="AC183">
        <v>0.91717380092831402</v>
      </c>
      <c r="AD183">
        <v>0.94657039711191304</v>
      </c>
      <c r="AE183">
        <v>0.99700876740587896</v>
      </c>
    </row>
  </sheetData>
  <conditionalFormatting sqref="D4:D183">
    <cfRule type="colorScale" priority="28">
      <colorScale>
        <cfvo type="min"/>
        <cfvo type="num" val="0.8"/>
        <cfvo type="max"/>
        <color theme="7" tint="0.59999389629810485"/>
        <color rgb="FF92D050"/>
        <color rgb="FFFF0000"/>
      </colorScale>
    </cfRule>
  </conditionalFormatting>
  <conditionalFormatting sqref="E4:E183">
    <cfRule type="colorScale" priority="27">
      <colorScale>
        <cfvo type="min"/>
        <cfvo type="num" val="0.9"/>
        <cfvo type="max"/>
        <color theme="7" tint="0.59999389629810485"/>
        <color rgb="FF92D050"/>
        <color rgb="FFFF0000"/>
      </colorScale>
    </cfRule>
  </conditionalFormatting>
  <conditionalFormatting sqref="F4:F183">
    <cfRule type="colorScale" priority="26">
      <colorScale>
        <cfvo type="min"/>
        <cfvo type="num" val="0.95"/>
        <cfvo type="max"/>
        <color theme="7" tint="0.59999389629810485"/>
        <color rgb="FF92D050"/>
        <color rgb="FFFF0000"/>
      </colorScale>
    </cfRule>
  </conditionalFormatting>
  <conditionalFormatting sqref="G4:G183">
    <cfRule type="colorScale" priority="25">
      <colorScale>
        <cfvo type="min"/>
        <cfvo type="num" val="0.99"/>
        <cfvo type="max"/>
        <color theme="7" tint="0.59999389629810485"/>
        <color rgb="FF92D050"/>
        <color rgb="FFFF0000"/>
      </colorScale>
    </cfRule>
  </conditionalFormatting>
  <conditionalFormatting sqref="H4:H183">
    <cfRule type="colorScale" priority="24">
      <colorScale>
        <cfvo type="min"/>
        <cfvo type="num" val="0.8"/>
        <cfvo type="max"/>
        <color theme="7" tint="0.59999389629810485"/>
        <color rgb="FF92D050"/>
        <color rgb="FFFF0000"/>
      </colorScale>
    </cfRule>
  </conditionalFormatting>
  <conditionalFormatting sqref="I4:I183">
    <cfRule type="colorScale" priority="23">
      <colorScale>
        <cfvo type="min"/>
        <cfvo type="num" val="0.9"/>
        <cfvo type="max"/>
        <color theme="7" tint="0.59999389629810485"/>
        <color rgb="FF92D050"/>
        <color rgb="FFFF0000"/>
      </colorScale>
    </cfRule>
  </conditionalFormatting>
  <conditionalFormatting sqref="J4:J183">
    <cfRule type="colorScale" priority="22">
      <colorScale>
        <cfvo type="min"/>
        <cfvo type="num" val="0.95"/>
        <cfvo type="max"/>
        <color theme="7" tint="0.59999389629810485"/>
        <color rgb="FF92D050"/>
        <color rgb="FFFF0000"/>
      </colorScale>
    </cfRule>
  </conditionalFormatting>
  <conditionalFormatting sqref="K4:K183">
    <cfRule type="colorScale" priority="21">
      <colorScale>
        <cfvo type="min"/>
        <cfvo type="num" val="0.99"/>
        <cfvo type="max"/>
        <color theme="7" tint="0.59999389629810485"/>
        <color rgb="FF92D050"/>
        <color rgb="FFFF0000"/>
      </colorScale>
    </cfRule>
  </conditionalFormatting>
  <conditionalFormatting sqref="L4:L183">
    <cfRule type="colorScale" priority="20">
      <colorScale>
        <cfvo type="min"/>
        <cfvo type="num" val="0.8"/>
        <cfvo type="max"/>
        <color theme="7" tint="0.59999389629810485"/>
        <color rgb="FF92D050"/>
        <color rgb="FFFF0000"/>
      </colorScale>
    </cfRule>
  </conditionalFormatting>
  <conditionalFormatting sqref="M4:M183">
    <cfRule type="colorScale" priority="19">
      <colorScale>
        <cfvo type="min"/>
        <cfvo type="num" val="0.9"/>
        <cfvo type="max"/>
        <color theme="7" tint="0.59999389629810485"/>
        <color rgb="FF92D050"/>
        <color rgb="FFFF0000"/>
      </colorScale>
    </cfRule>
  </conditionalFormatting>
  <conditionalFormatting sqref="N4:N183">
    <cfRule type="colorScale" priority="18">
      <colorScale>
        <cfvo type="min"/>
        <cfvo type="num" val="0.95"/>
        <cfvo type="max"/>
        <color theme="7" tint="0.59999389629810485"/>
        <color rgb="FF92D050"/>
        <color rgb="FFFF0000"/>
      </colorScale>
    </cfRule>
  </conditionalFormatting>
  <conditionalFormatting sqref="O4:O183">
    <cfRule type="colorScale" priority="17">
      <colorScale>
        <cfvo type="min"/>
        <cfvo type="num" val="0.99"/>
        <cfvo type="max"/>
        <color theme="7" tint="0.59999389629810485"/>
        <color rgb="FF92D050"/>
        <color rgb="FFFF0000"/>
      </colorScale>
    </cfRule>
  </conditionalFormatting>
  <conditionalFormatting sqref="P4:P183">
    <cfRule type="colorScale" priority="16">
      <colorScale>
        <cfvo type="min"/>
        <cfvo type="num" val="0.8"/>
        <cfvo type="max"/>
        <color theme="7" tint="0.59999389629810485"/>
        <color rgb="FF92D050"/>
        <color rgb="FFFF0000"/>
      </colorScale>
    </cfRule>
  </conditionalFormatting>
  <conditionalFormatting sqref="Q4:Q183">
    <cfRule type="colorScale" priority="15">
      <colorScale>
        <cfvo type="min"/>
        <cfvo type="num" val="0.9"/>
        <cfvo type="max"/>
        <color theme="7" tint="0.59999389629810485"/>
        <color rgb="FF92D050"/>
        <color rgb="FFFF0000"/>
      </colorScale>
    </cfRule>
  </conditionalFormatting>
  <conditionalFormatting sqref="R4:R183">
    <cfRule type="colorScale" priority="14">
      <colorScale>
        <cfvo type="min"/>
        <cfvo type="num" val="0.95"/>
        <cfvo type="max"/>
        <color theme="7" tint="0.59999389629810485"/>
        <color rgb="FF92D050"/>
        <color rgb="FFFF0000"/>
      </colorScale>
    </cfRule>
  </conditionalFormatting>
  <conditionalFormatting sqref="S4:S183">
    <cfRule type="colorScale" priority="13">
      <colorScale>
        <cfvo type="min"/>
        <cfvo type="num" val="0.99"/>
        <cfvo type="max"/>
        <color theme="7" tint="0.59999389629810485"/>
        <color rgb="FF92D050"/>
        <color rgb="FFFF0000"/>
      </colorScale>
    </cfRule>
  </conditionalFormatting>
  <conditionalFormatting sqref="T4:T183">
    <cfRule type="colorScale" priority="12">
      <colorScale>
        <cfvo type="min"/>
        <cfvo type="num" val="0.8"/>
        <cfvo type="max"/>
        <color theme="7" tint="0.59999389629810485"/>
        <color rgb="FF92D050"/>
        <color rgb="FFFF0000"/>
      </colorScale>
    </cfRule>
  </conditionalFormatting>
  <conditionalFormatting sqref="U4:U183">
    <cfRule type="colorScale" priority="11">
      <colorScale>
        <cfvo type="min"/>
        <cfvo type="num" val="0.9"/>
        <cfvo type="max"/>
        <color theme="7" tint="0.59999389629810485"/>
        <color rgb="FF92D050"/>
        <color rgb="FFFF0000"/>
      </colorScale>
    </cfRule>
  </conditionalFormatting>
  <conditionalFormatting sqref="V4:V183">
    <cfRule type="colorScale" priority="10">
      <colorScale>
        <cfvo type="min"/>
        <cfvo type="num" val="0.95"/>
        <cfvo type="max"/>
        <color theme="7" tint="0.59999389629810485"/>
        <color rgb="FF92D050"/>
        <color rgb="FFFF0000"/>
      </colorScale>
    </cfRule>
  </conditionalFormatting>
  <conditionalFormatting sqref="W4:W183">
    <cfRule type="colorScale" priority="9">
      <colorScale>
        <cfvo type="min"/>
        <cfvo type="num" val="0.99"/>
        <cfvo type="max"/>
        <color theme="7" tint="0.59999389629810485"/>
        <color rgb="FF92D050"/>
        <color rgb="FFFF0000"/>
      </colorScale>
    </cfRule>
  </conditionalFormatting>
  <conditionalFormatting sqref="X4:X183">
    <cfRule type="colorScale" priority="8">
      <colorScale>
        <cfvo type="min"/>
        <cfvo type="num" val="0.8"/>
        <cfvo type="max"/>
        <color theme="7" tint="0.59999389629810485"/>
        <color rgb="FF92D050"/>
        <color rgb="FFFF0000"/>
      </colorScale>
    </cfRule>
  </conditionalFormatting>
  <conditionalFormatting sqref="Y4:Y183">
    <cfRule type="colorScale" priority="7">
      <colorScale>
        <cfvo type="min"/>
        <cfvo type="num" val="0.9"/>
        <cfvo type="max"/>
        <color theme="7" tint="0.59999389629810485"/>
        <color rgb="FF92D050"/>
        <color rgb="FFFF0000"/>
      </colorScale>
    </cfRule>
  </conditionalFormatting>
  <conditionalFormatting sqref="Z4:Z183">
    <cfRule type="colorScale" priority="6">
      <colorScale>
        <cfvo type="min"/>
        <cfvo type="num" val="0.95"/>
        <cfvo type="max"/>
        <color theme="7" tint="0.59999389629810485"/>
        <color rgb="FF92D050"/>
        <color rgb="FFFF0000"/>
      </colorScale>
    </cfRule>
  </conditionalFormatting>
  <conditionalFormatting sqref="AA4:AA183">
    <cfRule type="colorScale" priority="5">
      <colorScale>
        <cfvo type="min"/>
        <cfvo type="num" val="0.99"/>
        <cfvo type="max"/>
        <color theme="7" tint="0.59999389629810485"/>
        <color rgb="FF92D050"/>
        <color rgb="FFFF0000"/>
      </colorScale>
    </cfRule>
  </conditionalFormatting>
  <conditionalFormatting sqref="AB4:AB183">
    <cfRule type="colorScale" priority="4">
      <colorScale>
        <cfvo type="min"/>
        <cfvo type="num" val="0.8"/>
        <cfvo type="max"/>
        <color theme="7" tint="0.59999389629810485"/>
        <color rgb="FF92D050"/>
        <color rgb="FFFF0000"/>
      </colorScale>
    </cfRule>
  </conditionalFormatting>
  <conditionalFormatting sqref="AC4:AC183">
    <cfRule type="colorScale" priority="3">
      <colorScale>
        <cfvo type="min"/>
        <cfvo type="num" val="0.9"/>
        <cfvo type="max"/>
        <color theme="7" tint="0.59999389629810485"/>
        <color rgb="FF92D050"/>
        <color rgb="FFFF0000"/>
      </colorScale>
    </cfRule>
  </conditionalFormatting>
  <conditionalFormatting sqref="AD4:AD183">
    <cfRule type="colorScale" priority="2">
      <colorScale>
        <cfvo type="min"/>
        <cfvo type="num" val="0.95"/>
        <cfvo type="max"/>
        <color theme="7" tint="0.59999389629810485"/>
        <color rgb="FF92D050"/>
        <color rgb="FFFF0000"/>
      </colorScale>
    </cfRule>
  </conditionalFormatting>
  <conditionalFormatting sqref="AE4:AE183">
    <cfRule type="colorScale" priority="1">
      <colorScale>
        <cfvo type="min"/>
        <cfvo type="num" val="0.99"/>
        <cfvo type="max"/>
        <color theme="7" tint="0.59999389629810485"/>
        <color rgb="FF92D050"/>
        <color rgb="FFFF0000"/>
      </colorScale>
    </cfRule>
  </conditionalFormatting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558D-7475-414C-86C9-342A938442F6}">
  <sheetPr filterMode="1"/>
  <dimension ref="A1:H183"/>
  <sheetViews>
    <sheetView topLeftCell="A15" workbookViewId="0">
      <selection activeCell="D76" sqref="D76"/>
    </sheetView>
  </sheetViews>
  <sheetFormatPr defaultRowHeight="14.4" x14ac:dyDescent="0.3"/>
  <cols>
    <col min="4" max="4" width="20" bestFit="1" customWidth="1"/>
  </cols>
  <sheetData>
    <row r="1" spans="1:8" x14ac:dyDescent="0.3">
      <c r="D1" t="s">
        <v>60</v>
      </c>
      <c r="E1" t="str">
        <f>LEFT(E3,FIND("_",E3)-1)</f>
        <v>0.5</v>
      </c>
      <c r="F1" t="str">
        <f t="shared" ref="F1:H1" si="0">LEFT(F3,FIND("_",F3)-1)</f>
        <v>0.5</v>
      </c>
      <c r="G1" t="str">
        <f t="shared" si="0"/>
        <v>0.5</v>
      </c>
      <c r="H1" t="str">
        <f t="shared" si="0"/>
        <v>0.5</v>
      </c>
    </row>
    <row r="2" spans="1:8" x14ac:dyDescent="0.3">
      <c r="D2" t="s">
        <v>61</v>
      </c>
      <c r="E2" t="str">
        <f>RIGHT(E3,LEN(E3)-FIND("_",E3))</f>
        <v>0.8</v>
      </c>
      <c r="F2" t="str">
        <f t="shared" ref="F2:H2" si="1">RIGHT(F3,LEN(F3)-FIND("_",F3))</f>
        <v>0.9</v>
      </c>
      <c r="G2" t="str">
        <f t="shared" si="1"/>
        <v>0.95</v>
      </c>
      <c r="H2" t="str">
        <f t="shared" si="1"/>
        <v>0.99</v>
      </c>
    </row>
    <row r="3" spans="1:8" ht="15" thickBot="1" x14ac:dyDescent="0.35">
      <c r="A3" t="s">
        <v>93</v>
      </c>
      <c r="B3" t="s">
        <v>0</v>
      </c>
      <c r="C3" t="s">
        <v>1</v>
      </c>
      <c r="D3" t="s">
        <v>2</v>
      </c>
      <c r="E3" t="s">
        <v>15</v>
      </c>
      <c r="F3" t="s">
        <v>16</v>
      </c>
      <c r="G3" t="s">
        <v>17</v>
      </c>
      <c r="H3" t="s">
        <v>18</v>
      </c>
    </row>
    <row r="4" spans="1:8" ht="15" thickTop="1" x14ac:dyDescent="0.3">
      <c r="A4" t="s">
        <v>94</v>
      </c>
      <c r="B4" s="1" t="s">
        <v>56</v>
      </c>
      <c r="C4" s="1">
        <v>20</v>
      </c>
      <c r="D4" s="10" t="s">
        <v>34</v>
      </c>
      <c r="E4">
        <v>0.80569999999999997</v>
      </c>
      <c r="F4">
        <v>0.90129999999999999</v>
      </c>
      <c r="G4">
        <v>0.9476</v>
      </c>
      <c r="H4">
        <v>0.98960000000000004</v>
      </c>
    </row>
    <row r="5" spans="1:8" x14ac:dyDescent="0.3">
      <c r="A5" t="s">
        <v>94</v>
      </c>
      <c r="B5" t="s">
        <v>56</v>
      </c>
      <c r="C5">
        <v>50</v>
      </c>
      <c r="D5" s="11" t="s">
        <v>34</v>
      </c>
      <c r="E5">
        <v>0.79810000000000003</v>
      </c>
      <c r="F5">
        <v>0.90169999999999995</v>
      </c>
      <c r="G5">
        <v>0.95389999999999997</v>
      </c>
      <c r="H5">
        <v>0.99080000000000001</v>
      </c>
    </row>
    <row r="6" spans="1:8" ht="15" thickBot="1" x14ac:dyDescent="0.35">
      <c r="A6" t="s">
        <v>94</v>
      </c>
      <c r="B6" t="s">
        <v>56</v>
      </c>
      <c r="C6">
        <v>100</v>
      </c>
      <c r="D6" s="11" t="s">
        <v>34</v>
      </c>
      <c r="E6">
        <v>0.80389999999999995</v>
      </c>
      <c r="F6">
        <v>0.90159999999999996</v>
      </c>
      <c r="G6">
        <v>0.95020000000000004</v>
      </c>
      <c r="H6">
        <v>0.99</v>
      </c>
    </row>
    <row r="7" spans="1:8" ht="15" hidden="1" thickBot="1" x14ac:dyDescent="0.35">
      <c r="A7" t="s">
        <v>94</v>
      </c>
      <c r="B7" t="s">
        <v>57</v>
      </c>
      <c r="C7">
        <v>20</v>
      </c>
      <c r="D7" s="11" t="s">
        <v>34</v>
      </c>
      <c r="E7">
        <v>0.80910000000000004</v>
      </c>
      <c r="F7">
        <v>0.90569999999999995</v>
      </c>
      <c r="G7">
        <v>0.95220000000000005</v>
      </c>
      <c r="H7">
        <v>0.99109999999999998</v>
      </c>
    </row>
    <row r="8" spans="1:8" ht="15" hidden="1" thickBot="1" x14ac:dyDescent="0.35">
      <c r="A8" t="s">
        <v>94</v>
      </c>
      <c r="B8" t="s">
        <v>57</v>
      </c>
      <c r="C8">
        <v>50</v>
      </c>
      <c r="D8" s="11" t="s">
        <v>34</v>
      </c>
      <c r="E8">
        <v>0.80159999999999998</v>
      </c>
      <c r="F8">
        <v>0.90739999999999998</v>
      </c>
      <c r="G8">
        <v>0.95630000000000004</v>
      </c>
      <c r="H8">
        <v>0.99070000000000003</v>
      </c>
    </row>
    <row r="9" spans="1:8" ht="15" hidden="1" thickBot="1" x14ac:dyDescent="0.35">
      <c r="A9" t="s">
        <v>94</v>
      </c>
      <c r="B9" t="s">
        <v>57</v>
      </c>
      <c r="C9">
        <v>100</v>
      </c>
      <c r="D9" s="11" t="s">
        <v>34</v>
      </c>
      <c r="E9">
        <v>0.79710000000000003</v>
      </c>
      <c r="F9">
        <v>0.90139999999999998</v>
      </c>
      <c r="G9">
        <v>0.94989999999999997</v>
      </c>
      <c r="H9">
        <v>0.98970000000000002</v>
      </c>
    </row>
    <row r="10" spans="1:8" ht="15" hidden="1" thickBot="1" x14ac:dyDescent="0.35">
      <c r="A10" t="s">
        <v>94</v>
      </c>
      <c r="B10" t="s">
        <v>31</v>
      </c>
      <c r="C10">
        <v>20</v>
      </c>
      <c r="D10" s="11" t="s">
        <v>34</v>
      </c>
      <c r="E10">
        <v>0.80520000000000003</v>
      </c>
      <c r="F10">
        <v>0.9032</v>
      </c>
      <c r="G10">
        <v>0.95350000000000001</v>
      </c>
      <c r="H10">
        <v>0.99129999999999996</v>
      </c>
    </row>
    <row r="11" spans="1:8" ht="15" hidden="1" thickBot="1" x14ac:dyDescent="0.35">
      <c r="A11" t="s">
        <v>94</v>
      </c>
      <c r="B11" t="s">
        <v>31</v>
      </c>
      <c r="C11">
        <v>50</v>
      </c>
      <c r="D11" s="11" t="s">
        <v>34</v>
      </c>
      <c r="E11">
        <v>0.8044</v>
      </c>
      <c r="F11">
        <v>0.90229999999999999</v>
      </c>
      <c r="G11">
        <v>0.95230000000000004</v>
      </c>
      <c r="H11">
        <v>0.99009999999999998</v>
      </c>
    </row>
    <row r="12" spans="1:8" ht="15" hidden="1" thickBot="1" x14ac:dyDescent="0.35">
      <c r="A12" t="s">
        <v>94</v>
      </c>
      <c r="B12" t="s">
        <v>31</v>
      </c>
      <c r="C12">
        <v>100</v>
      </c>
      <c r="D12" s="11" t="s">
        <v>34</v>
      </c>
      <c r="E12">
        <v>0.80049999999999999</v>
      </c>
      <c r="F12">
        <v>0.9012</v>
      </c>
      <c r="G12">
        <v>0.95379999999999998</v>
      </c>
      <c r="H12">
        <v>0.98919999999999997</v>
      </c>
    </row>
    <row r="13" spans="1:8" ht="15" thickTop="1" x14ac:dyDescent="0.3">
      <c r="A13" t="s">
        <v>94</v>
      </c>
      <c r="B13" s="1" t="s">
        <v>56</v>
      </c>
      <c r="C13" s="1">
        <v>20</v>
      </c>
      <c r="D13" s="10" t="s">
        <v>33</v>
      </c>
      <c r="E13">
        <v>0.88449999999999995</v>
      </c>
      <c r="F13">
        <v>0.88449999999999995</v>
      </c>
      <c r="G13">
        <v>0.95430000000000004</v>
      </c>
      <c r="H13">
        <v>0.99660000000000004</v>
      </c>
    </row>
    <row r="14" spans="1:8" x14ac:dyDescent="0.3">
      <c r="A14" t="s">
        <v>94</v>
      </c>
      <c r="B14" t="s">
        <v>56</v>
      </c>
      <c r="C14">
        <v>50</v>
      </c>
      <c r="D14" s="11" t="s">
        <v>33</v>
      </c>
      <c r="E14">
        <v>0.79579999999999995</v>
      </c>
      <c r="F14">
        <v>0.93479999999999996</v>
      </c>
      <c r="G14">
        <v>0.97</v>
      </c>
      <c r="H14">
        <v>0.9929</v>
      </c>
    </row>
    <row r="15" spans="1:8" ht="15" thickBot="1" x14ac:dyDescent="0.35">
      <c r="A15" t="s">
        <v>94</v>
      </c>
      <c r="B15" t="s">
        <v>56</v>
      </c>
      <c r="C15">
        <v>100</v>
      </c>
      <c r="D15" s="11" t="s">
        <v>33</v>
      </c>
      <c r="E15">
        <v>0.80900000000000005</v>
      </c>
      <c r="F15">
        <v>0.91100000000000003</v>
      </c>
      <c r="G15">
        <v>0.96409999999999996</v>
      </c>
      <c r="H15">
        <v>0.99319999999999997</v>
      </c>
    </row>
    <row r="16" spans="1:8" ht="15" hidden="1" thickBot="1" x14ac:dyDescent="0.35">
      <c r="A16" t="s">
        <v>94</v>
      </c>
      <c r="B16" t="s">
        <v>57</v>
      </c>
      <c r="C16">
        <v>20</v>
      </c>
      <c r="D16" s="11" t="s">
        <v>33</v>
      </c>
      <c r="E16">
        <v>0.88590000000000002</v>
      </c>
      <c r="F16">
        <v>0.88590000000000002</v>
      </c>
      <c r="G16">
        <v>0.95789999999999997</v>
      </c>
      <c r="H16">
        <v>0.99719999999999998</v>
      </c>
    </row>
    <row r="17" spans="1:8" ht="15" hidden="1" thickBot="1" x14ac:dyDescent="0.35">
      <c r="A17" t="s">
        <v>94</v>
      </c>
      <c r="B17" t="s">
        <v>57</v>
      </c>
      <c r="C17">
        <v>50</v>
      </c>
      <c r="D17" s="11" t="s">
        <v>33</v>
      </c>
      <c r="E17">
        <v>0.80059999999999998</v>
      </c>
      <c r="F17">
        <v>0.94010000000000005</v>
      </c>
      <c r="G17">
        <v>0.97150000000000003</v>
      </c>
      <c r="H17">
        <v>0.99339999999999995</v>
      </c>
    </row>
    <row r="18" spans="1:8" ht="15" hidden="1" thickBot="1" x14ac:dyDescent="0.35">
      <c r="A18" t="s">
        <v>94</v>
      </c>
      <c r="B18" t="s">
        <v>57</v>
      </c>
      <c r="C18">
        <v>100</v>
      </c>
      <c r="D18" s="11" t="s">
        <v>33</v>
      </c>
      <c r="E18">
        <v>0.8034</v>
      </c>
      <c r="F18">
        <v>0.91180000000000005</v>
      </c>
      <c r="G18">
        <v>0.96440000000000003</v>
      </c>
      <c r="H18">
        <v>0.99250000000000005</v>
      </c>
    </row>
    <row r="19" spans="1:8" ht="15" hidden="1" thickBot="1" x14ac:dyDescent="0.35">
      <c r="A19" t="s">
        <v>94</v>
      </c>
      <c r="B19" t="s">
        <v>31</v>
      </c>
      <c r="C19">
        <v>20</v>
      </c>
      <c r="D19" s="11" t="s">
        <v>33</v>
      </c>
      <c r="E19">
        <v>0.88500000000000001</v>
      </c>
      <c r="F19">
        <v>0.88500000000000001</v>
      </c>
      <c r="G19">
        <v>0.95789999999999997</v>
      </c>
      <c r="H19">
        <v>0.99760000000000004</v>
      </c>
    </row>
    <row r="20" spans="1:8" ht="15" hidden="1" thickBot="1" x14ac:dyDescent="0.35">
      <c r="A20" t="s">
        <v>94</v>
      </c>
      <c r="B20" t="s">
        <v>31</v>
      </c>
      <c r="C20">
        <v>50</v>
      </c>
      <c r="D20" s="11" t="s">
        <v>33</v>
      </c>
      <c r="E20">
        <v>0.80230000000000001</v>
      </c>
      <c r="F20">
        <v>0.93489999999999995</v>
      </c>
      <c r="G20">
        <v>0.96609999999999996</v>
      </c>
      <c r="H20">
        <v>0.99350000000000005</v>
      </c>
    </row>
    <row r="21" spans="1:8" ht="15" hidden="1" thickBot="1" x14ac:dyDescent="0.35">
      <c r="A21" t="s">
        <v>94</v>
      </c>
      <c r="B21" t="s">
        <v>31</v>
      </c>
      <c r="C21">
        <v>100</v>
      </c>
      <c r="D21" s="11" t="s">
        <v>33</v>
      </c>
      <c r="E21">
        <v>0.80679999999999996</v>
      </c>
      <c r="F21">
        <v>0.91190000000000004</v>
      </c>
      <c r="G21">
        <v>0.96660000000000001</v>
      </c>
      <c r="H21">
        <v>0.99239999999999995</v>
      </c>
    </row>
    <row r="22" spans="1:8" ht="15" thickTop="1" x14ac:dyDescent="0.3">
      <c r="A22" t="s">
        <v>94</v>
      </c>
      <c r="B22" s="1" t="s">
        <v>56</v>
      </c>
      <c r="C22" s="1">
        <v>20</v>
      </c>
      <c r="D22" s="10" t="s">
        <v>83</v>
      </c>
      <c r="E22">
        <v>0.79039999999999999</v>
      </c>
      <c r="F22">
        <v>0.89349999999999996</v>
      </c>
      <c r="G22">
        <v>0.94610000000000005</v>
      </c>
      <c r="H22">
        <v>0.98839999999999995</v>
      </c>
    </row>
    <row r="23" spans="1:8" x14ac:dyDescent="0.3">
      <c r="A23" t="s">
        <v>94</v>
      </c>
      <c r="B23" t="s">
        <v>56</v>
      </c>
      <c r="C23">
        <v>50</v>
      </c>
      <c r="D23" s="11" t="s">
        <v>83</v>
      </c>
      <c r="E23">
        <v>0.79900000000000004</v>
      </c>
      <c r="F23">
        <v>0.90059999999999996</v>
      </c>
      <c r="G23">
        <v>0.95099999999999996</v>
      </c>
      <c r="H23">
        <v>0.98980000000000001</v>
      </c>
    </row>
    <row r="24" spans="1:8" ht="15" thickBot="1" x14ac:dyDescent="0.35">
      <c r="A24" t="s">
        <v>94</v>
      </c>
      <c r="B24" t="s">
        <v>56</v>
      </c>
      <c r="C24">
        <v>100</v>
      </c>
      <c r="D24" s="11" t="s">
        <v>83</v>
      </c>
      <c r="E24">
        <v>0.80349999999999999</v>
      </c>
      <c r="F24">
        <v>0.9002</v>
      </c>
      <c r="G24">
        <v>0.94930000000000003</v>
      </c>
      <c r="H24">
        <v>0.98929999999999996</v>
      </c>
    </row>
    <row r="25" spans="1:8" ht="15" hidden="1" thickBot="1" x14ac:dyDescent="0.35">
      <c r="A25" t="s">
        <v>94</v>
      </c>
      <c r="B25" t="s">
        <v>57</v>
      </c>
      <c r="C25">
        <v>20</v>
      </c>
      <c r="D25" s="11" t="s">
        <v>83</v>
      </c>
      <c r="E25">
        <v>0.79559999999999997</v>
      </c>
      <c r="F25">
        <v>0.89680000000000004</v>
      </c>
      <c r="G25">
        <v>0.9496</v>
      </c>
      <c r="H25">
        <v>0.98909999999999998</v>
      </c>
    </row>
    <row r="26" spans="1:8" ht="15" hidden="1" thickBot="1" x14ac:dyDescent="0.35">
      <c r="A26" t="s">
        <v>94</v>
      </c>
      <c r="B26" t="s">
        <v>57</v>
      </c>
      <c r="C26">
        <v>50</v>
      </c>
      <c r="D26" s="11" t="s">
        <v>83</v>
      </c>
      <c r="E26">
        <v>0.7984</v>
      </c>
      <c r="F26">
        <v>0.9032</v>
      </c>
      <c r="G26">
        <v>0.9526</v>
      </c>
      <c r="H26">
        <v>0.99029999999999996</v>
      </c>
    </row>
    <row r="27" spans="1:8" ht="15" hidden="1" thickBot="1" x14ac:dyDescent="0.35">
      <c r="A27" t="s">
        <v>94</v>
      </c>
      <c r="B27" t="s">
        <v>57</v>
      </c>
      <c r="C27">
        <v>100</v>
      </c>
      <c r="D27" s="11" t="s">
        <v>83</v>
      </c>
      <c r="E27">
        <v>0.79920000000000002</v>
      </c>
      <c r="F27">
        <v>0.89710000000000001</v>
      </c>
      <c r="G27">
        <v>0.94830000000000003</v>
      </c>
      <c r="H27">
        <v>0.9889</v>
      </c>
    </row>
    <row r="28" spans="1:8" ht="15" hidden="1" thickBot="1" x14ac:dyDescent="0.35">
      <c r="A28" t="s">
        <v>94</v>
      </c>
      <c r="B28" t="s">
        <v>31</v>
      </c>
      <c r="C28">
        <v>20</v>
      </c>
      <c r="D28" s="11" t="s">
        <v>83</v>
      </c>
      <c r="E28">
        <v>0.79969999999999997</v>
      </c>
      <c r="F28">
        <v>0.90010000000000001</v>
      </c>
      <c r="G28">
        <v>0.95099999999999996</v>
      </c>
      <c r="H28">
        <v>0.98880000000000001</v>
      </c>
    </row>
    <row r="29" spans="1:8" ht="15" hidden="1" thickBot="1" x14ac:dyDescent="0.35">
      <c r="A29" t="s">
        <v>94</v>
      </c>
      <c r="B29" t="s">
        <v>31</v>
      </c>
      <c r="C29">
        <v>50</v>
      </c>
      <c r="D29" s="11" t="s">
        <v>83</v>
      </c>
      <c r="E29">
        <v>0.80359999999999998</v>
      </c>
      <c r="F29">
        <v>0.90100000000000002</v>
      </c>
      <c r="G29">
        <v>0.9486</v>
      </c>
      <c r="H29">
        <v>0.98950000000000005</v>
      </c>
    </row>
    <row r="30" spans="1:8" ht="15" hidden="1" thickBot="1" x14ac:dyDescent="0.35">
      <c r="A30" t="s">
        <v>94</v>
      </c>
      <c r="B30" t="s">
        <v>31</v>
      </c>
      <c r="C30">
        <v>100</v>
      </c>
      <c r="D30" s="11" t="s">
        <v>83</v>
      </c>
      <c r="E30">
        <v>0.79920000000000002</v>
      </c>
      <c r="F30">
        <v>0.90039999999999998</v>
      </c>
      <c r="G30">
        <v>0.95130000000000003</v>
      </c>
      <c r="H30">
        <v>0.99</v>
      </c>
    </row>
    <row r="31" spans="1:8" ht="15" thickTop="1" x14ac:dyDescent="0.3">
      <c r="B31" s="1" t="s">
        <v>56</v>
      </c>
      <c r="C31" s="1">
        <v>20</v>
      </c>
      <c r="D31" s="1" t="s">
        <v>66</v>
      </c>
      <c r="E31">
        <v>0.778111244497799</v>
      </c>
      <c r="F31">
        <v>0.88915566226490605</v>
      </c>
      <c r="G31">
        <v>0.94747899159663895</v>
      </c>
      <c r="H31">
        <v>0.98729491796718705</v>
      </c>
    </row>
    <row r="32" spans="1:8" x14ac:dyDescent="0.3">
      <c r="B32" t="s">
        <v>56</v>
      </c>
      <c r="C32">
        <v>50</v>
      </c>
      <c r="D32" t="s">
        <v>66</v>
      </c>
      <c r="E32">
        <v>0.79683905171551495</v>
      </c>
      <c r="F32">
        <v>0.89356807042112596</v>
      </c>
      <c r="G32">
        <v>0.94798439531859602</v>
      </c>
      <c r="H32">
        <v>0.99029708912673797</v>
      </c>
    </row>
    <row r="33" spans="2:8" ht="15" thickBot="1" x14ac:dyDescent="0.35">
      <c r="B33" t="s">
        <v>56</v>
      </c>
      <c r="C33">
        <v>100</v>
      </c>
      <c r="D33" t="s">
        <v>66</v>
      </c>
      <c r="E33">
        <v>0.80362144857943196</v>
      </c>
      <c r="F33">
        <v>0.90326130452180897</v>
      </c>
      <c r="G33">
        <v>0.94717887154861902</v>
      </c>
      <c r="H33">
        <v>0.98949579831932799</v>
      </c>
    </row>
    <row r="34" spans="2:8" ht="15" hidden="1" thickBot="1" x14ac:dyDescent="0.35">
      <c r="B34" t="s">
        <v>57</v>
      </c>
      <c r="C34">
        <v>20</v>
      </c>
      <c r="D34" t="s">
        <v>66</v>
      </c>
      <c r="E34">
        <v>0.80089999999999995</v>
      </c>
      <c r="F34">
        <v>0.90169999999999995</v>
      </c>
      <c r="G34">
        <v>0.95079999999999998</v>
      </c>
      <c r="H34">
        <v>0.98980000000000001</v>
      </c>
    </row>
    <row r="35" spans="2:8" ht="15" hidden="1" thickBot="1" x14ac:dyDescent="0.35">
      <c r="B35" t="s">
        <v>57</v>
      </c>
      <c r="C35">
        <v>50</v>
      </c>
      <c r="D35" t="s">
        <v>66</v>
      </c>
      <c r="E35">
        <v>0.80210000000000004</v>
      </c>
      <c r="F35">
        <v>0.90469999999999995</v>
      </c>
      <c r="G35">
        <v>0.95499999999999996</v>
      </c>
      <c r="H35">
        <v>0.99060000000000004</v>
      </c>
    </row>
    <row r="36" spans="2:8" ht="15" hidden="1" thickBot="1" x14ac:dyDescent="0.35">
      <c r="B36" t="s">
        <v>57</v>
      </c>
      <c r="C36">
        <v>100</v>
      </c>
      <c r="D36" t="s">
        <v>66</v>
      </c>
      <c r="E36">
        <v>0.79720000000000002</v>
      </c>
      <c r="F36">
        <v>0.89959999999999996</v>
      </c>
      <c r="G36">
        <v>0.94840000000000002</v>
      </c>
      <c r="H36">
        <v>0.98970000000000002</v>
      </c>
    </row>
    <row r="37" spans="2:8" ht="15" hidden="1" thickBot="1" x14ac:dyDescent="0.35">
      <c r="B37" t="s">
        <v>31</v>
      </c>
      <c r="C37">
        <v>20</v>
      </c>
      <c r="D37" t="s">
        <v>66</v>
      </c>
      <c r="E37">
        <v>0.79557955795579605</v>
      </c>
      <c r="F37">
        <v>0.89998999899989995</v>
      </c>
      <c r="G37">
        <v>0.94959495949594996</v>
      </c>
      <c r="H37">
        <v>0.98819881988198799</v>
      </c>
    </row>
    <row r="38" spans="2:8" ht="15" hidden="1" thickBot="1" x14ac:dyDescent="0.35">
      <c r="B38" t="s">
        <v>31</v>
      </c>
      <c r="C38">
        <v>50</v>
      </c>
      <c r="D38" t="s">
        <v>66</v>
      </c>
      <c r="E38">
        <v>0.80430000000000001</v>
      </c>
      <c r="F38">
        <v>0.89990000000000003</v>
      </c>
      <c r="G38">
        <v>0.94950000000000001</v>
      </c>
      <c r="H38">
        <v>0.98960000000000004</v>
      </c>
    </row>
    <row r="39" spans="2:8" ht="15" hidden="1" thickBot="1" x14ac:dyDescent="0.35">
      <c r="B39" t="s">
        <v>31</v>
      </c>
      <c r="C39">
        <v>100</v>
      </c>
      <c r="D39" t="s">
        <v>66</v>
      </c>
      <c r="E39">
        <v>0.79979999999999996</v>
      </c>
      <c r="F39">
        <v>0.90100000000000002</v>
      </c>
      <c r="G39">
        <v>0.95230000000000004</v>
      </c>
      <c r="H39">
        <v>0.98950000000000005</v>
      </c>
    </row>
    <row r="40" spans="2:8" ht="15" thickTop="1" x14ac:dyDescent="0.3">
      <c r="B40" s="1" t="s">
        <v>56</v>
      </c>
      <c r="C40" s="1">
        <v>20</v>
      </c>
      <c r="D40" s="1" t="s">
        <v>84</v>
      </c>
      <c r="E40">
        <v>0.75889967637540501</v>
      </c>
      <c r="F40">
        <v>0.88612459546925604</v>
      </c>
      <c r="G40">
        <v>0.94963592233009697</v>
      </c>
      <c r="H40">
        <v>0.98675161812297696</v>
      </c>
    </row>
    <row r="41" spans="2:8" x14ac:dyDescent="0.3">
      <c r="B41" t="s">
        <v>56</v>
      </c>
      <c r="C41">
        <v>50</v>
      </c>
      <c r="D41" t="s">
        <v>84</v>
      </c>
      <c r="E41">
        <v>0.79454124282405103</v>
      </c>
      <c r="F41">
        <v>0.88750125893846299</v>
      </c>
      <c r="G41">
        <v>0.94218954577500202</v>
      </c>
      <c r="H41">
        <v>0.99194279383623696</v>
      </c>
    </row>
    <row r="42" spans="2:8" ht="15" thickBot="1" x14ac:dyDescent="0.35">
      <c r="B42" t="s">
        <v>56</v>
      </c>
      <c r="C42">
        <v>100</v>
      </c>
      <c r="D42" t="s">
        <v>84</v>
      </c>
      <c r="E42">
        <v>0.80547173606920097</v>
      </c>
      <c r="F42">
        <v>0.90645745322872695</v>
      </c>
      <c r="G42">
        <v>0.94407563870448596</v>
      </c>
      <c r="H42">
        <v>0.98853349426674697</v>
      </c>
    </row>
    <row r="43" spans="2:8" ht="15" hidden="1" thickBot="1" x14ac:dyDescent="0.35">
      <c r="B43" t="s">
        <v>57</v>
      </c>
      <c r="C43">
        <v>20</v>
      </c>
      <c r="D43" t="s">
        <v>84</v>
      </c>
      <c r="E43">
        <v>0.7923</v>
      </c>
      <c r="F43">
        <v>0.89600000000000002</v>
      </c>
      <c r="G43">
        <v>0.95189999999999997</v>
      </c>
      <c r="H43">
        <v>0.98960000000000004</v>
      </c>
    </row>
    <row r="44" spans="2:8" ht="15" hidden="1" thickBot="1" x14ac:dyDescent="0.35">
      <c r="B44" t="s">
        <v>57</v>
      </c>
      <c r="C44">
        <v>50</v>
      </c>
      <c r="D44" t="s">
        <v>84</v>
      </c>
      <c r="E44">
        <v>0.80052020808323299</v>
      </c>
      <c r="F44">
        <v>0.90036014405762299</v>
      </c>
      <c r="G44">
        <v>0.95078031212485004</v>
      </c>
      <c r="H44">
        <v>0.99099639855942401</v>
      </c>
    </row>
    <row r="45" spans="2:8" ht="15" hidden="1" thickBot="1" x14ac:dyDescent="0.35">
      <c r="B45" t="s">
        <v>57</v>
      </c>
      <c r="C45">
        <v>100</v>
      </c>
      <c r="D45" t="s">
        <v>84</v>
      </c>
      <c r="E45">
        <v>0.79825965193038595</v>
      </c>
      <c r="F45">
        <v>0.90328065613122599</v>
      </c>
      <c r="G45">
        <v>0.94758951790358104</v>
      </c>
      <c r="H45">
        <v>0.98939787957591496</v>
      </c>
    </row>
    <row r="46" spans="2:8" ht="15" hidden="1" thickBot="1" x14ac:dyDescent="0.35">
      <c r="B46" t="s">
        <v>31</v>
      </c>
      <c r="C46">
        <v>20</v>
      </c>
      <c r="D46" t="s">
        <v>84</v>
      </c>
      <c r="E46">
        <v>0.77820038034230798</v>
      </c>
      <c r="F46">
        <v>0.89340406365729197</v>
      </c>
      <c r="G46">
        <v>0.95205685116604899</v>
      </c>
      <c r="H46">
        <v>0.98878991091982804</v>
      </c>
    </row>
    <row r="47" spans="2:8" ht="15" hidden="1" thickBot="1" x14ac:dyDescent="0.35">
      <c r="B47" t="s">
        <v>31</v>
      </c>
      <c r="C47">
        <v>50</v>
      </c>
      <c r="D47" t="s">
        <v>84</v>
      </c>
      <c r="E47">
        <v>0.80154123298638902</v>
      </c>
      <c r="F47">
        <v>0.89521617293835098</v>
      </c>
      <c r="G47">
        <v>0.94675740592474</v>
      </c>
      <c r="H47">
        <v>0.990492393915132</v>
      </c>
    </row>
    <row r="48" spans="2:8" ht="15" hidden="1" thickBot="1" x14ac:dyDescent="0.35">
      <c r="B48" t="s">
        <v>31</v>
      </c>
      <c r="C48">
        <v>100</v>
      </c>
      <c r="D48" t="s">
        <v>84</v>
      </c>
      <c r="E48">
        <v>0.80150075037518798</v>
      </c>
      <c r="F48">
        <v>0.90265132566283102</v>
      </c>
      <c r="G48">
        <v>0.95077538769384695</v>
      </c>
      <c r="H48">
        <v>0.989194597298649</v>
      </c>
    </row>
    <row r="49" spans="1:8" ht="15" thickTop="1" x14ac:dyDescent="0.3">
      <c r="A49" t="s">
        <v>94</v>
      </c>
      <c r="B49" s="1" t="s">
        <v>56</v>
      </c>
      <c r="C49" s="1">
        <v>20</v>
      </c>
      <c r="D49" s="1" t="s">
        <v>85</v>
      </c>
      <c r="E49">
        <v>0.83599999999999997</v>
      </c>
      <c r="F49">
        <v>0.92379999999999995</v>
      </c>
      <c r="G49">
        <v>0.96399999999999997</v>
      </c>
      <c r="H49">
        <v>0.995</v>
      </c>
    </row>
    <row r="50" spans="1:8" x14ac:dyDescent="0.3">
      <c r="A50" t="s">
        <v>94</v>
      </c>
      <c r="B50" t="s">
        <v>56</v>
      </c>
      <c r="C50">
        <v>50</v>
      </c>
      <c r="D50" t="s">
        <v>85</v>
      </c>
      <c r="E50">
        <v>0.81810000000000005</v>
      </c>
      <c r="F50">
        <v>0.91349999999999998</v>
      </c>
      <c r="G50">
        <v>0.96009999999999995</v>
      </c>
      <c r="H50">
        <v>0.99239999999999995</v>
      </c>
    </row>
    <row r="51" spans="1:8" ht="15" thickBot="1" x14ac:dyDescent="0.35">
      <c r="A51" t="s">
        <v>94</v>
      </c>
      <c r="B51" t="s">
        <v>56</v>
      </c>
      <c r="C51">
        <v>100</v>
      </c>
      <c r="D51" t="s">
        <v>85</v>
      </c>
      <c r="E51">
        <v>0.81459999999999999</v>
      </c>
      <c r="F51">
        <v>0.90749999999999997</v>
      </c>
      <c r="G51">
        <v>0.95420000000000005</v>
      </c>
      <c r="H51">
        <v>0.99180000000000001</v>
      </c>
    </row>
    <row r="52" spans="1:8" ht="15" hidden="1" thickBot="1" x14ac:dyDescent="0.35">
      <c r="A52" t="s">
        <v>94</v>
      </c>
      <c r="B52" t="s">
        <v>57</v>
      </c>
      <c r="C52">
        <v>20</v>
      </c>
      <c r="D52" t="s">
        <v>85</v>
      </c>
      <c r="E52">
        <v>0.83250000000000002</v>
      </c>
      <c r="F52">
        <v>0.9254</v>
      </c>
      <c r="G52">
        <v>0.9667</v>
      </c>
      <c r="H52">
        <v>0.99470000000000003</v>
      </c>
    </row>
    <row r="53" spans="1:8" ht="15" hidden="1" thickBot="1" x14ac:dyDescent="0.35">
      <c r="A53" t="s">
        <v>94</v>
      </c>
      <c r="B53" t="s">
        <v>57</v>
      </c>
      <c r="C53">
        <v>50</v>
      </c>
      <c r="D53" t="s">
        <v>85</v>
      </c>
      <c r="E53">
        <v>0.81840000000000002</v>
      </c>
      <c r="F53">
        <v>0.91659999999999997</v>
      </c>
      <c r="G53">
        <v>0.96099999999999997</v>
      </c>
      <c r="H53">
        <v>0.99360000000000004</v>
      </c>
    </row>
    <row r="54" spans="1:8" ht="15" hidden="1" thickBot="1" x14ac:dyDescent="0.35">
      <c r="A54" t="s">
        <v>94</v>
      </c>
      <c r="B54" t="s">
        <v>57</v>
      </c>
      <c r="C54">
        <v>100</v>
      </c>
      <c r="D54" t="s">
        <v>85</v>
      </c>
      <c r="E54">
        <v>0.80930000000000002</v>
      </c>
      <c r="F54">
        <v>0.90429999999999999</v>
      </c>
      <c r="G54">
        <v>0.95450000000000002</v>
      </c>
      <c r="H54">
        <v>0.99060000000000004</v>
      </c>
    </row>
    <row r="55" spans="1:8" ht="15" hidden="1" thickBot="1" x14ac:dyDescent="0.35">
      <c r="A55" t="s">
        <v>94</v>
      </c>
      <c r="B55" t="s">
        <v>31</v>
      </c>
      <c r="C55">
        <v>20</v>
      </c>
      <c r="D55" t="s">
        <v>85</v>
      </c>
      <c r="E55">
        <v>0.83760000000000001</v>
      </c>
      <c r="F55">
        <v>0.92820000000000003</v>
      </c>
      <c r="G55">
        <v>0.96750000000000003</v>
      </c>
      <c r="H55">
        <v>0.99560000000000004</v>
      </c>
    </row>
    <row r="56" spans="1:8" ht="15" hidden="1" thickBot="1" x14ac:dyDescent="0.35">
      <c r="A56" t="s">
        <v>94</v>
      </c>
      <c r="B56" t="s">
        <v>31</v>
      </c>
      <c r="C56">
        <v>50</v>
      </c>
      <c r="D56" t="s">
        <v>85</v>
      </c>
      <c r="E56">
        <v>0.82169999999999999</v>
      </c>
      <c r="F56">
        <v>0.91349999999999998</v>
      </c>
      <c r="G56">
        <v>0.95799999999999996</v>
      </c>
      <c r="H56">
        <v>0.9919</v>
      </c>
    </row>
    <row r="57" spans="1:8" ht="15" hidden="1" thickBot="1" x14ac:dyDescent="0.35">
      <c r="A57" t="s">
        <v>94</v>
      </c>
      <c r="B57" t="s">
        <v>31</v>
      </c>
      <c r="C57">
        <v>100</v>
      </c>
      <c r="D57" t="s">
        <v>85</v>
      </c>
      <c r="E57">
        <v>0.81030000000000002</v>
      </c>
      <c r="F57">
        <v>0.90980000000000005</v>
      </c>
      <c r="G57">
        <v>0.95679999999999998</v>
      </c>
      <c r="H57">
        <v>0.99119999999999997</v>
      </c>
    </row>
    <row r="58" spans="1:8" ht="15" thickTop="1" x14ac:dyDescent="0.3">
      <c r="B58" s="1" t="s">
        <v>56</v>
      </c>
      <c r="C58" s="1">
        <v>20</v>
      </c>
      <c r="D58" s="1" t="s">
        <v>72</v>
      </c>
      <c r="E58">
        <v>0.85025507652295695</v>
      </c>
      <c r="F58">
        <v>0.92467740322096603</v>
      </c>
      <c r="G58">
        <v>0.961188356506952</v>
      </c>
      <c r="H58">
        <v>0.99559867960388104</v>
      </c>
    </row>
    <row r="59" spans="1:8" x14ac:dyDescent="0.3">
      <c r="B59" t="s">
        <v>56</v>
      </c>
      <c r="C59">
        <v>50</v>
      </c>
      <c r="D59" t="s">
        <v>72</v>
      </c>
      <c r="E59">
        <v>0.81274382314694404</v>
      </c>
      <c r="F59">
        <v>0.91747524257277202</v>
      </c>
      <c r="G59">
        <v>0.96268880664199297</v>
      </c>
      <c r="H59">
        <v>0.99269780934280305</v>
      </c>
    </row>
    <row r="60" spans="1:8" ht="15" thickBot="1" x14ac:dyDescent="0.35">
      <c r="B60" t="s">
        <v>56</v>
      </c>
      <c r="C60">
        <v>100</v>
      </c>
      <c r="D60" t="s">
        <v>72</v>
      </c>
      <c r="E60">
        <v>0.81334400320096001</v>
      </c>
      <c r="F60">
        <v>0.90897269180754203</v>
      </c>
      <c r="G60">
        <v>0.95578673602080599</v>
      </c>
      <c r="H60">
        <v>0.991697509252776</v>
      </c>
    </row>
    <row r="61" spans="1:8" ht="15" hidden="1" thickBot="1" x14ac:dyDescent="0.35">
      <c r="B61" t="s">
        <v>57</v>
      </c>
      <c r="C61">
        <v>20</v>
      </c>
      <c r="D61" t="s">
        <v>72</v>
      </c>
      <c r="E61">
        <v>0.84050000000000002</v>
      </c>
      <c r="F61">
        <v>0.92920000000000003</v>
      </c>
      <c r="G61">
        <v>0.96860000000000002</v>
      </c>
      <c r="H61">
        <v>0.99570000000000003</v>
      </c>
    </row>
    <row r="62" spans="1:8" ht="15" hidden="1" thickBot="1" x14ac:dyDescent="0.35">
      <c r="B62" t="s">
        <v>57</v>
      </c>
      <c r="C62">
        <v>50</v>
      </c>
      <c r="D62" t="s">
        <v>72</v>
      </c>
      <c r="E62">
        <v>0.82020000000000004</v>
      </c>
      <c r="F62">
        <v>0.91900000000000004</v>
      </c>
      <c r="G62">
        <v>0.96250000000000002</v>
      </c>
      <c r="H62">
        <v>0.99319999999999997</v>
      </c>
    </row>
    <row r="63" spans="1:8" ht="15" hidden="1" thickBot="1" x14ac:dyDescent="0.35">
      <c r="B63" t="s">
        <v>57</v>
      </c>
      <c r="C63">
        <v>100</v>
      </c>
      <c r="D63" t="s">
        <v>72</v>
      </c>
      <c r="E63">
        <v>0.80640000000000001</v>
      </c>
      <c r="F63">
        <v>0.90700000000000003</v>
      </c>
      <c r="G63">
        <v>0.95530000000000004</v>
      </c>
      <c r="H63">
        <v>0.99119999999999997</v>
      </c>
    </row>
    <row r="64" spans="1:8" ht="15" hidden="1" thickBot="1" x14ac:dyDescent="0.35">
      <c r="B64" t="s">
        <v>31</v>
      </c>
      <c r="C64">
        <v>20</v>
      </c>
      <c r="D64" t="s">
        <v>72</v>
      </c>
      <c r="E64">
        <v>0.84008400840083997</v>
      </c>
      <c r="F64">
        <v>0.93049304930493004</v>
      </c>
      <c r="G64">
        <v>0.96499649964996503</v>
      </c>
      <c r="H64">
        <v>0.99569956995699604</v>
      </c>
    </row>
    <row r="65" spans="1:8" ht="15" hidden="1" thickBot="1" x14ac:dyDescent="0.35">
      <c r="B65" t="s">
        <v>31</v>
      </c>
      <c r="C65">
        <v>50</v>
      </c>
      <c r="D65" t="s">
        <v>72</v>
      </c>
      <c r="E65">
        <v>0.8216</v>
      </c>
      <c r="F65">
        <v>0.91469999999999996</v>
      </c>
      <c r="G65">
        <v>0.95950000000000002</v>
      </c>
      <c r="H65">
        <v>0.99229999999999996</v>
      </c>
    </row>
    <row r="66" spans="1:8" ht="15" hidden="1" thickBot="1" x14ac:dyDescent="0.35">
      <c r="B66" t="s">
        <v>31</v>
      </c>
      <c r="C66">
        <v>100</v>
      </c>
      <c r="D66" t="s">
        <v>72</v>
      </c>
      <c r="E66">
        <v>0.81069999999999998</v>
      </c>
      <c r="F66">
        <v>0.90790000000000004</v>
      </c>
      <c r="G66">
        <v>0.95760000000000001</v>
      </c>
      <c r="H66">
        <v>0.99129999999999996</v>
      </c>
    </row>
    <row r="67" spans="1:8" ht="15" thickTop="1" x14ac:dyDescent="0.3">
      <c r="B67" s="1" t="s">
        <v>56</v>
      </c>
      <c r="C67" s="1">
        <v>20</v>
      </c>
      <c r="D67" s="1" t="s">
        <v>86</v>
      </c>
      <c r="E67">
        <v>0.86170642943792997</v>
      </c>
      <c r="F67">
        <v>0.91376870198139903</v>
      </c>
      <c r="G67">
        <v>0.95653052972098696</v>
      </c>
      <c r="H67">
        <v>0.99615851192883098</v>
      </c>
    </row>
    <row r="68" spans="1:8" x14ac:dyDescent="0.3">
      <c r="B68" t="s">
        <v>56</v>
      </c>
      <c r="C68">
        <v>50</v>
      </c>
      <c r="D68" t="s">
        <v>86</v>
      </c>
      <c r="E68">
        <v>0.80265941372015703</v>
      </c>
      <c r="F68">
        <v>0.92384406165004496</v>
      </c>
      <c r="G68">
        <v>0.96605218092072098</v>
      </c>
      <c r="H68">
        <v>0.99264631812229298</v>
      </c>
    </row>
    <row r="69" spans="1:8" ht="15" thickBot="1" x14ac:dyDescent="0.35">
      <c r="B69" t="s">
        <v>56</v>
      </c>
      <c r="C69">
        <v>100</v>
      </c>
      <c r="D69" t="s">
        <v>86</v>
      </c>
      <c r="E69">
        <v>0.80853204547741198</v>
      </c>
      <c r="F69">
        <v>0.90884394808330804</v>
      </c>
      <c r="G69">
        <v>0.95945266123352402</v>
      </c>
      <c r="H69">
        <v>0.99205151423684501</v>
      </c>
    </row>
    <row r="70" spans="1:8" ht="15" hidden="1" thickBot="1" x14ac:dyDescent="0.35">
      <c r="B70" t="s">
        <v>57</v>
      </c>
      <c r="C70">
        <v>20</v>
      </c>
      <c r="D70" t="s">
        <v>86</v>
      </c>
      <c r="E70">
        <v>0.85057011402280502</v>
      </c>
      <c r="F70">
        <v>0.93278655731146198</v>
      </c>
      <c r="G70">
        <v>0.96619323864772999</v>
      </c>
      <c r="H70">
        <v>0.99569913982796598</v>
      </c>
    </row>
    <row r="71" spans="1:8" ht="15" hidden="1" thickBot="1" x14ac:dyDescent="0.35">
      <c r="B71" t="s">
        <v>57</v>
      </c>
      <c r="C71">
        <v>50</v>
      </c>
      <c r="D71" t="s">
        <v>86</v>
      </c>
      <c r="E71">
        <v>0.81346942860002003</v>
      </c>
      <c r="F71">
        <v>0.92354648253777605</v>
      </c>
      <c r="G71">
        <v>0.96437506254378103</v>
      </c>
      <c r="H71">
        <v>0.99279495646952898</v>
      </c>
    </row>
    <row r="72" spans="1:8" ht="15" hidden="1" thickBot="1" x14ac:dyDescent="0.35">
      <c r="B72" t="s">
        <v>57</v>
      </c>
      <c r="C72">
        <v>100</v>
      </c>
      <c r="D72" t="s">
        <v>86</v>
      </c>
      <c r="E72">
        <v>0.80534160248074405</v>
      </c>
      <c r="F72">
        <v>0.90917275182554802</v>
      </c>
      <c r="G72">
        <v>0.95628688606582002</v>
      </c>
      <c r="H72">
        <v>0.991697509252776</v>
      </c>
    </row>
    <row r="73" spans="1:8" ht="15" hidden="1" thickBot="1" x14ac:dyDescent="0.35">
      <c r="B73" t="s">
        <v>31</v>
      </c>
      <c r="C73">
        <v>20</v>
      </c>
      <c r="D73" t="s">
        <v>86</v>
      </c>
      <c r="E73">
        <v>0.84962481240620302</v>
      </c>
      <c r="F73">
        <v>0.92926463231615797</v>
      </c>
      <c r="G73">
        <v>0.96208104052026</v>
      </c>
      <c r="H73">
        <v>0.99619809904952505</v>
      </c>
    </row>
    <row r="74" spans="1:8" ht="15" hidden="1" thickBot="1" x14ac:dyDescent="0.35">
      <c r="B74" t="s">
        <v>31</v>
      </c>
      <c r="C74">
        <v>50</v>
      </c>
      <c r="D74" t="s">
        <v>86</v>
      </c>
      <c r="E74">
        <v>0.81421421421421403</v>
      </c>
      <c r="F74">
        <v>0.91991991991991995</v>
      </c>
      <c r="G74">
        <v>0.96116116116116102</v>
      </c>
      <c r="H74">
        <v>0.992692692692693</v>
      </c>
    </row>
    <row r="75" spans="1:8" ht="15" hidden="1" thickBot="1" x14ac:dyDescent="0.35">
      <c r="B75" t="s">
        <v>31</v>
      </c>
      <c r="C75">
        <v>100</v>
      </c>
      <c r="D75" t="s">
        <v>86</v>
      </c>
      <c r="E75">
        <v>0.80838503101861103</v>
      </c>
      <c r="F75">
        <v>0.90894536722033203</v>
      </c>
      <c r="G75">
        <v>0.96037622573544101</v>
      </c>
      <c r="H75">
        <v>0.99159495697418498</v>
      </c>
    </row>
    <row r="76" spans="1:8" ht="15" thickTop="1" x14ac:dyDescent="0.3">
      <c r="A76" t="s">
        <v>94</v>
      </c>
      <c r="B76" s="1" t="s">
        <v>56</v>
      </c>
      <c r="C76" s="1">
        <v>20</v>
      </c>
      <c r="D76" s="10" t="s">
        <v>87</v>
      </c>
      <c r="E76">
        <v>0.78400000000000003</v>
      </c>
      <c r="F76">
        <v>0.88949999999999996</v>
      </c>
      <c r="G76">
        <v>0.94399999999999995</v>
      </c>
      <c r="H76">
        <v>0.9869</v>
      </c>
    </row>
    <row r="77" spans="1:8" x14ac:dyDescent="0.3">
      <c r="A77" t="s">
        <v>94</v>
      </c>
      <c r="B77" t="s">
        <v>56</v>
      </c>
      <c r="C77">
        <v>50</v>
      </c>
      <c r="D77" s="11" t="s">
        <v>87</v>
      </c>
      <c r="E77">
        <v>0.79649999999999999</v>
      </c>
      <c r="F77">
        <v>0.89759999999999995</v>
      </c>
      <c r="G77">
        <v>0.95</v>
      </c>
      <c r="H77">
        <v>0.98950000000000005</v>
      </c>
    </row>
    <row r="78" spans="1:8" ht="15" thickBot="1" x14ac:dyDescent="0.35">
      <c r="A78" t="s">
        <v>94</v>
      </c>
      <c r="B78" t="s">
        <v>56</v>
      </c>
      <c r="C78">
        <v>100</v>
      </c>
      <c r="D78" s="11" t="s">
        <v>87</v>
      </c>
      <c r="E78">
        <v>0.80179999999999996</v>
      </c>
      <c r="F78">
        <v>0.89910000000000001</v>
      </c>
      <c r="G78">
        <v>0.94879999999999998</v>
      </c>
      <c r="H78">
        <v>0.98899999999999999</v>
      </c>
    </row>
    <row r="79" spans="1:8" ht="15" hidden="1" thickBot="1" x14ac:dyDescent="0.35">
      <c r="A79" t="s">
        <v>94</v>
      </c>
      <c r="B79" t="s">
        <v>57</v>
      </c>
      <c r="C79">
        <v>20</v>
      </c>
      <c r="D79" s="11" t="s">
        <v>87</v>
      </c>
      <c r="E79">
        <v>0.78979999999999995</v>
      </c>
      <c r="F79">
        <v>0.89270000000000005</v>
      </c>
      <c r="G79">
        <v>0.9466</v>
      </c>
      <c r="H79">
        <v>0.98839999999999995</v>
      </c>
    </row>
    <row r="80" spans="1:8" ht="15" hidden="1" thickBot="1" x14ac:dyDescent="0.35">
      <c r="A80" t="s">
        <v>94</v>
      </c>
      <c r="B80" t="s">
        <v>57</v>
      </c>
      <c r="C80">
        <v>50</v>
      </c>
      <c r="D80" s="11" t="s">
        <v>87</v>
      </c>
      <c r="E80">
        <v>0.79659999999999997</v>
      </c>
      <c r="F80">
        <v>0.90200000000000002</v>
      </c>
      <c r="G80">
        <v>0.95130000000000003</v>
      </c>
      <c r="H80">
        <v>0.99009999999999998</v>
      </c>
    </row>
    <row r="81" spans="1:8" ht="15" hidden="1" thickBot="1" x14ac:dyDescent="0.35">
      <c r="A81" t="s">
        <v>94</v>
      </c>
      <c r="B81" t="s">
        <v>57</v>
      </c>
      <c r="C81">
        <v>100</v>
      </c>
      <c r="D81" s="11" t="s">
        <v>87</v>
      </c>
      <c r="E81">
        <v>0.79859999999999998</v>
      </c>
      <c r="F81">
        <v>0.89590000000000003</v>
      </c>
      <c r="G81">
        <v>0.94799999999999995</v>
      </c>
      <c r="H81">
        <v>0.98880000000000001</v>
      </c>
    </row>
    <row r="82" spans="1:8" ht="15" hidden="1" thickBot="1" x14ac:dyDescent="0.35">
      <c r="A82" t="s">
        <v>94</v>
      </c>
      <c r="B82" t="s">
        <v>31</v>
      </c>
      <c r="C82">
        <v>20</v>
      </c>
      <c r="D82" s="11" t="s">
        <v>87</v>
      </c>
      <c r="E82">
        <v>0.79349999999999998</v>
      </c>
      <c r="F82">
        <v>0.89629999999999999</v>
      </c>
      <c r="G82">
        <v>0.94769999999999999</v>
      </c>
      <c r="H82">
        <v>0.98770000000000002</v>
      </c>
    </row>
    <row r="83" spans="1:8" ht="15" hidden="1" thickBot="1" x14ac:dyDescent="0.35">
      <c r="A83" t="s">
        <v>94</v>
      </c>
      <c r="B83" t="s">
        <v>31</v>
      </c>
      <c r="C83">
        <v>50</v>
      </c>
      <c r="D83" s="11" t="s">
        <v>87</v>
      </c>
      <c r="E83">
        <v>0.80169999999999997</v>
      </c>
      <c r="F83">
        <v>0.89970000000000006</v>
      </c>
      <c r="G83">
        <v>0.94750000000000001</v>
      </c>
      <c r="H83">
        <v>0.98919999999999997</v>
      </c>
    </row>
    <row r="84" spans="1:8" ht="15" hidden="1" thickBot="1" x14ac:dyDescent="0.35">
      <c r="A84" t="s">
        <v>94</v>
      </c>
      <c r="B84" t="s">
        <v>31</v>
      </c>
      <c r="C84">
        <v>100</v>
      </c>
      <c r="D84" s="11" t="s">
        <v>87</v>
      </c>
      <c r="E84">
        <v>0.79810000000000003</v>
      </c>
      <c r="F84">
        <v>0.89980000000000004</v>
      </c>
      <c r="G84">
        <v>0.95079999999999998</v>
      </c>
      <c r="H84">
        <v>0.99</v>
      </c>
    </row>
    <row r="85" spans="1:8" ht="15" thickTop="1" x14ac:dyDescent="0.3">
      <c r="B85" s="1" t="s">
        <v>56</v>
      </c>
      <c r="C85" s="1">
        <v>20</v>
      </c>
      <c r="D85" s="1" t="s">
        <v>64</v>
      </c>
      <c r="E85">
        <v>0.77230892356942804</v>
      </c>
      <c r="F85">
        <v>0.88665466186474595</v>
      </c>
      <c r="G85">
        <v>0.94617847138855504</v>
      </c>
      <c r="H85">
        <v>0.98689475790316095</v>
      </c>
    </row>
    <row r="86" spans="1:8" x14ac:dyDescent="0.3">
      <c r="B86" t="s">
        <v>56</v>
      </c>
      <c r="C86">
        <v>50</v>
      </c>
      <c r="D86" t="s">
        <v>64</v>
      </c>
      <c r="E86">
        <v>0.79533860158047398</v>
      </c>
      <c r="F86">
        <v>0.89226768030409098</v>
      </c>
      <c r="G86">
        <v>0.94618385515654702</v>
      </c>
      <c r="H86">
        <v>0.99009702910873298</v>
      </c>
    </row>
    <row r="87" spans="1:8" ht="15" thickBot="1" x14ac:dyDescent="0.35">
      <c r="B87" t="s">
        <v>56</v>
      </c>
      <c r="C87">
        <v>100</v>
      </c>
      <c r="D87" t="s">
        <v>64</v>
      </c>
      <c r="E87">
        <v>0.80272108843537404</v>
      </c>
      <c r="F87">
        <v>0.902060824329732</v>
      </c>
      <c r="G87">
        <v>0.94667867146858697</v>
      </c>
      <c r="H87">
        <v>0.98939575830332105</v>
      </c>
    </row>
    <row r="88" spans="1:8" ht="15" hidden="1" thickBot="1" x14ac:dyDescent="0.35">
      <c r="B88" t="s">
        <v>57</v>
      </c>
      <c r="C88">
        <v>20</v>
      </c>
      <c r="D88" t="s">
        <v>64</v>
      </c>
      <c r="E88">
        <v>0.79490000000000005</v>
      </c>
      <c r="F88">
        <v>0.89700000000000002</v>
      </c>
      <c r="G88">
        <v>0.94799999999999995</v>
      </c>
      <c r="H88">
        <v>0.98939999999999995</v>
      </c>
    </row>
    <row r="89" spans="1:8" ht="15" hidden="1" thickBot="1" x14ac:dyDescent="0.35">
      <c r="B89" t="s">
        <v>57</v>
      </c>
      <c r="C89">
        <v>50</v>
      </c>
      <c r="D89" t="s">
        <v>64</v>
      </c>
      <c r="E89">
        <v>0.79849999999999999</v>
      </c>
      <c r="F89">
        <v>0.90339999999999998</v>
      </c>
      <c r="G89">
        <v>0.9536</v>
      </c>
      <c r="H89">
        <v>0.99060000000000004</v>
      </c>
    </row>
    <row r="90" spans="1:8" ht="15" hidden="1" thickBot="1" x14ac:dyDescent="0.35">
      <c r="B90" t="s">
        <v>57</v>
      </c>
      <c r="C90">
        <v>100</v>
      </c>
      <c r="D90" t="s">
        <v>64</v>
      </c>
      <c r="E90">
        <v>0.79549999999999998</v>
      </c>
      <c r="F90">
        <v>0.89870000000000005</v>
      </c>
      <c r="G90">
        <v>0.94779999999999998</v>
      </c>
      <c r="H90">
        <v>0.98939999999999995</v>
      </c>
    </row>
    <row r="91" spans="1:8" ht="15" hidden="1" thickBot="1" x14ac:dyDescent="0.35">
      <c r="B91" t="s">
        <v>31</v>
      </c>
      <c r="C91">
        <v>20</v>
      </c>
      <c r="D91" t="s">
        <v>64</v>
      </c>
      <c r="E91">
        <v>0.78777877787778805</v>
      </c>
      <c r="F91">
        <v>0.89618961896189597</v>
      </c>
      <c r="G91">
        <v>0.94809480948094804</v>
      </c>
      <c r="H91">
        <v>0.98769876987698801</v>
      </c>
    </row>
    <row r="92" spans="1:8" ht="15" hidden="1" thickBot="1" x14ac:dyDescent="0.35">
      <c r="B92" t="s">
        <v>31</v>
      </c>
      <c r="C92">
        <v>50</v>
      </c>
      <c r="D92" t="s">
        <v>64</v>
      </c>
      <c r="E92">
        <v>0.80220000000000002</v>
      </c>
      <c r="F92">
        <v>0.89780000000000004</v>
      </c>
      <c r="G92">
        <v>0.94799999999999995</v>
      </c>
      <c r="H92">
        <v>0.98939999999999995</v>
      </c>
    </row>
    <row r="93" spans="1:8" ht="15" hidden="1" thickBot="1" x14ac:dyDescent="0.35">
      <c r="B93" t="s">
        <v>31</v>
      </c>
      <c r="C93">
        <v>100</v>
      </c>
      <c r="D93" t="s">
        <v>64</v>
      </c>
      <c r="E93">
        <v>0.79890000000000005</v>
      </c>
      <c r="F93">
        <v>0.90010000000000001</v>
      </c>
      <c r="G93">
        <v>0.95189999999999997</v>
      </c>
      <c r="H93">
        <v>0.98939999999999995</v>
      </c>
    </row>
    <row r="94" spans="1:8" ht="15" thickTop="1" x14ac:dyDescent="0.3">
      <c r="B94" s="1" t="s">
        <v>56</v>
      </c>
      <c r="C94" s="1">
        <v>20</v>
      </c>
      <c r="D94" s="1" t="s">
        <v>88</v>
      </c>
      <c r="E94">
        <v>0.75455097087378598</v>
      </c>
      <c r="F94">
        <v>0.884708737864078</v>
      </c>
      <c r="G94">
        <v>0.94842233009708699</v>
      </c>
      <c r="H94">
        <v>0.98665048543689304</v>
      </c>
    </row>
    <row r="95" spans="1:8" x14ac:dyDescent="0.3">
      <c r="B95" t="s">
        <v>56</v>
      </c>
      <c r="C95">
        <v>50</v>
      </c>
      <c r="D95" t="s">
        <v>88</v>
      </c>
      <c r="E95">
        <v>0.79383623728472197</v>
      </c>
      <c r="F95">
        <v>0.88649410816799301</v>
      </c>
      <c r="G95">
        <v>0.94098096485043803</v>
      </c>
      <c r="H95">
        <v>0.99153993352804903</v>
      </c>
    </row>
    <row r="96" spans="1:8" ht="15" thickBot="1" x14ac:dyDescent="0.35">
      <c r="B96" t="s">
        <v>56</v>
      </c>
      <c r="C96">
        <v>100</v>
      </c>
      <c r="D96" t="s">
        <v>88</v>
      </c>
      <c r="E96">
        <v>0.80486823576745103</v>
      </c>
      <c r="F96">
        <v>0.90625628646147705</v>
      </c>
      <c r="G96">
        <v>0.94387447193723595</v>
      </c>
      <c r="H96">
        <v>0.98853349426674697</v>
      </c>
    </row>
    <row r="97" spans="1:8" ht="15" hidden="1" thickBot="1" x14ac:dyDescent="0.35">
      <c r="B97" t="s">
        <v>57</v>
      </c>
      <c r="C97">
        <v>20</v>
      </c>
      <c r="D97" t="s">
        <v>88</v>
      </c>
      <c r="E97">
        <v>0.78469999999999995</v>
      </c>
      <c r="F97">
        <v>0.89329999999999998</v>
      </c>
      <c r="G97">
        <v>0.95030000000000003</v>
      </c>
      <c r="H97">
        <v>0.98880000000000001</v>
      </c>
    </row>
    <row r="98" spans="1:8" ht="15" hidden="1" thickBot="1" x14ac:dyDescent="0.35">
      <c r="B98" t="s">
        <v>57</v>
      </c>
      <c r="C98">
        <v>50</v>
      </c>
      <c r="D98" t="s">
        <v>88</v>
      </c>
      <c r="E98">
        <v>0.79941976790716296</v>
      </c>
      <c r="F98">
        <v>0.89855942376950804</v>
      </c>
      <c r="G98">
        <v>0.94947979191676701</v>
      </c>
      <c r="H98">
        <v>0.99039615846338502</v>
      </c>
    </row>
    <row r="99" spans="1:8" ht="15" hidden="1" thickBot="1" x14ac:dyDescent="0.35">
      <c r="B99" t="s">
        <v>57</v>
      </c>
      <c r="C99">
        <v>100</v>
      </c>
      <c r="D99" t="s">
        <v>88</v>
      </c>
      <c r="E99">
        <v>0.79745949189837995</v>
      </c>
      <c r="F99">
        <v>0.90288057611522299</v>
      </c>
      <c r="G99">
        <v>0.94708941788357703</v>
      </c>
      <c r="H99">
        <v>0.98929785957191396</v>
      </c>
    </row>
    <row r="100" spans="1:8" ht="15" hidden="1" thickBot="1" x14ac:dyDescent="0.35">
      <c r="B100" t="s">
        <v>31</v>
      </c>
      <c r="C100">
        <v>20</v>
      </c>
      <c r="D100" t="s">
        <v>88</v>
      </c>
      <c r="E100">
        <v>0.77319587628866004</v>
      </c>
      <c r="F100">
        <v>0.89120208187368599</v>
      </c>
      <c r="G100">
        <v>0.95105595035531998</v>
      </c>
      <c r="H100">
        <v>0.98808928035231702</v>
      </c>
    </row>
    <row r="101" spans="1:8" ht="15" hidden="1" thickBot="1" x14ac:dyDescent="0.35">
      <c r="B101" t="s">
        <v>31</v>
      </c>
      <c r="C101">
        <v>50</v>
      </c>
      <c r="D101" t="s">
        <v>88</v>
      </c>
      <c r="E101">
        <v>0.80064051240992795</v>
      </c>
      <c r="F101">
        <v>0.89421537229783798</v>
      </c>
      <c r="G101">
        <v>0.94555644515612502</v>
      </c>
      <c r="H101">
        <v>0.99009207365892704</v>
      </c>
    </row>
    <row r="102" spans="1:8" ht="15" hidden="1" thickBot="1" x14ac:dyDescent="0.35">
      <c r="B102" t="s">
        <v>31</v>
      </c>
      <c r="C102">
        <v>100</v>
      </c>
      <c r="D102" t="s">
        <v>88</v>
      </c>
      <c r="E102">
        <v>0.80030015007503796</v>
      </c>
      <c r="F102">
        <v>0.902451225612806</v>
      </c>
      <c r="G102">
        <v>0.94997498749374698</v>
      </c>
      <c r="H102">
        <v>0.98889444722361197</v>
      </c>
    </row>
    <row r="103" spans="1:8" ht="15" thickTop="1" x14ac:dyDescent="0.3">
      <c r="A103" t="s">
        <v>94</v>
      </c>
      <c r="B103" s="1" t="s">
        <v>56</v>
      </c>
      <c r="C103" s="1">
        <v>20</v>
      </c>
      <c r="D103" s="1" t="s">
        <v>89</v>
      </c>
      <c r="E103">
        <v>0.8306</v>
      </c>
      <c r="F103">
        <v>0.91910000000000003</v>
      </c>
      <c r="G103">
        <v>0.96179999999999999</v>
      </c>
      <c r="H103">
        <v>0.99480000000000002</v>
      </c>
    </row>
    <row r="104" spans="1:8" x14ac:dyDescent="0.3">
      <c r="A104" t="s">
        <v>94</v>
      </c>
      <c r="B104" t="s">
        <v>56</v>
      </c>
      <c r="C104">
        <v>50</v>
      </c>
      <c r="D104" t="s">
        <v>89</v>
      </c>
      <c r="E104">
        <v>0.81499999999999995</v>
      </c>
      <c r="F104">
        <v>0.91239999999999999</v>
      </c>
      <c r="G104">
        <v>0.95960000000000001</v>
      </c>
      <c r="H104">
        <v>0.99209999999999998</v>
      </c>
    </row>
    <row r="105" spans="1:8" ht="15" thickBot="1" x14ac:dyDescent="0.35">
      <c r="A105" t="s">
        <v>94</v>
      </c>
      <c r="B105" t="s">
        <v>56</v>
      </c>
      <c r="C105">
        <v>100</v>
      </c>
      <c r="D105" t="s">
        <v>89</v>
      </c>
      <c r="E105">
        <v>0.81340000000000001</v>
      </c>
      <c r="F105">
        <v>0.90710000000000002</v>
      </c>
      <c r="G105">
        <v>0.95379999999999998</v>
      </c>
      <c r="H105">
        <v>0.99139999999999995</v>
      </c>
    </row>
    <row r="106" spans="1:8" ht="15" hidden="1" thickBot="1" x14ac:dyDescent="0.35">
      <c r="A106" t="s">
        <v>94</v>
      </c>
      <c r="B106" t="s">
        <v>57</v>
      </c>
      <c r="C106">
        <v>20</v>
      </c>
      <c r="D106" t="s">
        <v>89</v>
      </c>
      <c r="E106">
        <v>0.8256</v>
      </c>
      <c r="F106">
        <v>0.92090000000000005</v>
      </c>
      <c r="G106">
        <v>0.96460000000000001</v>
      </c>
      <c r="H106">
        <v>0.99439999999999995</v>
      </c>
    </row>
    <row r="107" spans="1:8" ht="15" hidden="1" thickBot="1" x14ac:dyDescent="0.35">
      <c r="A107" t="s">
        <v>94</v>
      </c>
      <c r="B107" t="s">
        <v>57</v>
      </c>
      <c r="C107">
        <v>50</v>
      </c>
      <c r="D107" t="s">
        <v>89</v>
      </c>
      <c r="E107">
        <v>0.81520000000000004</v>
      </c>
      <c r="F107">
        <v>0.91459999999999997</v>
      </c>
      <c r="G107">
        <v>0.96009999999999995</v>
      </c>
      <c r="H107">
        <v>0.99319999999999997</v>
      </c>
    </row>
    <row r="108" spans="1:8" ht="15" hidden="1" thickBot="1" x14ac:dyDescent="0.35">
      <c r="A108" t="s">
        <v>94</v>
      </c>
      <c r="B108" t="s">
        <v>57</v>
      </c>
      <c r="C108">
        <v>100</v>
      </c>
      <c r="D108" t="s">
        <v>89</v>
      </c>
      <c r="E108">
        <v>0.80820000000000003</v>
      </c>
      <c r="F108">
        <v>0.90380000000000005</v>
      </c>
      <c r="G108">
        <v>0.95389999999999997</v>
      </c>
      <c r="H108">
        <v>0.99039999999999995</v>
      </c>
    </row>
    <row r="109" spans="1:8" ht="15" hidden="1" thickBot="1" x14ac:dyDescent="0.35">
      <c r="A109" t="s">
        <v>94</v>
      </c>
      <c r="B109" t="s">
        <v>31</v>
      </c>
      <c r="C109">
        <v>20</v>
      </c>
      <c r="D109" t="s">
        <v>89</v>
      </c>
      <c r="E109">
        <v>0.83240000000000003</v>
      </c>
      <c r="F109">
        <v>0.92479999999999996</v>
      </c>
      <c r="G109">
        <v>0.96589999999999998</v>
      </c>
      <c r="H109">
        <v>0.99480000000000002</v>
      </c>
    </row>
    <row r="110" spans="1:8" ht="15" hidden="1" thickBot="1" x14ac:dyDescent="0.35">
      <c r="A110" t="s">
        <v>94</v>
      </c>
      <c r="B110" t="s">
        <v>31</v>
      </c>
      <c r="C110">
        <v>50</v>
      </c>
      <c r="D110" t="s">
        <v>89</v>
      </c>
      <c r="E110">
        <v>0.81989999999999996</v>
      </c>
      <c r="F110">
        <v>0.9123</v>
      </c>
      <c r="G110">
        <v>0.95660000000000001</v>
      </c>
      <c r="H110">
        <v>0.99129999999999996</v>
      </c>
    </row>
    <row r="111" spans="1:8" ht="15" hidden="1" thickBot="1" x14ac:dyDescent="0.35">
      <c r="A111" t="s">
        <v>94</v>
      </c>
      <c r="B111" t="s">
        <v>31</v>
      </c>
      <c r="C111">
        <v>100</v>
      </c>
      <c r="D111" t="s">
        <v>89</v>
      </c>
      <c r="E111">
        <v>0.80930000000000002</v>
      </c>
      <c r="F111">
        <v>0.90910000000000002</v>
      </c>
      <c r="G111">
        <v>0.95599999999999996</v>
      </c>
      <c r="H111">
        <v>0.99099999999999999</v>
      </c>
    </row>
    <row r="112" spans="1:8" ht="15" thickTop="1" x14ac:dyDescent="0.3">
      <c r="B112" s="1" t="s">
        <v>56</v>
      </c>
      <c r="C112" s="1">
        <v>20</v>
      </c>
      <c r="D112" s="1" t="s">
        <v>70</v>
      </c>
      <c r="E112">
        <v>0.84575372611783495</v>
      </c>
      <c r="F112">
        <v>0.913173952185656</v>
      </c>
      <c r="G112">
        <v>0.95928778633590095</v>
      </c>
      <c r="H112">
        <v>0.99519855956786996</v>
      </c>
    </row>
    <row r="113" spans="2:8" x14ac:dyDescent="0.3">
      <c r="B113" t="s">
        <v>56</v>
      </c>
      <c r="C113">
        <v>50</v>
      </c>
      <c r="D113" t="s">
        <v>70</v>
      </c>
      <c r="E113">
        <v>0.81084325297589299</v>
      </c>
      <c r="F113">
        <v>0.91527458237471204</v>
      </c>
      <c r="G113">
        <v>0.96178853656096797</v>
      </c>
      <c r="H113">
        <v>0.99219765929778903</v>
      </c>
    </row>
    <row r="114" spans="2:8" ht="15" thickBot="1" x14ac:dyDescent="0.35">
      <c r="B114" t="s">
        <v>56</v>
      </c>
      <c r="C114">
        <v>100</v>
      </c>
      <c r="D114" t="s">
        <v>70</v>
      </c>
      <c r="E114">
        <v>0.81184355306592004</v>
      </c>
      <c r="F114">
        <v>0.90807242172651803</v>
      </c>
      <c r="G114">
        <v>0.95518655596679003</v>
      </c>
      <c r="H114">
        <v>0.99129738921676502</v>
      </c>
    </row>
    <row r="115" spans="2:8" ht="15" hidden="1" thickBot="1" x14ac:dyDescent="0.35">
      <c r="B115" t="s">
        <v>57</v>
      </c>
      <c r="C115">
        <v>20</v>
      </c>
      <c r="D115" t="s">
        <v>70</v>
      </c>
      <c r="E115">
        <v>0.8357</v>
      </c>
      <c r="F115">
        <v>0.92449999999999999</v>
      </c>
      <c r="G115">
        <v>0.96660000000000001</v>
      </c>
      <c r="H115">
        <v>0.99529999999999996</v>
      </c>
    </row>
    <row r="116" spans="2:8" ht="15" hidden="1" thickBot="1" x14ac:dyDescent="0.35">
      <c r="B116" t="s">
        <v>57</v>
      </c>
      <c r="C116">
        <v>50</v>
      </c>
      <c r="D116" t="s">
        <v>70</v>
      </c>
      <c r="E116">
        <v>0.81830000000000003</v>
      </c>
      <c r="F116">
        <v>0.91639999999999999</v>
      </c>
      <c r="G116">
        <v>0.9617</v>
      </c>
      <c r="H116">
        <v>0.99319999999999997</v>
      </c>
    </row>
    <row r="117" spans="2:8" ht="15" hidden="1" thickBot="1" x14ac:dyDescent="0.35">
      <c r="B117" t="s">
        <v>57</v>
      </c>
      <c r="C117">
        <v>100</v>
      </c>
      <c r="D117" t="s">
        <v>70</v>
      </c>
      <c r="E117">
        <v>0.80579999999999996</v>
      </c>
      <c r="F117">
        <v>0.90639999999999998</v>
      </c>
      <c r="G117">
        <v>0.95479999999999998</v>
      </c>
      <c r="H117">
        <v>0.99109999999999998</v>
      </c>
    </row>
    <row r="118" spans="2:8" ht="15" hidden="1" thickBot="1" x14ac:dyDescent="0.35">
      <c r="B118" t="s">
        <v>31</v>
      </c>
      <c r="C118">
        <v>20</v>
      </c>
      <c r="D118" t="s">
        <v>70</v>
      </c>
      <c r="E118">
        <v>0.83358335833583397</v>
      </c>
      <c r="F118">
        <v>0.92559255925592598</v>
      </c>
      <c r="G118">
        <v>0.96309630963096304</v>
      </c>
      <c r="H118">
        <v>0.99539953995399499</v>
      </c>
    </row>
    <row r="119" spans="2:8" ht="15" hidden="1" thickBot="1" x14ac:dyDescent="0.35">
      <c r="B119" t="s">
        <v>31</v>
      </c>
      <c r="C119">
        <v>50</v>
      </c>
      <c r="D119" t="s">
        <v>70</v>
      </c>
      <c r="E119">
        <v>0.81920000000000004</v>
      </c>
      <c r="F119">
        <v>0.91249999999999998</v>
      </c>
      <c r="G119">
        <v>0.95809999999999995</v>
      </c>
      <c r="H119">
        <v>0.99219999999999997</v>
      </c>
    </row>
    <row r="120" spans="2:8" ht="15" hidden="1" thickBot="1" x14ac:dyDescent="0.35">
      <c r="B120" t="s">
        <v>31</v>
      </c>
      <c r="C120">
        <v>100</v>
      </c>
      <c r="D120" t="s">
        <v>70</v>
      </c>
      <c r="E120">
        <v>0.80920000000000003</v>
      </c>
      <c r="F120">
        <v>0.90700000000000003</v>
      </c>
      <c r="G120">
        <v>0.95730000000000004</v>
      </c>
      <c r="H120">
        <v>0.99119999999999997</v>
      </c>
    </row>
    <row r="121" spans="2:8" ht="15" thickTop="1" x14ac:dyDescent="0.3">
      <c r="B121" s="1" t="s">
        <v>56</v>
      </c>
      <c r="C121" s="1">
        <v>20</v>
      </c>
      <c r="D121" s="1" t="s">
        <v>90</v>
      </c>
      <c r="E121">
        <v>0.85958350181965204</v>
      </c>
      <c r="F121">
        <v>0.90214314597654699</v>
      </c>
      <c r="G121">
        <v>0.95562070359886797</v>
      </c>
      <c r="H121">
        <v>0.99595632834613801</v>
      </c>
    </row>
    <row r="122" spans="2:8" x14ac:dyDescent="0.3">
      <c r="B122" t="s">
        <v>56</v>
      </c>
      <c r="C122">
        <v>50</v>
      </c>
      <c r="D122" t="s">
        <v>90</v>
      </c>
      <c r="E122">
        <v>0.80124911856552805</v>
      </c>
      <c r="F122">
        <v>0.92253450186360397</v>
      </c>
      <c r="G122">
        <v>0.96554850407978199</v>
      </c>
      <c r="H122">
        <v>0.99254558275410498</v>
      </c>
    </row>
    <row r="123" spans="2:8" ht="15" thickBot="1" x14ac:dyDescent="0.35">
      <c r="B123" t="s">
        <v>56</v>
      </c>
      <c r="C123">
        <v>100</v>
      </c>
      <c r="D123" t="s">
        <v>90</v>
      </c>
      <c r="E123">
        <v>0.80823020424589997</v>
      </c>
      <c r="F123">
        <v>0.908642720595633</v>
      </c>
      <c r="G123">
        <v>0.95874836502666305</v>
      </c>
      <c r="H123">
        <v>0.99195090049300705</v>
      </c>
    </row>
    <row r="124" spans="2:8" ht="15" hidden="1" thickBot="1" x14ac:dyDescent="0.35">
      <c r="B124" t="s">
        <v>57</v>
      </c>
      <c r="C124">
        <v>20</v>
      </c>
      <c r="D124" t="s">
        <v>90</v>
      </c>
      <c r="E124">
        <v>0.84516903380676101</v>
      </c>
      <c r="F124">
        <v>0.92198439687937594</v>
      </c>
      <c r="G124">
        <v>0.96359271854370898</v>
      </c>
      <c r="H124">
        <v>0.99559911982396498</v>
      </c>
    </row>
    <row r="125" spans="2:8" ht="15" hidden="1" thickBot="1" x14ac:dyDescent="0.35">
      <c r="B125" t="s">
        <v>57</v>
      </c>
      <c r="C125">
        <v>50</v>
      </c>
      <c r="D125" t="s">
        <v>90</v>
      </c>
      <c r="E125">
        <v>0.81146802761933401</v>
      </c>
      <c r="F125">
        <v>0.92134494145902102</v>
      </c>
      <c r="G125">
        <v>0.96337436205343696</v>
      </c>
      <c r="H125">
        <v>0.99269488642049397</v>
      </c>
    </row>
    <row r="126" spans="2:8" ht="15" hidden="1" thickBot="1" x14ac:dyDescent="0.35">
      <c r="B126" t="s">
        <v>57</v>
      </c>
      <c r="C126">
        <v>100</v>
      </c>
      <c r="D126" t="s">
        <v>90</v>
      </c>
      <c r="E126">
        <v>0.80484145243573102</v>
      </c>
      <c r="F126">
        <v>0.90847254176252901</v>
      </c>
      <c r="G126">
        <v>0.95598679603881198</v>
      </c>
      <c r="H126">
        <v>0.99159747924377295</v>
      </c>
    </row>
    <row r="127" spans="2:8" ht="15" hidden="1" thickBot="1" x14ac:dyDescent="0.35">
      <c r="B127" t="s">
        <v>31</v>
      </c>
      <c r="C127">
        <v>20</v>
      </c>
      <c r="D127" t="s">
        <v>90</v>
      </c>
      <c r="E127">
        <v>0.84532266133066503</v>
      </c>
      <c r="F127">
        <v>0.91815907953977005</v>
      </c>
      <c r="G127">
        <v>0.95997998999499701</v>
      </c>
      <c r="H127">
        <v>0.99579789894947501</v>
      </c>
    </row>
    <row r="128" spans="2:8" ht="15" hidden="1" thickBot="1" x14ac:dyDescent="0.35">
      <c r="B128" t="s">
        <v>31</v>
      </c>
      <c r="C128">
        <v>50</v>
      </c>
      <c r="D128" t="s">
        <v>90</v>
      </c>
      <c r="E128">
        <v>0.812512512512513</v>
      </c>
      <c r="F128">
        <v>0.91881881881881899</v>
      </c>
      <c r="G128">
        <v>0.960760760760761</v>
      </c>
      <c r="H128">
        <v>0.99259259259259303</v>
      </c>
    </row>
    <row r="129" spans="1:8" ht="15" hidden="1" thickBot="1" x14ac:dyDescent="0.35">
      <c r="B129" t="s">
        <v>31</v>
      </c>
      <c r="C129">
        <v>100</v>
      </c>
      <c r="D129" t="s">
        <v>90</v>
      </c>
      <c r="E129">
        <v>0.80748449069441697</v>
      </c>
      <c r="F129">
        <v>0.90854512707624602</v>
      </c>
      <c r="G129">
        <v>0.95937562537522503</v>
      </c>
      <c r="H129">
        <v>0.99139483690214103</v>
      </c>
    </row>
    <row r="130" spans="1:8" ht="15" thickTop="1" x14ac:dyDescent="0.3">
      <c r="A130" t="s">
        <v>94</v>
      </c>
      <c r="B130" s="1" t="s">
        <v>56</v>
      </c>
      <c r="C130" s="1">
        <v>20</v>
      </c>
      <c r="D130" s="1" t="s">
        <v>55</v>
      </c>
      <c r="E130">
        <v>0.88449999999999995</v>
      </c>
      <c r="F130">
        <v>0.95430000000000004</v>
      </c>
      <c r="G130">
        <v>0.95430000000000004</v>
      </c>
      <c r="H130">
        <v>0.99660000000000004</v>
      </c>
    </row>
    <row r="131" spans="1:8" x14ac:dyDescent="0.3">
      <c r="A131" t="s">
        <v>94</v>
      </c>
      <c r="B131" t="s">
        <v>56</v>
      </c>
      <c r="C131">
        <v>50</v>
      </c>
      <c r="D131" t="s">
        <v>55</v>
      </c>
      <c r="E131">
        <v>0.87939999999999996</v>
      </c>
      <c r="F131">
        <v>0.93479999999999996</v>
      </c>
      <c r="G131">
        <v>0.97</v>
      </c>
      <c r="H131">
        <v>0.9929</v>
      </c>
    </row>
    <row r="132" spans="1:8" ht="15" thickBot="1" x14ac:dyDescent="0.35">
      <c r="A132" t="s">
        <v>94</v>
      </c>
      <c r="B132" t="s">
        <v>56</v>
      </c>
      <c r="C132">
        <v>100</v>
      </c>
      <c r="D132" t="s">
        <v>55</v>
      </c>
      <c r="E132">
        <v>0.80900000000000005</v>
      </c>
      <c r="F132">
        <v>0.91100000000000003</v>
      </c>
      <c r="G132">
        <v>0.96409999999999996</v>
      </c>
      <c r="H132">
        <v>0.99319999999999997</v>
      </c>
    </row>
    <row r="133" spans="1:8" ht="15" hidden="1" thickBot="1" x14ac:dyDescent="0.35">
      <c r="A133" t="s">
        <v>94</v>
      </c>
      <c r="B133" t="s">
        <v>57</v>
      </c>
      <c r="C133">
        <v>20</v>
      </c>
      <c r="D133" t="s">
        <v>55</v>
      </c>
      <c r="E133">
        <v>0.88590000000000002</v>
      </c>
      <c r="F133">
        <v>0.95789999999999997</v>
      </c>
      <c r="G133">
        <v>0.95789999999999997</v>
      </c>
      <c r="H133">
        <v>0.99719999999999998</v>
      </c>
    </row>
    <row r="134" spans="1:8" ht="15" hidden="1" thickBot="1" x14ac:dyDescent="0.35">
      <c r="A134" t="s">
        <v>94</v>
      </c>
      <c r="B134" t="s">
        <v>57</v>
      </c>
      <c r="C134">
        <v>50</v>
      </c>
      <c r="D134" t="s">
        <v>55</v>
      </c>
      <c r="E134">
        <v>0.88329999999999997</v>
      </c>
      <c r="F134">
        <v>0.94010000000000005</v>
      </c>
      <c r="G134">
        <v>0.97150000000000003</v>
      </c>
      <c r="H134">
        <v>0.99339999999999995</v>
      </c>
    </row>
    <row r="135" spans="1:8" ht="15" hidden="1" thickBot="1" x14ac:dyDescent="0.35">
      <c r="A135" t="s">
        <v>94</v>
      </c>
      <c r="B135" t="s">
        <v>57</v>
      </c>
      <c r="C135">
        <v>100</v>
      </c>
      <c r="D135" t="s">
        <v>55</v>
      </c>
      <c r="E135">
        <v>0.8034</v>
      </c>
      <c r="F135">
        <v>0.91180000000000005</v>
      </c>
      <c r="G135">
        <v>0.96440000000000003</v>
      </c>
      <c r="H135">
        <v>0.99250000000000005</v>
      </c>
    </row>
    <row r="136" spans="1:8" ht="15" hidden="1" thickBot="1" x14ac:dyDescent="0.35">
      <c r="A136" t="s">
        <v>94</v>
      </c>
      <c r="B136" t="s">
        <v>31</v>
      </c>
      <c r="C136">
        <v>20</v>
      </c>
      <c r="D136" t="s">
        <v>55</v>
      </c>
      <c r="E136">
        <v>0.88500000000000001</v>
      </c>
      <c r="F136">
        <v>0.95789999999999997</v>
      </c>
      <c r="G136">
        <v>0.95789999999999997</v>
      </c>
      <c r="H136">
        <v>0.99760000000000004</v>
      </c>
    </row>
    <row r="137" spans="1:8" ht="15" hidden="1" thickBot="1" x14ac:dyDescent="0.35">
      <c r="A137" t="s">
        <v>94</v>
      </c>
      <c r="B137" t="s">
        <v>31</v>
      </c>
      <c r="C137">
        <v>50</v>
      </c>
      <c r="D137" t="s">
        <v>55</v>
      </c>
      <c r="E137">
        <v>0.88460000000000005</v>
      </c>
      <c r="F137">
        <v>0.93489999999999995</v>
      </c>
      <c r="G137">
        <v>0.96609999999999996</v>
      </c>
      <c r="H137">
        <v>0.99350000000000005</v>
      </c>
    </row>
    <row r="138" spans="1:8" ht="15" hidden="1" thickBot="1" x14ac:dyDescent="0.35">
      <c r="A138" t="s">
        <v>94</v>
      </c>
      <c r="B138" t="s">
        <v>31</v>
      </c>
      <c r="C138">
        <v>100</v>
      </c>
      <c r="D138" t="s">
        <v>55</v>
      </c>
      <c r="E138">
        <v>0.80679999999999996</v>
      </c>
      <c r="F138">
        <v>0.91190000000000004</v>
      </c>
      <c r="G138">
        <v>0.96660000000000001</v>
      </c>
      <c r="H138">
        <v>0.99239999999999995</v>
      </c>
    </row>
    <row r="139" spans="1:8" ht="15" thickTop="1" x14ac:dyDescent="0.3">
      <c r="A139" t="s">
        <v>94</v>
      </c>
      <c r="B139" s="1" t="s">
        <v>56</v>
      </c>
      <c r="C139" s="1">
        <v>20</v>
      </c>
      <c r="D139" s="1" t="s">
        <v>32</v>
      </c>
      <c r="E139">
        <v>0.73240000000000005</v>
      </c>
      <c r="F139">
        <v>0.88449999999999995</v>
      </c>
      <c r="G139">
        <v>0.95430000000000004</v>
      </c>
      <c r="H139">
        <v>0.98650000000000004</v>
      </c>
    </row>
    <row r="140" spans="1:8" x14ac:dyDescent="0.3">
      <c r="A140" t="s">
        <v>94</v>
      </c>
      <c r="B140" t="s">
        <v>56</v>
      </c>
      <c r="C140">
        <v>50</v>
      </c>
      <c r="D140" t="s">
        <v>32</v>
      </c>
      <c r="E140">
        <v>0.79579999999999995</v>
      </c>
      <c r="F140">
        <v>0.87939999999999996</v>
      </c>
      <c r="G140">
        <v>0.93479999999999996</v>
      </c>
      <c r="H140">
        <v>0.9929</v>
      </c>
    </row>
    <row r="141" spans="1:8" ht="15" thickBot="1" x14ac:dyDescent="0.35">
      <c r="A141" t="s">
        <v>94</v>
      </c>
      <c r="B141" t="s">
        <v>56</v>
      </c>
      <c r="C141">
        <v>100</v>
      </c>
      <c r="D141" t="s">
        <v>32</v>
      </c>
      <c r="E141">
        <v>0.80900000000000005</v>
      </c>
      <c r="F141">
        <v>0.91100000000000003</v>
      </c>
      <c r="G141">
        <v>0.94189999999999996</v>
      </c>
      <c r="H141">
        <v>0.98780000000000001</v>
      </c>
    </row>
    <row r="142" spans="1:8" ht="15" hidden="1" thickBot="1" x14ac:dyDescent="0.35">
      <c r="A142" t="s">
        <v>94</v>
      </c>
      <c r="B142" t="s">
        <v>57</v>
      </c>
      <c r="C142">
        <v>20</v>
      </c>
      <c r="D142" t="s">
        <v>32</v>
      </c>
      <c r="E142">
        <v>0.73680000000000001</v>
      </c>
      <c r="F142">
        <v>0.88590000000000002</v>
      </c>
      <c r="G142">
        <v>0.95789999999999997</v>
      </c>
      <c r="H142">
        <v>0.98909999999999998</v>
      </c>
    </row>
    <row r="143" spans="1:8" ht="15" hidden="1" thickBot="1" x14ac:dyDescent="0.35">
      <c r="A143" t="s">
        <v>94</v>
      </c>
      <c r="B143" t="s">
        <v>57</v>
      </c>
      <c r="C143">
        <v>50</v>
      </c>
      <c r="D143" t="s">
        <v>32</v>
      </c>
      <c r="E143">
        <v>0.80059999999999998</v>
      </c>
      <c r="F143">
        <v>0.88329999999999997</v>
      </c>
      <c r="G143">
        <v>0.94010000000000005</v>
      </c>
      <c r="H143">
        <v>0.99339999999999995</v>
      </c>
    </row>
    <row r="144" spans="1:8" ht="15" hidden="1" thickBot="1" x14ac:dyDescent="0.35">
      <c r="A144" t="s">
        <v>94</v>
      </c>
      <c r="B144" t="s">
        <v>57</v>
      </c>
      <c r="C144">
        <v>100</v>
      </c>
      <c r="D144" t="s">
        <v>32</v>
      </c>
      <c r="E144">
        <v>0.8034</v>
      </c>
      <c r="F144">
        <v>0.91180000000000005</v>
      </c>
      <c r="G144">
        <v>0.94240000000000002</v>
      </c>
      <c r="H144">
        <v>0.98750000000000004</v>
      </c>
    </row>
    <row r="145" spans="1:8" ht="15" hidden="1" thickBot="1" x14ac:dyDescent="0.35">
      <c r="A145" t="s">
        <v>94</v>
      </c>
      <c r="B145" t="s">
        <v>31</v>
      </c>
      <c r="C145">
        <v>20</v>
      </c>
      <c r="D145" t="s">
        <v>32</v>
      </c>
      <c r="E145">
        <v>0.73409999999999997</v>
      </c>
      <c r="F145">
        <v>0.88500000000000001</v>
      </c>
      <c r="G145">
        <v>0.95789999999999997</v>
      </c>
      <c r="H145">
        <v>0.98929999999999996</v>
      </c>
    </row>
    <row r="146" spans="1:8" ht="15" hidden="1" thickBot="1" x14ac:dyDescent="0.35">
      <c r="A146" t="s">
        <v>94</v>
      </c>
      <c r="B146" t="s">
        <v>31</v>
      </c>
      <c r="C146">
        <v>50</v>
      </c>
      <c r="D146" t="s">
        <v>32</v>
      </c>
      <c r="E146">
        <v>0.80230000000000001</v>
      </c>
      <c r="F146">
        <v>0.88460000000000005</v>
      </c>
      <c r="G146">
        <v>0.93489999999999995</v>
      </c>
      <c r="H146">
        <v>0.99350000000000005</v>
      </c>
    </row>
    <row r="147" spans="1:8" ht="15" hidden="1" thickBot="1" x14ac:dyDescent="0.35">
      <c r="A147" t="s">
        <v>94</v>
      </c>
      <c r="B147" t="s">
        <v>31</v>
      </c>
      <c r="C147">
        <v>100</v>
      </c>
      <c r="D147" t="s">
        <v>32</v>
      </c>
      <c r="E147">
        <v>0.80679999999999996</v>
      </c>
      <c r="F147">
        <v>0.91190000000000004</v>
      </c>
      <c r="G147">
        <v>0.94520000000000004</v>
      </c>
      <c r="H147">
        <v>0.98799999999999999</v>
      </c>
    </row>
    <row r="148" spans="1:8" ht="15" thickTop="1" x14ac:dyDescent="0.3">
      <c r="A148" t="s">
        <v>94</v>
      </c>
      <c r="B148" s="1" t="s">
        <v>56</v>
      </c>
      <c r="C148" s="1">
        <v>20</v>
      </c>
      <c r="D148" s="1" t="s">
        <v>58</v>
      </c>
      <c r="E148">
        <v>0.73299999999999998</v>
      </c>
      <c r="F148">
        <v>0.84860000000000002</v>
      </c>
      <c r="G148">
        <v>0.91469999999999996</v>
      </c>
      <c r="H148">
        <v>0.98019999999999996</v>
      </c>
    </row>
    <row r="149" spans="1:8" x14ac:dyDescent="0.3">
      <c r="A149" t="s">
        <v>94</v>
      </c>
      <c r="B149" t="s">
        <v>56</v>
      </c>
      <c r="C149">
        <v>50</v>
      </c>
      <c r="D149" t="s">
        <v>58</v>
      </c>
      <c r="E149">
        <v>0.6119</v>
      </c>
      <c r="F149">
        <v>0.75249999999999995</v>
      </c>
      <c r="G149">
        <v>0.84740000000000004</v>
      </c>
      <c r="H149">
        <v>0.95550000000000002</v>
      </c>
    </row>
    <row r="150" spans="1:8" ht="15" thickBot="1" x14ac:dyDescent="0.35">
      <c r="A150" t="s">
        <v>94</v>
      </c>
      <c r="B150" t="s">
        <v>56</v>
      </c>
      <c r="C150">
        <v>100</v>
      </c>
      <c r="D150" t="s">
        <v>58</v>
      </c>
      <c r="E150">
        <v>0.46039999999999998</v>
      </c>
      <c r="F150">
        <v>0.60570000000000002</v>
      </c>
      <c r="G150">
        <v>0.72330000000000005</v>
      </c>
      <c r="H150">
        <v>0.89559999999999995</v>
      </c>
    </row>
    <row r="151" spans="1:8" ht="15" hidden="1" thickBot="1" x14ac:dyDescent="0.35">
      <c r="A151" t="s">
        <v>94</v>
      </c>
      <c r="B151" t="s">
        <v>57</v>
      </c>
      <c r="C151">
        <v>20</v>
      </c>
      <c r="D151" t="s">
        <v>58</v>
      </c>
      <c r="E151">
        <v>0.70179999999999998</v>
      </c>
      <c r="F151">
        <v>0.8236</v>
      </c>
      <c r="G151">
        <v>0.89729999999999999</v>
      </c>
      <c r="H151">
        <v>0.97660000000000002</v>
      </c>
    </row>
    <row r="152" spans="1:8" ht="15" hidden="1" thickBot="1" x14ac:dyDescent="0.35">
      <c r="A152" t="s">
        <v>94</v>
      </c>
      <c r="B152" t="s">
        <v>57</v>
      </c>
      <c r="C152">
        <v>50</v>
      </c>
      <c r="D152" t="s">
        <v>58</v>
      </c>
      <c r="E152">
        <v>0.5343</v>
      </c>
      <c r="F152">
        <v>0.68789999999999996</v>
      </c>
      <c r="G152">
        <v>0.79390000000000005</v>
      </c>
      <c r="H152">
        <v>0.93510000000000004</v>
      </c>
    </row>
    <row r="153" spans="1:8" ht="15" hidden="1" thickBot="1" x14ac:dyDescent="0.35">
      <c r="A153" t="s">
        <v>94</v>
      </c>
      <c r="B153" t="s">
        <v>57</v>
      </c>
      <c r="C153">
        <v>100</v>
      </c>
      <c r="D153" t="s">
        <v>58</v>
      </c>
      <c r="E153">
        <v>0.34399999999999997</v>
      </c>
      <c r="F153">
        <v>0.4864</v>
      </c>
      <c r="G153">
        <v>0.61070000000000002</v>
      </c>
      <c r="H153">
        <v>0.82299999999999995</v>
      </c>
    </row>
    <row r="154" spans="1:8" ht="15" hidden="1" thickBot="1" x14ac:dyDescent="0.35">
      <c r="A154" t="s">
        <v>94</v>
      </c>
      <c r="B154" t="s">
        <v>31</v>
      </c>
      <c r="C154">
        <v>20</v>
      </c>
      <c r="D154" t="s">
        <v>58</v>
      </c>
      <c r="E154">
        <v>0.81010000000000004</v>
      </c>
      <c r="F154">
        <v>0.90400000000000003</v>
      </c>
      <c r="G154">
        <v>0.95250000000000001</v>
      </c>
      <c r="H154">
        <v>0.99099999999999999</v>
      </c>
    </row>
    <row r="155" spans="1:8" ht="15" hidden="1" thickBot="1" x14ac:dyDescent="0.35">
      <c r="A155" t="s">
        <v>94</v>
      </c>
      <c r="B155" t="s">
        <v>31</v>
      </c>
      <c r="C155">
        <v>50</v>
      </c>
      <c r="D155" t="s">
        <v>58</v>
      </c>
      <c r="E155">
        <v>0.79910000000000003</v>
      </c>
      <c r="F155">
        <v>0.90029999999999999</v>
      </c>
      <c r="G155">
        <v>0.95269999999999999</v>
      </c>
      <c r="H155">
        <v>0.98960000000000004</v>
      </c>
    </row>
    <row r="156" spans="1:8" ht="15" hidden="1" thickBot="1" x14ac:dyDescent="0.35">
      <c r="A156" t="s">
        <v>94</v>
      </c>
      <c r="B156" t="s">
        <v>31</v>
      </c>
      <c r="C156">
        <v>100</v>
      </c>
      <c r="D156" t="s">
        <v>58</v>
      </c>
      <c r="E156">
        <v>0.79869999999999997</v>
      </c>
      <c r="F156">
        <v>0.90259999999999996</v>
      </c>
      <c r="G156">
        <v>0.95340000000000003</v>
      </c>
      <c r="H156">
        <v>0.99099999999999999</v>
      </c>
    </row>
    <row r="157" spans="1:8" ht="15" thickTop="1" x14ac:dyDescent="0.3">
      <c r="B157" s="1" t="s">
        <v>56</v>
      </c>
      <c r="C157" s="1">
        <v>20</v>
      </c>
      <c r="D157" s="1" t="s">
        <v>91</v>
      </c>
      <c r="E157">
        <v>0.80930000000000002</v>
      </c>
      <c r="F157">
        <v>0.90869999999999995</v>
      </c>
      <c r="G157">
        <v>0.95489999999999997</v>
      </c>
      <c r="H157">
        <v>0.99099999999999999</v>
      </c>
    </row>
    <row r="158" spans="1:8" x14ac:dyDescent="0.3">
      <c r="B158" t="s">
        <v>56</v>
      </c>
      <c r="C158">
        <v>50</v>
      </c>
      <c r="D158" t="s">
        <v>91</v>
      </c>
      <c r="E158">
        <v>0.81140000000000001</v>
      </c>
      <c r="F158">
        <v>0.90880000000000005</v>
      </c>
      <c r="G158">
        <v>0.95720000000000005</v>
      </c>
      <c r="H158">
        <v>0.99119999999999997</v>
      </c>
    </row>
    <row r="159" spans="1:8" ht="15" thickBot="1" x14ac:dyDescent="0.35">
      <c r="B159" t="s">
        <v>56</v>
      </c>
      <c r="C159">
        <v>100</v>
      </c>
      <c r="D159" t="s">
        <v>91</v>
      </c>
      <c r="E159">
        <v>0.81220000000000003</v>
      </c>
      <c r="F159">
        <v>0.90629999999999999</v>
      </c>
      <c r="G159">
        <v>0.9536</v>
      </c>
      <c r="H159">
        <v>0.99070000000000003</v>
      </c>
    </row>
    <row r="160" spans="1:8" ht="15" hidden="1" thickBot="1" x14ac:dyDescent="0.35">
      <c r="B160" t="s">
        <v>57</v>
      </c>
      <c r="C160">
        <v>20</v>
      </c>
      <c r="D160" t="s">
        <v>91</v>
      </c>
      <c r="E160">
        <v>0.85799999999999998</v>
      </c>
      <c r="F160">
        <v>0.94179999999999997</v>
      </c>
      <c r="G160">
        <v>0.9758</v>
      </c>
      <c r="H160">
        <v>0.99560000000000004</v>
      </c>
    </row>
    <row r="161" spans="1:8" ht="15" hidden="1" thickBot="1" x14ac:dyDescent="0.35">
      <c r="B161" t="s">
        <v>57</v>
      </c>
      <c r="C161">
        <v>50</v>
      </c>
      <c r="D161" t="s">
        <v>91</v>
      </c>
      <c r="E161">
        <v>0.83750000000000002</v>
      </c>
      <c r="F161">
        <v>0.93079999999999996</v>
      </c>
      <c r="G161">
        <v>0.96860000000000002</v>
      </c>
      <c r="H161">
        <v>0.99570000000000003</v>
      </c>
    </row>
    <row r="162" spans="1:8" ht="15" hidden="1" thickBot="1" x14ac:dyDescent="0.35">
      <c r="B162" t="s">
        <v>57</v>
      </c>
      <c r="C162">
        <v>100</v>
      </c>
      <c r="D162" t="s">
        <v>91</v>
      </c>
      <c r="E162">
        <v>0.82230000000000003</v>
      </c>
      <c r="F162">
        <v>0.91479999999999995</v>
      </c>
      <c r="G162">
        <v>0.96189999999999998</v>
      </c>
      <c r="H162">
        <v>0.99229999999999996</v>
      </c>
    </row>
    <row r="163" spans="1:8" ht="15" hidden="1" thickBot="1" x14ac:dyDescent="0.35">
      <c r="B163" t="s">
        <v>31</v>
      </c>
      <c r="C163">
        <v>20</v>
      </c>
      <c r="D163" t="s">
        <v>91</v>
      </c>
      <c r="E163">
        <v>0.84399999999999997</v>
      </c>
      <c r="F163">
        <v>0.93189999999999995</v>
      </c>
      <c r="G163">
        <v>0.96889999999999998</v>
      </c>
      <c r="H163">
        <v>0.99590000000000001</v>
      </c>
    </row>
    <row r="164" spans="1:8" ht="15" hidden="1" thickBot="1" x14ac:dyDescent="0.35">
      <c r="B164" t="s">
        <v>31</v>
      </c>
      <c r="C164">
        <v>50</v>
      </c>
      <c r="D164" t="s">
        <v>91</v>
      </c>
      <c r="E164">
        <v>0.83169999999999999</v>
      </c>
      <c r="F164">
        <v>0.92059999999999997</v>
      </c>
      <c r="G164">
        <v>0.96330000000000005</v>
      </c>
      <c r="H164">
        <v>0.99299999999999999</v>
      </c>
    </row>
    <row r="165" spans="1:8" ht="15" hidden="1" thickBot="1" x14ac:dyDescent="0.35">
      <c r="B165" t="s">
        <v>31</v>
      </c>
      <c r="C165">
        <v>100</v>
      </c>
      <c r="D165" t="s">
        <v>91</v>
      </c>
      <c r="E165">
        <v>0.81889999999999996</v>
      </c>
      <c r="F165">
        <v>0.91569999999999996</v>
      </c>
      <c r="G165">
        <v>0.96140000000000003</v>
      </c>
      <c r="H165">
        <v>0.99239999999999995</v>
      </c>
    </row>
    <row r="166" spans="1:8" ht="15" thickTop="1" x14ac:dyDescent="0.3">
      <c r="B166" s="1" t="s">
        <v>56</v>
      </c>
      <c r="C166" s="1">
        <v>20</v>
      </c>
      <c r="D166" s="1" t="s">
        <v>68</v>
      </c>
      <c r="E166">
        <v>0.78405681136227201</v>
      </c>
      <c r="F166">
        <v>0.89517903580716096</v>
      </c>
      <c r="G166">
        <v>0.95129025805161005</v>
      </c>
      <c r="H166">
        <v>0.98929785957191396</v>
      </c>
    </row>
    <row r="167" spans="1:8" x14ac:dyDescent="0.3">
      <c r="B167" t="s">
        <v>56</v>
      </c>
      <c r="C167">
        <v>50</v>
      </c>
      <c r="D167" t="s">
        <v>68</v>
      </c>
      <c r="E167">
        <v>0.8014</v>
      </c>
      <c r="F167">
        <v>0.89659999999999995</v>
      </c>
      <c r="G167">
        <v>0.94940000000000002</v>
      </c>
      <c r="H167">
        <v>0.99099999999999999</v>
      </c>
    </row>
    <row r="168" spans="1:8" ht="15" thickBot="1" x14ac:dyDescent="0.35">
      <c r="B168" t="s">
        <v>56</v>
      </c>
      <c r="C168">
        <v>100</v>
      </c>
      <c r="D168" t="s">
        <v>68</v>
      </c>
      <c r="E168">
        <v>0.80600000000000005</v>
      </c>
      <c r="F168">
        <v>0.90439999999999998</v>
      </c>
      <c r="G168">
        <v>0.94820000000000004</v>
      </c>
      <c r="H168">
        <v>0.98970000000000002</v>
      </c>
    </row>
    <row r="169" spans="1:8" ht="15" hidden="1" thickBot="1" x14ac:dyDescent="0.35">
      <c r="B169" t="s">
        <v>57</v>
      </c>
      <c r="C169">
        <v>20</v>
      </c>
      <c r="D169" t="s">
        <v>68</v>
      </c>
      <c r="E169">
        <v>0.82479999999999998</v>
      </c>
      <c r="F169">
        <v>0.9173</v>
      </c>
      <c r="G169">
        <v>0.96360000000000001</v>
      </c>
      <c r="H169">
        <v>0.99360000000000004</v>
      </c>
    </row>
    <row r="170" spans="1:8" ht="15" hidden="1" thickBot="1" x14ac:dyDescent="0.35">
      <c r="B170" t="s">
        <v>57</v>
      </c>
      <c r="C170">
        <v>50</v>
      </c>
      <c r="D170" t="s">
        <v>68</v>
      </c>
      <c r="E170">
        <v>0.81430000000000002</v>
      </c>
      <c r="F170">
        <v>0.91259999999999997</v>
      </c>
      <c r="G170">
        <v>0.95979999999999999</v>
      </c>
      <c r="H170">
        <v>0.99199999999999999</v>
      </c>
    </row>
    <row r="171" spans="1:8" ht="15" hidden="1" thickBot="1" x14ac:dyDescent="0.35">
      <c r="B171" t="s">
        <v>57</v>
      </c>
      <c r="C171">
        <v>100</v>
      </c>
      <c r="D171" t="s">
        <v>68</v>
      </c>
      <c r="E171">
        <v>0.80310000000000004</v>
      </c>
      <c r="F171">
        <v>0.90480000000000005</v>
      </c>
      <c r="G171">
        <v>0.95299999999999996</v>
      </c>
      <c r="H171">
        <v>0.99070000000000003</v>
      </c>
    </row>
    <row r="172" spans="1:8" ht="15" hidden="1" thickBot="1" x14ac:dyDescent="0.35">
      <c r="B172" t="s">
        <v>31</v>
      </c>
      <c r="C172">
        <v>20</v>
      </c>
      <c r="D172" t="s">
        <v>68</v>
      </c>
      <c r="E172">
        <v>0.81120000000000003</v>
      </c>
      <c r="F172">
        <v>0.9133</v>
      </c>
      <c r="G172">
        <v>0.95899999999999996</v>
      </c>
      <c r="H172">
        <v>0.99250000000000005</v>
      </c>
    </row>
    <row r="173" spans="1:8" ht="15" hidden="1" thickBot="1" x14ac:dyDescent="0.35">
      <c r="B173" t="s">
        <v>31</v>
      </c>
      <c r="C173">
        <v>50</v>
      </c>
      <c r="D173" t="s">
        <v>68</v>
      </c>
      <c r="E173">
        <v>0.81179999999999997</v>
      </c>
      <c r="F173">
        <v>0.90649999999999997</v>
      </c>
      <c r="G173">
        <v>0.95350000000000001</v>
      </c>
      <c r="H173">
        <v>0.99099999999999999</v>
      </c>
    </row>
    <row r="174" spans="1:8" ht="15" hidden="1" thickBot="1" x14ac:dyDescent="0.35">
      <c r="B174" t="s">
        <v>31</v>
      </c>
      <c r="C174">
        <v>100</v>
      </c>
      <c r="D174" t="s">
        <v>68</v>
      </c>
      <c r="E174">
        <v>0.80449999999999999</v>
      </c>
      <c r="F174">
        <v>0.90459999999999996</v>
      </c>
      <c r="G174">
        <v>0.95479999999999998</v>
      </c>
      <c r="H174">
        <v>0.99050000000000005</v>
      </c>
    </row>
    <row r="175" spans="1:8" ht="15" thickTop="1" x14ac:dyDescent="0.3">
      <c r="A175" t="s">
        <v>94</v>
      </c>
      <c r="B175" s="1" t="s">
        <v>56</v>
      </c>
      <c r="C175" s="1">
        <v>20</v>
      </c>
      <c r="D175" s="10" t="s">
        <v>92</v>
      </c>
      <c r="E175">
        <v>0.76217190943698698</v>
      </c>
      <c r="F175">
        <v>0.88940092165898599</v>
      </c>
      <c r="G175">
        <v>0.95161290322580605</v>
      </c>
      <c r="H175">
        <v>0.98787818072530598</v>
      </c>
    </row>
    <row r="176" spans="1:8" x14ac:dyDescent="0.3">
      <c r="A176" t="s">
        <v>94</v>
      </c>
      <c r="B176" t="s">
        <v>56</v>
      </c>
      <c r="C176">
        <v>50</v>
      </c>
      <c r="D176" s="11" t="s">
        <v>92</v>
      </c>
      <c r="E176">
        <v>0.79667467948717996</v>
      </c>
      <c r="F176">
        <v>0.88882211538461497</v>
      </c>
      <c r="G176">
        <v>0.94260817307692302</v>
      </c>
      <c r="H176">
        <v>0.99168669871794901</v>
      </c>
    </row>
    <row r="177" spans="1:8" x14ac:dyDescent="0.3">
      <c r="A177" t="s">
        <v>94</v>
      </c>
      <c r="B177" t="s">
        <v>56</v>
      </c>
      <c r="C177">
        <v>100</v>
      </c>
      <c r="D177" s="11" t="s">
        <v>92</v>
      </c>
      <c r="E177">
        <v>0.80670670670670697</v>
      </c>
      <c r="F177">
        <v>0.907407407407407</v>
      </c>
      <c r="G177">
        <v>0.94444444444444398</v>
      </c>
      <c r="H177">
        <v>0.988588588588589</v>
      </c>
    </row>
    <row r="178" spans="1:8" hidden="1" x14ac:dyDescent="0.3">
      <c r="A178" t="s">
        <v>94</v>
      </c>
      <c r="B178" t="s">
        <v>57</v>
      </c>
      <c r="C178">
        <v>20</v>
      </c>
      <c r="D178" s="11" t="s">
        <v>92</v>
      </c>
      <c r="E178">
        <v>0.79900000000000004</v>
      </c>
      <c r="F178">
        <v>0.9052</v>
      </c>
      <c r="G178">
        <v>0.95679999999999998</v>
      </c>
      <c r="H178">
        <v>0.99129999999999996</v>
      </c>
    </row>
    <row r="179" spans="1:8" hidden="1" x14ac:dyDescent="0.3">
      <c r="A179" t="s">
        <v>94</v>
      </c>
      <c r="B179" t="s">
        <v>57</v>
      </c>
      <c r="C179">
        <v>50</v>
      </c>
      <c r="D179" s="11" t="s">
        <v>92</v>
      </c>
      <c r="E179">
        <v>0.80428042804280397</v>
      </c>
      <c r="F179">
        <v>0.90279027902790299</v>
      </c>
      <c r="G179">
        <v>0.95169516951695199</v>
      </c>
      <c r="H179">
        <v>0.99119911991199094</v>
      </c>
    </row>
    <row r="180" spans="1:8" hidden="1" x14ac:dyDescent="0.3">
      <c r="A180" t="s">
        <v>94</v>
      </c>
      <c r="B180" t="s">
        <v>57</v>
      </c>
      <c r="C180">
        <v>100</v>
      </c>
      <c r="D180" s="11" t="s">
        <v>92</v>
      </c>
      <c r="E180">
        <v>0.80049999999999999</v>
      </c>
      <c r="F180">
        <v>0.90469999999999995</v>
      </c>
      <c r="G180">
        <v>0.94789999999999996</v>
      </c>
      <c r="H180">
        <v>0.98939999999999995</v>
      </c>
    </row>
    <row r="181" spans="1:8" hidden="1" x14ac:dyDescent="0.3">
      <c r="A181" t="s">
        <v>94</v>
      </c>
      <c r="B181" t="s">
        <v>31</v>
      </c>
      <c r="C181">
        <v>20</v>
      </c>
      <c r="D181" s="11" t="s">
        <v>92</v>
      </c>
      <c r="E181">
        <v>0.78437843784378403</v>
      </c>
      <c r="F181">
        <v>0.89888988898889899</v>
      </c>
      <c r="G181">
        <v>0.955695569556956</v>
      </c>
      <c r="H181">
        <v>0.99079907990799099</v>
      </c>
    </row>
    <row r="182" spans="1:8" hidden="1" x14ac:dyDescent="0.3">
      <c r="A182" t="s">
        <v>94</v>
      </c>
      <c r="B182" t="s">
        <v>31</v>
      </c>
      <c r="C182">
        <v>50</v>
      </c>
      <c r="D182" s="11" t="s">
        <v>92</v>
      </c>
      <c r="E182">
        <v>0.80472188875550199</v>
      </c>
      <c r="F182">
        <v>0.89655862344937998</v>
      </c>
      <c r="G182">
        <v>0.94757903161264501</v>
      </c>
      <c r="H182">
        <v>0.99069627851140496</v>
      </c>
    </row>
    <row r="183" spans="1:8" hidden="1" x14ac:dyDescent="0.3">
      <c r="A183" t="s">
        <v>94</v>
      </c>
      <c r="B183" t="s">
        <v>31</v>
      </c>
      <c r="C183">
        <v>100</v>
      </c>
      <c r="D183" s="11" t="s">
        <v>92</v>
      </c>
      <c r="E183">
        <v>0.80318031803180301</v>
      </c>
      <c r="F183">
        <v>0.90369036903690403</v>
      </c>
      <c r="G183">
        <v>0.95119511951195101</v>
      </c>
      <c r="H183">
        <v>0.98919891989198905</v>
      </c>
    </row>
  </sheetData>
  <autoFilter ref="A3:H183" xr:uid="{06A0558D-7475-414C-86C9-342A938442F6}">
    <filterColumn colId="1">
      <filters>
        <filter val="chisq3"/>
      </filters>
    </filterColumn>
  </autoFilter>
  <conditionalFormatting sqref="E4:E183">
    <cfRule type="colorScale" priority="4">
      <colorScale>
        <cfvo type="min"/>
        <cfvo type="num" val="0.8"/>
        <cfvo type="max"/>
        <color theme="7" tint="0.59999389629810485"/>
        <color rgb="FF92D050"/>
        <color rgb="FFFF0000"/>
      </colorScale>
    </cfRule>
  </conditionalFormatting>
  <conditionalFormatting sqref="F4:F183">
    <cfRule type="colorScale" priority="3">
      <colorScale>
        <cfvo type="min"/>
        <cfvo type="num" val="0.9"/>
        <cfvo type="max"/>
        <color theme="7" tint="0.59999389629810485"/>
        <color rgb="FF92D050"/>
        <color rgb="FFFF0000"/>
      </colorScale>
    </cfRule>
  </conditionalFormatting>
  <conditionalFormatting sqref="G4:G183">
    <cfRule type="colorScale" priority="2">
      <colorScale>
        <cfvo type="min"/>
        <cfvo type="num" val="0.95"/>
        <cfvo type="max"/>
        <color theme="7" tint="0.59999389629810485"/>
        <color rgb="FF92D050"/>
        <color rgb="FFFF0000"/>
      </colorScale>
    </cfRule>
  </conditionalFormatting>
  <conditionalFormatting sqref="H4:H183">
    <cfRule type="colorScale" priority="1">
      <colorScale>
        <cfvo type="min"/>
        <cfvo type="num" val="0.99"/>
        <cfvo type="max"/>
        <color theme="7" tint="0.59999389629810485"/>
        <color rgb="FF92D050"/>
        <color rgb="FFFF00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1F564-02CF-4BD8-ADC2-CA475E7916B6}">
  <sheetPr filterMode="1"/>
  <dimension ref="A1:W183"/>
  <sheetViews>
    <sheetView zoomScale="70" zoomScaleNormal="70" workbookViewId="0">
      <pane xSplit="3" ySplit="3" topLeftCell="D7" activePane="bottomRight" state="frozen"/>
      <selection pane="topRight" activeCell="D1" sqref="D1"/>
      <selection pane="bottomLeft" activeCell="A4" sqref="A4"/>
      <selection pane="bottomRight" activeCell="F16" sqref="F16"/>
    </sheetView>
  </sheetViews>
  <sheetFormatPr defaultRowHeight="14.4" x14ac:dyDescent="0.3"/>
  <cols>
    <col min="3" max="3" width="21.109375" bestFit="1" customWidth="1"/>
  </cols>
  <sheetData>
    <row r="1" spans="1:23" x14ac:dyDescent="0.3">
      <c r="C1" t="s">
        <v>60</v>
      </c>
      <c r="D1" t="str">
        <f>LEFT(D3,FIND("_",D3)-1)</f>
        <v>0.1</v>
      </c>
      <c r="E1" t="str">
        <f t="shared" ref="E1:F1" si="0">LEFT(E3,FIND("_",E3)-1)</f>
        <v>0.1</v>
      </c>
      <c r="F1" t="str">
        <f t="shared" si="0"/>
        <v>0.1</v>
      </c>
      <c r="G1" t="str">
        <f t="shared" ref="G1:W1" si="1">LEFT(G3,FIND("_",G3)-1)</f>
        <v>0.1</v>
      </c>
      <c r="H1" t="str">
        <f t="shared" si="1"/>
        <v>0.25</v>
      </c>
      <c r="I1" t="str">
        <f t="shared" si="1"/>
        <v>0.25</v>
      </c>
      <c r="J1" t="str">
        <f t="shared" si="1"/>
        <v>0.25</v>
      </c>
      <c r="K1" t="str">
        <f t="shared" si="1"/>
        <v>0.25</v>
      </c>
      <c r="L1" t="str">
        <f t="shared" si="1"/>
        <v>0.5</v>
      </c>
      <c r="M1" t="str">
        <f t="shared" si="1"/>
        <v>0.5</v>
      </c>
      <c r="N1" t="str">
        <f t="shared" si="1"/>
        <v>0.5</v>
      </c>
      <c r="O1" t="str">
        <f t="shared" si="1"/>
        <v>0.5</v>
      </c>
      <c r="P1" t="str">
        <f t="shared" si="1"/>
        <v>0.75</v>
      </c>
      <c r="Q1" t="str">
        <f t="shared" si="1"/>
        <v>0.75</v>
      </c>
      <c r="R1" t="str">
        <f t="shared" si="1"/>
        <v>0.75</v>
      </c>
      <c r="S1" t="str">
        <f t="shared" si="1"/>
        <v>0.75</v>
      </c>
      <c r="T1" t="str">
        <f t="shared" si="1"/>
        <v>0.9</v>
      </c>
      <c r="U1" t="str">
        <f t="shared" si="1"/>
        <v>0.9</v>
      </c>
      <c r="V1" t="str">
        <f t="shared" si="1"/>
        <v>0.9</v>
      </c>
      <c r="W1" t="str">
        <f t="shared" si="1"/>
        <v>0.9</v>
      </c>
    </row>
    <row r="2" spans="1:23" x14ac:dyDescent="0.3">
      <c r="C2" t="s">
        <v>61</v>
      </c>
      <c r="D2" t="str">
        <f>RIGHT(D3,LEN(D3)-FIND("_",D3))</f>
        <v>0.8</v>
      </c>
      <c r="E2" t="str">
        <f t="shared" ref="E2:F2" si="2">RIGHT(E3,LEN(E3)-FIND("_",E3))</f>
        <v>0.9</v>
      </c>
      <c r="F2" t="str">
        <f t="shared" si="2"/>
        <v>0.95</v>
      </c>
      <c r="G2" t="str">
        <f t="shared" ref="G2:H2" si="3">RIGHT(G3,LEN(G3)-FIND("_",G3))</f>
        <v>0.99</v>
      </c>
      <c r="H2" t="str">
        <f t="shared" si="3"/>
        <v>0.8</v>
      </c>
      <c r="I2" t="str">
        <f t="shared" ref="I2:J2" si="4">RIGHT(I3,LEN(I3)-FIND("_",I3))</f>
        <v>0.9</v>
      </c>
      <c r="J2" t="str">
        <f t="shared" si="4"/>
        <v>0.95</v>
      </c>
      <c r="K2" t="str">
        <f t="shared" ref="K2:L2" si="5">RIGHT(K3,LEN(K3)-FIND("_",K3))</f>
        <v>0.99</v>
      </c>
      <c r="L2" t="str">
        <f t="shared" si="5"/>
        <v>0.8</v>
      </c>
      <c r="M2" t="str">
        <f t="shared" ref="M2:N2" si="6">RIGHT(M3,LEN(M3)-FIND("_",M3))</f>
        <v>0.9</v>
      </c>
      <c r="N2" t="str">
        <f t="shared" si="6"/>
        <v>0.95</v>
      </c>
      <c r="O2" t="str">
        <f t="shared" ref="O2:P2" si="7">RIGHT(O3,LEN(O3)-FIND("_",O3))</f>
        <v>0.99</v>
      </c>
      <c r="P2" t="str">
        <f t="shared" si="7"/>
        <v>0.8</v>
      </c>
      <c r="Q2" t="str">
        <f t="shared" ref="Q2:R2" si="8">RIGHT(Q3,LEN(Q3)-FIND("_",Q3))</f>
        <v>0.9</v>
      </c>
      <c r="R2" t="str">
        <f t="shared" si="8"/>
        <v>0.95</v>
      </c>
      <c r="S2" t="str">
        <f t="shared" ref="S2:T2" si="9">RIGHT(S3,LEN(S3)-FIND("_",S3))</f>
        <v>0.99</v>
      </c>
      <c r="T2" t="str">
        <f t="shared" si="9"/>
        <v>0.8</v>
      </c>
      <c r="U2" t="str">
        <f t="shared" ref="U2:V2" si="10">RIGHT(U3,LEN(U3)-FIND("_",U3))</f>
        <v>0.9</v>
      </c>
      <c r="V2" t="str">
        <f t="shared" si="10"/>
        <v>0.95</v>
      </c>
      <c r="W2" t="str">
        <f t="shared" ref="W2" si="11">RIGHT(W3,LEN(W3)-FIND("_",W3))</f>
        <v>0.99</v>
      </c>
    </row>
    <row r="3" spans="1:23" ht="15" thickBot="1" x14ac:dyDescent="0.35">
      <c r="A3" t="s">
        <v>0</v>
      </c>
      <c r="B3" t="s">
        <v>1</v>
      </c>
      <c r="C3" t="s">
        <v>2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</row>
    <row r="4" spans="1:23" ht="15.6" hidden="1" thickTop="1" thickBot="1" x14ac:dyDescent="0.35">
      <c r="A4" s="1" t="s">
        <v>56</v>
      </c>
      <c r="B4" s="1">
        <v>20</v>
      </c>
      <c r="C4" s="1" t="s">
        <v>34</v>
      </c>
      <c r="D4" s="12">
        <v>0.91368059530623902</v>
      </c>
      <c r="E4" s="12">
        <v>0.95615340583858</v>
      </c>
      <c r="F4" s="12">
        <v>0.98168288494562095</v>
      </c>
      <c r="G4" s="12">
        <v>0.99736691471093297</v>
      </c>
      <c r="H4" s="12">
        <v>0.80921316740264904</v>
      </c>
      <c r="I4" s="12">
        <v>0.909574468085106</v>
      </c>
      <c r="J4" s="12">
        <v>0.95503813729425902</v>
      </c>
      <c r="K4" s="12">
        <v>0.99257326374949795</v>
      </c>
      <c r="L4" s="12">
        <v>0.80200000000000005</v>
      </c>
      <c r="M4" s="12">
        <v>0.89870000000000005</v>
      </c>
      <c r="N4" s="12">
        <v>0.94930000000000003</v>
      </c>
      <c r="O4" s="12">
        <v>0.9899</v>
      </c>
      <c r="P4" s="12">
        <v>0.80513746738912295</v>
      </c>
      <c r="Q4" s="12">
        <v>0.91691751956652601</v>
      </c>
      <c r="R4" s="12">
        <v>0.95825807746337499</v>
      </c>
      <c r="S4" s="12">
        <v>0.99468191852297805</v>
      </c>
      <c r="T4" s="12">
        <v>0.89996578076879197</v>
      </c>
      <c r="U4" s="12">
        <v>0.95061024295654195</v>
      </c>
      <c r="V4" s="12">
        <v>0.97741530740275995</v>
      </c>
      <c r="W4" s="12">
        <v>0.99577962815102095</v>
      </c>
    </row>
    <row r="5" spans="1:23" ht="15" hidden="1" thickBot="1" x14ac:dyDescent="0.35">
      <c r="A5" t="s">
        <v>56</v>
      </c>
      <c r="B5">
        <v>50</v>
      </c>
      <c r="C5" t="s">
        <v>34</v>
      </c>
      <c r="D5" s="13">
        <v>0.808906312826699</v>
      </c>
      <c r="E5" s="13">
        <v>0.91606353035786103</v>
      </c>
      <c r="F5" s="13">
        <v>0.95798150381986302</v>
      </c>
      <c r="G5" s="13">
        <v>0.99607961399276201</v>
      </c>
      <c r="H5" s="13">
        <v>0.80489999999999995</v>
      </c>
      <c r="I5" s="13">
        <v>0.90439999999999998</v>
      </c>
      <c r="J5" s="13">
        <v>0.95609999999999995</v>
      </c>
      <c r="K5" s="13">
        <v>0.99170000000000003</v>
      </c>
      <c r="L5" s="13">
        <v>0.80659999999999998</v>
      </c>
      <c r="M5" s="13">
        <v>0.90390000000000004</v>
      </c>
      <c r="N5" s="13">
        <v>0.95499999999999996</v>
      </c>
      <c r="O5" s="13">
        <v>0.99160000000000004</v>
      </c>
      <c r="P5" s="13">
        <v>0.79749999999999999</v>
      </c>
      <c r="Q5" s="13">
        <v>0.89870000000000005</v>
      </c>
      <c r="R5" s="13">
        <v>0.94950000000000001</v>
      </c>
      <c r="S5" s="13">
        <v>0.98829999999999996</v>
      </c>
      <c r="T5" s="13">
        <v>0.79727959697732997</v>
      </c>
      <c r="U5" s="13">
        <v>0.914156171284635</v>
      </c>
      <c r="V5" s="13">
        <v>0.96040302267002498</v>
      </c>
      <c r="W5" s="13">
        <v>0.99607052896725401</v>
      </c>
    </row>
    <row r="6" spans="1:23" ht="15" hidden="1" thickBot="1" x14ac:dyDescent="0.35">
      <c r="A6" t="s">
        <v>56</v>
      </c>
      <c r="B6">
        <v>100</v>
      </c>
      <c r="C6" t="s">
        <v>34</v>
      </c>
      <c r="D6" s="13">
        <v>0.80258025802580302</v>
      </c>
      <c r="E6" s="13">
        <v>0.8995899589959</v>
      </c>
      <c r="F6" s="13">
        <v>0.94999499949995003</v>
      </c>
      <c r="G6" s="13">
        <v>0.98909890989098903</v>
      </c>
      <c r="H6" s="13">
        <v>0.80189999999999995</v>
      </c>
      <c r="I6" s="13">
        <v>0.90480000000000005</v>
      </c>
      <c r="J6" s="13">
        <v>0.95230000000000004</v>
      </c>
      <c r="K6" s="13">
        <v>0.99080000000000001</v>
      </c>
      <c r="L6" s="13">
        <v>0.80369999999999997</v>
      </c>
      <c r="M6" s="13">
        <v>0.90280000000000005</v>
      </c>
      <c r="N6" s="13">
        <v>0.9506</v>
      </c>
      <c r="O6" s="13">
        <v>0.99029999999999996</v>
      </c>
      <c r="P6" s="13">
        <v>0.7974</v>
      </c>
      <c r="Q6" s="13">
        <v>0.89500000000000002</v>
      </c>
      <c r="R6" s="13">
        <v>0.94589999999999996</v>
      </c>
      <c r="S6" s="13">
        <v>0.98919999999999997</v>
      </c>
      <c r="T6" s="13">
        <v>0.80579999999999996</v>
      </c>
      <c r="U6" s="13">
        <v>0.9032</v>
      </c>
      <c r="V6" s="13">
        <v>0.9516</v>
      </c>
      <c r="W6" s="13">
        <v>0.99</v>
      </c>
    </row>
    <row r="7" spans="1:23" ht="15" thickTop="1" x14ac:dyDescent="0.3">
      <c r="A7" s="1" t="s">
        <v>57</v>
      </c>
      <c r="B7" s="1">
        <v>20</v>
      </c>
      <c r="C7" s="1" t="s">
        <v>34</v>
      </c>
      <c r="D7" s="12">
        <v>0.91145177897265806</v>
      </c>
      <c r="E7" s="12">
        <v>0.95400983869122502</v>
      </c>
      <c r="F7" s="12">
        <v>0.98238187850360403</v>
      </c>
      <c r="G7" s="12">
        <v>0.99588147809175198</v>
      </c>
      <c r="H7" s="12">
        <v>0.80427153313947697</v>
      </c>
      <c r="I7" s="12">
        <v>0.90624686653965703</v>
      </c>
      <c r="J7" s="12">
        <v>0.95527925398576197</v>
      </c>
      <c r="K7" s="12">
        <v>0.99468565125839803</v>
      </c>
      <c r="L7" s="12">
        <v>0.81210000000000004</v>
      </c>
      <c r="M7" s="12">
        <v>0.90569999999999995</v>
      </c>
      <c r="N7" s="12">
        <v>0.95340000000000003</v>
      </c>
      <c r="O7" s="12">
        <v>0.99050000000000005</v>
      </c>
      <c r="P7" s="12">
        <v>0.80552208835341399</v>
      </c>
      <c r="Q7" s="12">
        <v>0.91325301204819298</v>
      </c>
      <c r="R7" s="12">
        <v>0.95481927710843395</v>
      </c>
      <c r="S7" s="12">
        <v>0.99477911646586303</v>
      </c>
      <c r="T7" s="12">
        <v>0.90331020361733605</v>
      </c>
      <c r="U7" s="12">
        <v>0.95199635991354803</v>
      </c>
      <c r="V7" s="12">
        <v>0.979410761005574</v>
      </c>
      <c r="W7" s="12">
        <v>0.99681492435445296</v>
      </c>
    </row>
    <row r="8" spans="1:23" x14ac:dyDescent="0.3">
      <c r="A8" t="s">
        <v>57</v>
      </c>
      <c r="B8">
        <v>50</v>
      </c>
      <c r="C8" t="s">
        <v>34</v>
      </c>
      <c r="D8" s="13">
        <v>0.80488786080659802</v>
      </c>
      <c r="E8" s="13">
        <v>0.91219953736296899</v>
      </c>
      <c r="F8" s="13">
        <v>0.95645177511817403</v>
      </c>
      <c r="G8" s="13">
        <v>0.99456904354822495</v>
      </c>
      <c r="H8" s="13">
        <v>0.80369999999999997</v>
      </c>
      <c r="I8" s="13">
        <v>0.9032</v>
      </c>
      <c r="J8" s="13">
        <v>0.95109999999999995</v>
      </c>
      <c r="K8" s="13">
        <v>0.99009999999999998</v>
      </c>
      <c r="L8" s="13">
        <v>0.79620000000000002</v>
      </c>
      <c r="M8" s="13">
        <v>0.90010000000000001</v>
      </c>
      <c r="N8" s="13">
        <v>0.95189999999999997</v>
      </c>
      <c r="O8" s="13">
        <v>0.99050000000000005</v>
      </c>
      <c r="P8" s="13">
        <v>0.79649999999999999</v>
      </c>
      <c r="Q8" s="13">
        <v>0.90190000000000003</v>
      </c>
      <c r="R8" s="13">
        <v>0.95140000000000002</v>
      </c>
      <c r="S8" s="13">
        <v>0.99139999999999995</v>
      </c>
      <c r="T8" s="13">
        <v>0.80609780639967799</v>
      </c>
      <c r="U8" s="13">
        <v>0.918394043067015</v>
      </c>
      <c r="V8" s="13">
        <v>0.96015294827933195</v>
      </c>
      <c r="W8" s="13">
        <v>0.995471925940833</v>
      </c>
    </row>
    <row r="9" spans="1:23" ht="15" thickBot="1" x14ac:dyDescent="0.35">
      <c r="A9" t="s">
        <v>57</v>
      </c>
      <c r="B9">
        <v>100</v>
      </c>
      <c r="C9" t="s">
        <v>34</v>
      </c>
      <c r="D9" s="13">
        <v>0.80268026802680303</v>
      </c>
      <c r="E9" s="13">
        <v>0.89838983898389801</v>
      </c>
      <c r="F9" s="13">
        <v>0.94569456945694597</v>
      </c>
      <c r="G9" s="13">
        <v>0.98939893989398897</v>
      </c>
      <c r="H9" s="13">
        <v>0.79500000000000004</v>
      </c>
      <c r="I9" s="13">
        <v>0.89880000000000004</v>
      </c>
      <c r="J9" s="13">
        <v>0.94599999999999995</v>
      </c>
      <c r="K9" s="13">
        <v>0.98880000000000001</v>
      </c>
      <c r="L9" s="13">
        <v>0.80349999999999999</v>
      </c>
      <c r="M9" s="13">
        <v>0.90339999999999998</v>
      </c>
      <c r="N9" s="13">
        <v>0.95109999999999995</v>
      </c>
      <c r="O9" s="13">
        <v>0.98909999999999998</v>
      </c>
      <c r="P9" s="13">
        <v>0.80520000000000003</v>
      </c>
      <c r="Q9" s="13">
        <v>0.90410000000000001</v>
      </c>
      <c r="R9" s="13">
        <v>0.95240000000000002</v>
      </c>
      <c r="S9" s="13">
        <v>0.99160000000000004</v>
      </c>
      <c r="T9" s="13">
        <v>0.80559999999999998</v>
      </c>
      <c r="U9" s="13">
        <v>0.90629999999999999</v>
      </c>
      <c r="V9" s="13">
        <v>0.95550000000000002</v>
      </c>
      <c r="W9" s="13">
        <v>0.99099999999999999</v>
      </c>
    </row>
    <row r="10" spans="1:23" ht="15.6" hidden="1" thickTop="1" thickBot="1" x14ac:dyDescent="0.35">
      <c r="A10" s="1" t="s">
        <v>31</v>
      </c>
      <c r="B10" s="1">
        <v>20</v>
      </c>
      <c r="C10" s="1" t="s">
        <v>34</v>
      </c>
      <c r="D10" s="12">
        <v>0.89993200362647296</v>
      </c>
      <c r="E10" s="12">
        <v>0.94798277425204003</v>
      </c>
      <c r="F10" s="12">
        <v>0.97801450589301897</v>
      </c>
      <c r="G10" s="12">
        <v>0.99558023572076204</v>
      </c>
      <c r="H10" s="12">
        <v>0.80409268733072503</v>
      </c>
      <c r="I10" s="12">
        <v>0.908315778914635</v>
      </c>
      <c r="J10" s="12">
        <v>0.95536162102517797</v>
      </c>
      <c r="K10" s="12">
        <v>0.99388103119671001</v>
      </c>
      <c r="L10" s="12">
        <v>0.81469999999999998</v>
      </c>
      <c r="M10" s="12">
        <v>0.90720000000000001</v>
      </c>
      <c r="N10" s="12">
        <v>0.94969999999999999</v>
      </c>
      <c r="O10" s="12">
        <v>0.98950000000000005</v>
      </c>
      <c r="P10" s="12">
        <v>0.80810106276318405</v>
      </c>
      <c r="Q10" s="12">
        <v>0.91167034289151805</v>
      </c>
      <c r="R10" s="12">
        <v>0.95408060958492102</v>
      </c>
      <c r="S10" s="12">
        <v>0.99408462001203102</v>
      </c>
      <c r="T10" s="12">
        <v>0.90789024251394701</v>
      </c>
      <c r="U10" s="12">
        <v>0.95366048047364205</v>
      </c>
      <c r="V10" s="12">
        <v>0.97768416258681501</v>
      </c>
      <c r="W10" s="12">
        <v>0.99624274166002502</v>
      </c>
    </row>
    <row r="11" spans="1:23" ht="15" hidden="1" thickBot="1" x14ac:dyDescent="0.35">
      <c r="A11" t="s">
        <v>31</v>
      </c>
      <c r="B11">
        <v>50</v>
      </c>
      <c r="C11" t="s">
        <v>34</v>
      </c>
      <c r="D11" s="13">
        <v>0.80241570206341195</v>
      </c>
      <c r="E11" s="13">
        <v>0.91162556618017099</v>
      </c>
      <c r="F11" s="13">
        <v>0.95963764469048796</v>
      </c>
      <c r="G11" s="13">
        <v>0.99496728736789097</v>
      </c>
      <c r="H11" s="13">
        <v>0.80159999999999998</v>
      </c>
      <c r="I11" s="13">
        <v>0.89929999999999999</v>
      </c>
      <c r="J11" s="13">
        <v>0.95130000000000003</v>
      </c>
      <c r="K11" s="13">
        <v>0.99060000000000004</v>
      </c>
      <c r="L11" s="13">
        <v>0.79910000000000003</v>
      </c>
      <c r="M11" s="13">
        <v>0.90239999999999998</v>
      </c>
      <c r="N11" s="13">
        <v>0.95150000000000001</v>
      </c>
      <c r="O11" s="13">
        <v>0.98860000000000003</v>
      </c>
      <c r="P11" s="13">
        <v>0.80449999999999999</v>
      </c>
      <c r="Q11" s="13">
        <v>0.90210000000000001</v>
      </c>
      <c r="R11" s="13">
        <v>0.9526</v>
      </c>
      <c r="S11" s="13">
        <v>0.99060000000000004</v>
      </c>
      <c r="T11" s="13">
        <v>0.806091676718938</v>
      </c>
      <c r="U11" s="13">
        <v>0.91355046240450299</v>
      </c>
      <c r="V11" s="13">
        <v>0.95747889022919197</v>
      </c>
      <c r="W11" s="13">
        <v>0.996180136710897</v>
      </c>
    </row>
    <row r="12" spans="1:23" ht="15" hidden="1" thickBot="1" x14ac:dyDescent="0.35">
      <c r="A12" t="s">
        <v>31</v>
      </c>
      <c r="B12">
        <v>100</v>
      </c>
      <c r="C12" t="s">
        <v>34</v>
      </c>
      <c r="D12" s="13">
        <v>0.80486097219443897</v>
      </c>
      <c r="E12" s="13">
        <v>0.90238047609521899</v>
      </c>
      <c r="F12" s="13">
        <v>0.94948989797959604</v>
      </c>
      <c r="G12" s="13">
        <v>0.99029805961192197</v>
      </c>
      <c r="H12" s="13">
        <v>0.79449999999999998</v>
      </c>
      <c r="I12" s="13">
        <v>0.90010000000000001</v>
      </c>
      <c r="J12" s="13">
        <v>0.94899999999999995</v>
      </c>
      <c r="K12" s="13">
        <v>0.98719999999999997</v>
      </c>
      <c r="L12" s="13">
        <v>0.80369999999999997</v>
      </c>
      <c r="M12" s="13">
        <v>0.90500000000000003</v>
      </c>
      <c r="N12" s="13">
        <v>0.95409999999999995</v>
      </c>
      <c r="O12" s="13">
        <v>0.99039999999999995</v>
      </c>
      <c r="P12" s="13">
        <v>0.80349999999999999</v>
      </c>
      <c r="Q12" s="13">
        <v>0.90149999999999997</v>
      </c>
      <c r="R12" s="13">
        <v>0.95150000000000001</v>
      </c>
      <c r="S12" s="13">
        <v>0.98919999999999997</v>
      </c>
      <c r="T12" s="13">
        <v>0.80779999999999996</v>
      </c>
      <c r="U12" s="13">
        <v>0.9032</v>
      </c>
      <c r="V12" s="13">
        <v>0.95350000000000001</v>
      </c>
      <c r="W12" s="13">
        <v>0.99119999999999997</v>
      </c>
    </row>
    <row r="13" spans="1:23" ht="15.6" hidden="1" thickTop="1" thickBot="1" x14ac:dyDescent="0.35">
      <c r="A13" s="1" t="s">
        <v>56</v>
      </c>
      <c r="B13" s="1">
        <v>20</v>
      </c>
      <c r="C13" s="1" t="s">
        <v>33</v>
      </c>
      <c r="D13" s="12">
        <v>0.76673200784094098</v>
      </c>
      <c r="E13" s="12">
        <v>0.76673200784094098</v>
      </c>
      <c r="F13" s="12">
        <v>0.807896947633716</v>
      </c>
      <c r="G13" s="12">
        <v>0.82231867824138904</v>
      </c>
      <c r="H13" s="12">
        <v>0.8095</v>
      </c>
      <c r="I13" s="12">
        <v>0.93369999999999997</v>
      </c>
      <c r="J13" s="12">
        <v>0.96099999999999997</v>
      </c>
      <c r="K13" s="12">
        <v>0.99570000000000003</v>
      </c>
      <c r="L13" s="12">
        <v>0.87880000000000003</v>
      </c>
      <c r="M13" s="12">
        <v>0.87880000000000003</v>
      </c>
      <c r="N13" s="12">
        <v>0.95640000000000003</v>
      </c>
      <c r="O13" s="12">
        <v>0.99719999999999998</v>
      </c>
      <c r="P13" s="12">
        <v>0.80469999999999997</v>
      </c>
      <c r="Q13" s="12">
        <v>0.93799999999999994</v>
      </c>
      <c r="R13" s="12">
        <v>0.96450000000000002</v>
      </c>
      <c r="S13" s="12">
        <v>0.99580000000000002</v>
      </c>
      <c r="T13" s="12">
        <v>0.83220000000000005</v>
      </c>
      <c r="U13" s="12">
        <v>0.83220000000000005</v>
      </c>
      <c r="V13" s="12">
        <v>0.86529999999999996</v>
      </c>
      <c r="W13" s="12">
        <v>0.87609999999999999</v>
      </c>
    </row>
    <row r="14" spans="1:23" ht="15" hidden="1" thickBot="1" x14ac:dyDescent="0.35">
      <c r="A14" t="s">
        <v>56</v>
      </c>
      <c r="B14">
        <v>50</v>
      </c>
      <c r="C14" t="s">
        <v>33</v>
      </c>
      <c r="D14" s="13">
        <v>0.79875366568914996</v>
      </c>
      <c r="E14" s="13">
        <v>0.93059628543499495</v>
      </c>
      <c r="F14" s="13">
        <v>0.93059628543499495</v>
      </c>
      <c r="G14" s="13">
        <v>0.98985826001955002</v>
      </c>
      <c r="H14" s="13">
        <v>0.81320000000000003</v>
      </c>
      <c r="I14" s="13">
        <v>0.90100000000000002</v>
      </c>
      <c r="J14" s="13">
        <v>0.96930000000000005</v>
      </c>
      <c r="K14" s="13">
        <v>0.99150000000000005</v>
      </c>
      <c r="L14" s="13">
        <v>0.8044</v>
      </c>
      <c r="M14" s="13">
        <v>0.93789999999999996</v>
      </c>
      <c r="N14" s="13">
        <v>0.97060000000000002</v>
      </c>
      <c r="O14" s="13">
        <v>0.99429999999999996</v>
      </c>
      <c r="P14" s="13">
        <v>0.80449999999999999</v>
      </c>
      <c r="Q14" s="13">
        <v>0.89559999999999995</v>
      </c>
      <c r="R14" s="13">
        <v>0.9637</v>
      </c>
      <c r="S14" s="13">
        <v>0.98780000000000001</v>
      </c>
      <c r="T14" s="13">
        <v>0.8256</v>
      </c>
      <c r="U14" s="13">
        <v>0.94040000000000001</v>
      </c>
      <c r="V14" s="13">
        <v>0.94040000000000001</v>
      </c>
      <c r="W14" s="13">
        <v>0.98939999999999995</v>
      </c>
    </row>
    <row r="15" spans="1:23" ht="15" hidden="1" thickBot="1" x14ac:dyDescent="0.35">
      <c r="A15" t="s">
        <v>56</v>
      </c>
      <c r="B15">
        <v>100</v>
      </c>
      <c r="C15" t="s">
        <v>33</v>
      </c>
      <c r="D15" s="13">
        <v>0.77694090382387004</v>
      </c>
      <c r="E15" s="13">
        <v>0.88679026651216697</v>
      </c>
      <c r="F15" s="13">
        <v>0.94658169177288498</v>
      </c>
      <c r="G15" s="13">
        <v>0.98447276940903805</v>
      </c>
      <c r="H15" s="13">
        <v>0.79759999999999998</v>
      </c>
      <c r="I15" s="13">
        <v>0.92020000000000002</v>
      </c>
      <c r="J15" s="13">
        <v>0.96340000000000003</v>
      </c>
      <c r="K15" s="13">
        <v>0.99</v>
      </c>
      <c r="L15" s="13">
        <v>0.81089999999999995</v>
      </c>
      <c r="M15" s="13">
        <v>0.91300000000000003</v>
      </c>
      <c r="N15" s="13">
        <v>0.96509999999999996</v>
      </c>
      <c r="O15" s="13">
        <v>0.99270000000000003</v>
      </c>
      <c r="P15" s="13">
        <v>0.79220000000000002</v>
      </c>
      <c r="Q15" s="13">
        <v>0.91259999999999997</v>
      </c>
      <c r="R15" s="13">
        <v>0.95909999999999995</v>
      </c>
      <c r="S15" s="13">
        <v>0.98860000000000003</v>
      </c>
      <c r="T15" s="13">
        <v>0.81120000000000003</v>
      </c>
      <c r="U15" s="13">
        <v>0.90659999999999996</v>
      </c>
      <c r="V15" s="13">
        <v>0.95530000000000004</v>
      </c>
      <c r="W15" s="13">
        <v>0.98680000000000001</v>
      </c>
    </row>
    <row r="16" spans="1:23" ht="15" thickTop="1" x14ac:dyDescent="0.3">
      <c r="A16" s="1" t="s">
        <v>57</v>
      </c>
      <c r="B16" s="1">
        <v>20</v>
      </c>
      <c r="C16" s="1" t="s">
        <v>33</v>
      </c>
      <c r="D16" s="12">
        <v>0.76717609803111697</v>
      </c>
      <c r="E16" s="12">
        <v>0.76717609803111697</v>
      </c>
      <c r="F16" s="12">
        <v>0.81219881591628795</v>
      </c>
      <c r="G16" s="12">
        <v>0.82541649456147603</v>
      </c>
      <c r="H16" s="12">
        <v>0.80679999999999996</v>
      </c>
      <c r="I16" s="12">
        <v>0.9355</v>
      </c>
      <c r="J16" s="12">
        <v>0.96220000000000006</v>
      </c>
      <c r="K16" s="12">
        <v>0.99660000000000004</v>
      </c>
      <c r="L16" s="12">
        <v>0.88839999999999997</v>
      </c>
      <c r="M16" s="12">
        <v>0.88839999999999997</v>
      </c>
      <c r="N16" s="12">
        <v>0.96020000000000005</v>
      </c>
      <c r="O16" s="12">
        <v>0.99719999999999998</v>
      </c>
      <c r="P16" s="12">
        <v>0.80279999999999996</v>
      </c>
      <c r="Q16" s="12">
        <v>0.93140000000000001</v>
      </c>
      <c r="R16" s="12">
        <v>0.96</v>
      </c>
      <c r="S16" s="12">
        <v>0.99539999999999995</v>
      </c>
      <c r="T16" s="12">
        <v>0.83560000000000001</v>
      </c>
      <c r="U16" s="12">
        <v>0.83560000000000001</v>
      </c>
      <c r="V16" s="12">
        <v>0.86860000000000004</v>
      </c>
      <c r="W16" s="12">
        <v>0.87870000000000004</v>
      </c>
    </row>
    <row r="17" spans="1:23" x14ac:dyDescent="0.3">
      <c r="A17" t="s">
        <v>57</v>
      </c>
      <c r="B17">
        <v>50</v>
      </c>
      <c r="C17" t="s">
        <v>33</v>
      </c>
      <c r="D17" s="13">
        <v>0.79669522643818802</v>
      </c>
      <c r="E17" s="13">
        <v>0.92851897184822496</v>
      </c>
      <c r="F17" s="13">
        <v>0.92851897184822496</v>
      </c>
      <c r="G17" s="13">
        <v>0.98861689106487105</v>
      </c>
      <c r="H17" s="13">
        <v>0.81169999999999998</v>
      </c>
      <c r="I17" s="13">
        <v>0.90090000000000003</v>
      </c>
      <c r="J17" s="13">
        <v>0.9657</v>
      </c>
      <c r="K17" s="13">
        <v>0.98980000000000001</v>
      </c>
      <c r="L17" s="13">
        <v>0.79479999999999995</v>
      </c>
      <c r="M17" s="13">
        <v>0.93559999999999999</v>
      </c>
      <c r="N17" s="13">
        <v>0.96599999999999997</v>
      </c>
      <c r="O17" s="13">
        <v>0.99299999999999999</v>
      </c>
      <c r="P17" s="13">
        <v>0.80520000000000003</v>
      </c>
      <c r="Q17" s="13">
        <v>0.89949999999999997</v>
      </c>
      <c r="R17" s="13">
        <v>0.96650000000000003</v>
      </c>
      <c r="S17" s="13">
        <v>0.98980000000000001</v>
      </c>
      <c r="T17" s="13">
        <v>0.83199999999999996</v>
      </c>
      <c r="U17" s="13">
        <v>0.94330000000000003</v>
      </c>
      <c r="V17" s="13">
        <v>0.94330000000000003</v>
      </c>
      <c r="W17" s="13">
        <v>0.99050000000000005</v>
      </c>
    </row>
    <row r="18" spans="1:23" ht="15" thickBot="1" x14ac:dyDescent="0.35">
      <c r="A18" t="s">
        <v>57</v>
      </c>
      <c r="B18">
        <v>100</v>
      </c>
      <c r="C18" t="s">
        <v>33</v>
      </c>
      <c r="D18" s="13">
        <v>0.78260364649866498</v>
      </c>
      <c r="E18" s="13">
        <v>0.88386946928347498</v>
      </c>
      <c r="F18" s="13">
        <v>0.94414121472535095</v>
      </c>
      <c r="G18" s="13">
        <v>0.98420624782255295</v>
      </c>
      <c r="H18" s="13">
        <v>0.7903</v>
      </c>
      <c r="I18" s="13">
        <v>0.91459999999999997</v>
      </c>
      <c r="J18" s="13">
        <v>0.95979999999999999</v>
      </c>
      <c r="K18" s="13">
        <v>0.98780000000000001</v>
      </c>
      <c r="L18" s="13">
        <v>0.80940000000000001</v>
      </c>
      <c r="M18" s="13">
        <v>0.91379999999999995</v>
      </c>
      <c r="N18" s="13">
        <v>0.96279999999999999</v>
      </c>
      <c r="O18" s="13">
        <v>0.99329999999999996</v>
      </c>
      <c r="P18" s="13">
        <v>0.80030000000000001</v>
      </c>
      <c r="Q18" s="13">
        <v>0.91920000000000002</v>
      </c>
      <c r="R18" s="13">
        <v>0.96430000000000005</v>
      </c>
      <c r="S18" s="13">
        <v>0.9909</v>
      </c>
      <c r="T18" s="13">
        <v>0.81569999999999998</v>
      </c>
      <c r="U18" s="13">
        <v>0.90790000000000004</v>
      </c>
      <c r="V18" s="13">
        <v>0.95889999999999997</v>
      </c>
      <c r="W18" s="13">
        <v>0.9879</v>
      </c>
    </row>
    <row r="19" spans="1:23" ht="15.6" hidden="1" thickTop="1" thickBot="1" x14ac:dyDescent="0.35">
      <c r="A19" s="1" t="s">
        <v>31</v>
      </c>
      <c r="B19" s="1">
        <v>20</v>
      </c>
      <c r="C19" s="1" t="s">
        <v>33</v>
      </c>
      <c r="D19" s="12">
        <v>0.76945484810653397</v>
      </c>
      <c r="E19" s="12">
        <v>0.76945484810653397</v>
      </c>
      <c r="F19" s="12">
        <v>0.81966985712304097</v>
      </c>
      <c r="G19" s="12">
        <v>0.83603828547648795</v>
      </c>
      <c r="H19" s="12">
        <v>0.80320000000000003</v>
      </c>
      <c r="I19" s="12">
        <v>0.93200000000000005</v>
      </c>
      <c r="J19" s="12">
        <v>0.96020000000000005</v>
      </c>
      <c r="K19" s="12">
        <v>0.99539999999999995</v>
      </c>
      <c r="L19" s="12">
        <v>0.88900000000000001</v>
      </c>
      <c r="M19" s="12">
        <v>0.88900000000000001</v>
      </c>
      <c r="N19" s="12">
        <v>0.95609999999999995</v>
      </c>
      <c r="O19" s="12">
        <v>0.99729999999999996</v>
      </c>
      <c r="P19" s="12">
        <v>0.81089999999999995</v>
      </c>
      <c r="Q19" s="12">
        <v>0.93400000000000005</v>
      </c>
      <c r="R19" s="12">
        <v>0.95979999999999999</v>
      </c>
      <c r="S19" s="12">
        <v>0.99670000000000003</v>
      </c>
      <c r="T19" s="12">
        <v>0.83579999999999999</v>
      </c>
      <c r="U19" s="12">
        <v>0.83579999999999999</v>
      </c>
      <c r="V19" s="12">
        <v>0.8649</v>
      </c>
      <c r="W19" s="12">
        <v>0.87790000000000001</v>
      </c>
    </row>
    <row r="20" spans="1:23" ht="15" hidden="1" thickBot="1" x14ac:dyDescent="0.35">
      <c r="A20" t="s">
        <v>31</v>
      </c>
      <c r="B20">
        <v>50</v>
      </c>
      <c r="C20" t="s">
        <v>33</v>
      </c>
      <c r="D20" s="13">
        <v>0.79217273954116096</v>
      </c>
      <c r="E20" s="13">
        <v>0.92798429640534896</v>
      </c>
      <c r="F20" s="13">
        <v>0.92798429640534896</v>
      </c>
      <c r="G20" s="13">
        <v>0.98760888234572397</v>
      </c>
      <c r="H20" s="13">
        <v>0.81059999999999999</v>
      </c>
      <c r="I20" s="13">
        <v>0.89670000000000005</v>
      </c>
      <c r="J20" s="13">
        <v>0.96579999999999999</v>
      </c>
      <c r="K20" s="13">
        <v>0.99070000000000003</v>
      </c>
      <c r="L20" s="13">
        <v>0.7964</v>
      </c>
      <c r="M20" s="13">
        <v>0.93489999999999995</v>
      </c>
      <c r="N20" s="13">
        <v>0.96509999999999996</v>
      </c>
      <c r="O20" s="13">
        <v>0.99199999999999999</v>
      </c>
      <c r="P20" s="13">
        <v>0.81320000000000003</v>
      </c>
      <c r="Q20" s="13">
        <v>0.8982</v>
      </c>
      <c r="R20" s="13">
        <v>0.96750000000000003</v>
      </c>
      <c r="S20" s="13">
        <v>0.99039999999999995</v>
      </c>
      <c r="T20" s="13">
        <v>0.83279999999999998</v>
      </c>
      <c r="U20" s="13">
        <v>0.94230000000000003</v>
      </c>
      <c r="V20" s="13">
        <v>0.94230000000000003</v>
      </c>
      <c r="W20" s="13">
        <v>0.99150000000000005</v>
      </c>
    </row>
    <row r="21" spans="1:23" ht="15" hidden="1" thickBot="1" x14ac:dyDescent="0.35">
      <c r="A21" t="s">
        <v>31</v>
      </c>
      <c r="B21">
        <v>100</v>
      </c>
      <c r="C21" t="s">
        <v>33</v>
      </c>
      <c r="D21" s="13">
        <v>0.78259361997226096</v>
      </c>
      <c r="E21" s="13">
        <v>0.88892741562644495</v>
      </c>
      <c r="F21" s="13">
        <v>0.94671752196023995</v>
      </c>
      <c r="G21" s="13">
        <v>0.98416551086453996</v>
      </c>
      <c r="H21" s="13">
        <v>0.78920000000000001</v>
      </c>
      <c r="I21" s="13">
        <v>0.91649999999999998</v>
      </c>
      <c r="J21" s="13">
        <v>0.96199999999999997</v>
      </c>
      <c r="K21" s="13">
        <v>0.98640000000000005</v>
      </c>
      <c r="L21" s="13">
        <v>0.8095</v>
      </c>
      <c r="M21" s="13">
        <v>0.91549999999999998</v>
      </c>
      <c r="N21" s="13">
        <v>0.96619999999999995</v>
      </c>
      <c r="O21" s="13">
        <v>0.99399999999999999</v>
      </c>
      <c r="P21" s="13">
        <v>0.80100000000000005</v>
      </c>
      <c r="Q21" s="13">
        <v>0.9173</v>
      </c>
      <c r="R21" s="13">
        <v>0.96299999999999997</v>
      </c>
      <c r="S21" s="13">
        <v>0.98780000000000001</v>
      </c>
      <c r="T21" s="13">
        <v>0.81559999999999999</v>
      </c>
      <c r="U21" s="13">
        <v>0.90539999999999998</v>
      </c>
      <c r="V21" s="13">
        <v>0.95889999999999997</v>
      </c>
      <c r="W21" s="13">
        <v>0.98870000000000002</v>
      </c>
    </row>
    <row r="22" spans="1:23" ht="15.6" hidden="1" thickTop="1" thickBot="1" x14ac:dyDescent="0.35">
      <c r="A22" s="1" t="s">
        <v>56</v>
      </c>
      <c r="B22" s="1">
        <v>20</v>
      </c>
      <c r="C22" s="10" t="s">
        <v>83</v>
      </c>
      <c r="D22" s="12">
        <v>0.78955500618047003</v>
      </c>
      <c r="E22" s="12">
        <v>0.86784095591264898</v>
      </c>
      <c r="F22" s="12">
        <v>0.906880922950144</v>
      </c>
      <c r="G22" s="12">
        <v>0.94695096827358904</v>
      </c>
      <c r="H22" s="12">
        <v>0.80116197535810896</v>
      </c>
      <c r="I22" s="12">
        <v>0.90203345687669001</v>
      </c>
      <c r="J22" s="12">
        <v>0.94951417409596295</v>
      </c>
      <c r="K22" s="12">
        <v>0.98848041670840403</v>
      </c>
      <c r="L22" s="12">
        <v>0.7883</v>
      </c>
      <c r="M22" s="12">
        <v>0.89280000000000004</v>
      </c>
      <c r="N22" s="12">
        <v>0.94520000000000004</v>
      </c>
      <c r="O22" s="12">
        <v>0.98880000000000001</v>
      </c>
      <c r="P22" s="12">
        <v>0.80034061310358595</v>
      </c>
      <c r="Q22" s="12">
        <v>0.90242436385493896</v>
      </c>
      <c r="R22" s="12">
        <v>0.95441795231416504</v>
      </c>
      <c r="S22" s="12">
        <v>0.99058304948908005</v>
      </c>
      <c r="T22" s="12">
        <v>0.83511467379202897</v>
      </c>
      <c r="U22" s="12">
        <v>0.91015364061456205</v>
      </c>
      <c r="V22" s="12">
        <v>0.94578044978846598</v>
      </c>
      <c r="W22" s="12">
        <v>0.97005121353818702</v>
      </c>
    </row>
    <row r="23" spans="1:23" ht="15" hidden="1" thickBot="1" x14ac:dyDescent="0.35">
      <c r="A23" t="s">
        <v>56</v>
      </c>
      <c r="B23">
        <v>50</v>
      </c>
      <c r="C23" s="11" t="s">
        <v>83</v>
      </c>
      <c r="D23" s="13">
        <v>0.80478286972183299</v>
      </c>
      <c r="E23" s="13">
        <v>0.90544326595957603</v>
      </c>
      <c r="F23" s="13">
        <v>0.95147088252951795</v>
      </c>
      <c r="G23" s="13">
        <v>0.98529117470482297</v>
      </c>
      <c r="H23" s="13">
        <v>0.80659999999999998</v>
      </c>
      <c r="I23" s="13">
        <v>0.90139999999999998</v>
      </c>
      <c r="J23" s="13">
        <v>0.95279999999999998</v>
      </c>
      <c r="K23" s="13">
        <v>0.98960000000000004</v>
      </c>
      <c r="L23" s="13">
        <v>0.80679999999999996</v>
      </c>
      <c r="M23" s="13">
        <v>0.90329999999999999</v>
      </c>
      <c r="N23" s="13">
        <v>0.95299999999999996</v>
      </c>
      <c r="O23" s="13">
        <v>0.9909</v>
      </c>
      <c r="P23" s="13">
        <v>0.79659999999999997</v>
      </c>
      <c r="Q23" s="13">
        <v>0.89570000000000005</v>
      </c>
      <c r="R23" s="13">
        <v>0.94799999999999995</v>
      </c>
      <c r="S23" s="13">
        <v>0.98729999999999996</v>
      </c>
      <c r="T23" s="13">
        <v>0.78631875881523305</v>
      </c>
      <c r="U23" s="13">
        <v>0.91325811001410395</v>
      </c>
      <c r="V23" s="13">
        <v>0.94851904090268002</v>
      </c>
      <c r="W23" s="13">
        <v>0.992041104170864</v>
      </c>
    </row>
    <row r="24" spans="1:23" ht="15" hidden="1" thickBot="1" x14ac:dyDescent="0.35">
      <c r="A24" t="s">
        <v>56</v>
      </c>
      <c r="B24">
        <v>100</v>
      </c>
      <c r="C24" s="11" t="s">
        <v>83</v>
      </c>
      <c r="D24" s="13">
        <v>0.79710000000000003</v>
      </c>
      <c r="E24" s="13">
        <v>0.89900000000000002</v>
      </c>
      <c r="F24" s="13">
        <v>0.94779999999999998</v>
      </c>
      <c r="G24" s="13">
        <v>0.9889</v>
      </c>
      <c r="H24" s="13">
        <v>0.80149999999999999</v>
      </c>
      <c r="I24" s="13">
        <v>0.90410000000000001</v>
      </c>
      <c r="J24" s="13">
        <v>0.95309999999999995</v>
      </c>
      <c r="K24" s="13">
        <v>0.99039999999999995</v>
      </c>
      <c r="L24" s="13">
        <v>0.80049999999999999</v>
      </c>
      <c r="M24" s="13">
        <v>0.90159999999999996</v>
      </c>
      <c r="N24" s="13">
        <v>0.94830000000000003</v>
      </c>
      <c r="O24" s="13">
        <v>0.98970000000000002</v>
      </c>
      <c r="P24" s="13">
        <v>0.79769999999999996</v>
      </c>
      <c r="Q24" s="13">
        <v>0.89339999999999997</v>
      </c>
      <c r="R24" s="13">
        <v>0.94469999999999998</v>
      </c>
      <c r="S24" s="13">
        <v>0.98980000000000001</v>
      </c>
      <c r="T24" s="13">
        <v>0.80360180090044997</v>
      </c>
      <c r="U24" s="13">
        <v>0.901450725362681</v>
      </c>
      <c r="V24" s="13">
        <v>0.95177588794397205</v>
      </c>
      <c r="W24" s="13">
        <v>0.98839419709854903</v>
      </c>
    </row>
    <row r="25" spans="1:23" ht="15" thickTop="1" x14ac:dyDescent="0.3">
      <c r="A25" s="1" t="s">
        <v>57</v>
      </c>
      <c r="B25" s="1">
        <v>20</v>
      </c>
      <c r="C25" s="1" t="s">
        <v>83</v>
      </c>
      <c r="D25" s="12">
        <v>0.69480844253275997</v>
      </c>
      <c r="E25" s="12">
        <v>0.81104331299389798</v>
      </c>
      <c r="F25" s="12">
        <v>0.88676602980894303</v>
      </c>
      <c r="G25" s="12">
        <v>0.962988896669001</v>
      </c>
      <c r="H25" s="12">
        <v>0.79049999999999998</v>
      </c>
      <c r="I25" s="12">
        <v>0.89229999999999998</v>
      </c>
      <c r="J25" s="12">
        <v>0.94230000000000003</v>
      </c>
      <c r="K25" s="12">
        <v>0.98529999999999995</v>
      </c>
      <c r="L25" s="12">
        <v>0.7954</v>
      </c>
      <c r="M25" s="12">
        <v>0.8962</v>
      </c>
      <c r="N25" s="12">
        <v>0.94540000000000002</v>
      </c>
      <c r="O25" s="12">
        <v>0.98870000000000002</v>
      </c>
      <c r="P25" s="12">
        <v>0.79315178213856596</v>
      </c>
      <c r="Q25" s="12">
        <v>0.89977973568281899</v>
      </c>
      <c r="R25" s="12">
        <v>0.94663596315578702</v>
      </c>
      <c r="S25" s="12">
        <v>0.98628354024829801</v>
      </c>
      <c r="T25" s="12">
        <v>0.81612251409124703</v>
      </c>
      <c r="U25" s="12">
        <v>0.883654152929916</v>
      </c>
      <c r="V25" s="12">
        <v>0.91917473146868001</v>
      </c>
      <c r="W25" s="12">
        <v>0.95267467829416097</v>
      </c>
    </row>
    <row r="26" spans="1:23" x14ac:dyDescent="0.3">
      <c r="A26" t="s">
        <v>57</v>
      </c>
      <c r="B26">
        <v>50</v>
      </c>
      <c r="C26" t="s">
        <v>83</v>
      </c>
      <c r="D26" s="13">
        <v>0.76370000000000005</v>
      </c>
      <c r="E26" s="13">
        <v>0.87460000000000004</v>
      </c>
      <c r="F26" s="13">
        <v>0.93220000000000003</v>
      </c>
      <c r="G26" s="13">
        <v>0.9829</v>
      </c>
      <c r="H26" s="13">
        <v>0.8024</v>
      </c>
      <c r="I26" s="13">
        <v>0.89990000000000003</v>
      </c>
      <c r="J26" s="13">
        <v>0.9476</v>
      </c>
      <c r="K26" s="13">
        <v>0.98829999999999996</v>
      </c>
      <c r="L26" s="13">
        <v>0.79300000000000004</v>
      </c>
      <c r="M26" s="13">
        <v>0.89949999999999997</v>
      </c>
      <c r="N26" s="13">
        <v>0.94850000000000001</v>
      </c>
      <c r="O26" s="13">
        <v>0.99</v>
      </c>
      <c r="P26" s="13">
        <v>0.8</v>
      </c>
      <c r="Q26" s="13">
        <v>0.89880000000000004</v>
      </c>
      <c r="R26" s="13">
        <v>0.94810000000000005</v>
      </c>
      <c r="S26" s="13">
        <v>0.99080000000000001</v>
      </c>
      <c r="T26" s="13">
        <v>0.799899749373434</v>
      </c>
      <c r="U26" s="13">
        <v>0.91037593984962395</v>
      </c>
      <c r="V26" s="13">
        <v>0.952380952380952</v>
      </c>
      <c r="W26" s="13">
        <v>0.98877192982456097</v>
      </c>
    </row>
    <row r="27" spans="1:23" ht="15" thickBot="1" x14ac:dyDescent="0.35">
      <c r="A27" t="s">
        <v>57</v>
      </c>
      <c r="B27">
        <v>100</v>
      </c>
      <c r="C27" t="s">
        <v>83</v>
      </c>
      <c r="D27" s="13">
        <v>0.7974</v>
      </c>
      <c r="E27" s="13">
        <v>0.89580000000000004</v>
      </c>
      <c r="F27" s="13">
        <v>0.94589999999999996</v>
      </c>
      <c r="G27" s="13">
        <v>0.98960000000000004</v>
      </c>
      <c r="H27" s="13">
        <v>0.79249999999999998</v>
      </c>
      <c r="I27" s="13">
        <v>0.89290000000000003</v>
      </c>
      <c r="J27" s="13">
        <v>0.94399999999999995</v>
      </c>
      <c r="K27" s="13">
        <v>0.98819999999999997</v>
      </c>
      <c r="L27" s="13">
        <v>0.80279999999999996</v>
      </c>
      <c r="M27" s="13">
        <v>0.90210000000000001</v>
      </c>
      <c r="N27" s="13">
        <v>0.95030000000000003</v>
      </c>
      <c r="O27" s="13">
        <v>0.98839999999999995</v>
      </c>
      <c r="P27" s="13">
        <v>0.80369999999999997</v>
      </c>
      <c r="Q27" s="13">
        <v>0.90290000000000004</v>
      </c>
      <c r="R27" s="13">
        <v>0.95020000000000004</v>
      </c>
      <c r="S27" s="13">
        <v>0.99170000000000003</v>
      </c>
      <c r="T27" s="13">
        <v>0.8024</v>
      </c>
      <c r="U27" s="13">
        <v>0.90559999999999996</v>
      </c>
      <c r="V27" s="13">
        <v>0.95340000000000003</v>
      </c>
      <c r="W27" s="13">
        <v>0.99039999999999995</v>
      </c>
    </row>
    <row r="28" spans="1:23" ht="15.6" hidden="1" thickTop="1" thickBot="1" x14ac:dyDescent="0.35">
      <c r="A28" s="1" t="s">
        <v>31</v>
      </c>
      <c r="B28" s="1">
        <v>20</v>
      </c>
      <c r="C28" s="1" t="s">
        <v>83</v>
      </c>
      <c r="D28" s="12">
        <v>0.78152898922524405</v>
      </c>
      <c r="E28" s="12">
        <v>0.85510518214469</v>
      </c>
      <c r="F28" s="12">
        <v>0.89923037455105204</v>
      </c>
      <c r="G28" s="12">
        <v>0.94130323242688596</v>
      </c>
      <c r="H28" s="12">
        <v>0.79067440464278604</v>
      </c>
      <c r="I28" s="12">
        <v>0.89633780268160901</v>
      </c>
      <c r="J28" s="12">
        <v>0.945367220332199</v>
      </c>
      <c r="K28" s="12">
        <v>0.98559135481288795</v>
      </c>
      <c r="L28" s="12">
        <v>0.80520000000000003</v>
      </c>
      <c r="M28" s="12">
        <v>0.90190000000000003</v>
      </c>
      <c r="N28" s="12">
        <v>0.95109999999999995</v>
      </c>
      <c r="O28" s="12">
        <v>0.98829999999999996</v>
      </c>
      <c r="P28" s="12">
        <v>0.79993995196156897</v>
      </c>
      <c r="Q28" s="12">
        <v>0.90022017614091299</v>
      </c>
      <c r="R28" s="12">
        <v>0.94635708566853505</v>
      </c>
      <c r="S28" s="12">
        <v>0.98708967173739004</v>
      </c>
      <c r="T28" s="12">
        <v>0.78708876474239597</v>
      </c>
      <c r="U28" s="12">
        <v>0.86468032278088103</v>
      </c>
      <c r="V28" s="12">
        <v>0.90388992344299601</v>
      </c>
      <c r="W28" s="12">
        <v>0.94578936478377795</v>
      </c>
    </row>
    <row r="29" spans="1:23" ht="15" hidden="1" thickBot="1" x14ac:dyDescent="0.35">
      <c r="A29" t="s">
        <v>31</v>
      </c>
      <c r="B29">
        <v>50</v>
      </c>
      <c r="C29" t="s">
        <v>83</v>
      </c>
      <c r="D29" s="13">
        <v>0.79759879939970002</v>
      </c>
      <c r="E29" s="13">
        <v>0.89984992496248095</v>
      </c>
      <c r="F29" s="13">
        <v>0.94917458729364701</v>
      </c>
      <c r="G29" s="13">
        <v>0.98539269634817395</v>
      </c>
      <c r="H29" s="13">
        <v>0.79749999999999999</v>
      </c>
      <c r="I29" s="13">
        <v>0.89849999999999997</v>
      </c>
      <c r="J29" s="13">
        <v>0.94750000000000001</v>
      </c>
      <c r="K29" s="13">
        <v>0.98960000000000004</v>
      </c>
      <c r="L29" s="13">
        <v>0.79849999999999999</v>
      </c>
      <c r="M29" s="13">
        <v>0.89929999999999999</v>
      </c>
      <c r="N29" s="13">
        <v>0.94820000000000004</v>
      </c>
      <c r="O29" s="13">
        <v>0.98640000000000005</v>
      </c>
      <c r="P29" s="13">
        <v>0.80100000000000005</v>
      </c>
      <c r="Q29" s="13">
        <v>0.89890000000000003</v>
      </c>
      <c r="R29" s="13">
        <v>0.94910000000000005</v>
      </c>
      <c r="S29" s="13">
        <v>0.98919999999999997</v>
      </c>
      <c r="T29" s="13">
        <v>0.79661864745898403</v>
      </c>
      <c r="U29" s="13">
        <v>0.90216086434573795</v>
      </c>
      <c r="V29" s="13">
        <v>0.95048019207683099</v>
      </c>
      <c r="W29" s="13">
        <v>0.98839535814325696</v>
      </c>
    </row>
    <row r="30" spans="1:23" ht="15" hidden="1" thickBot="1" x14ac:dyDescent="0.35">
      <c r="A30" t="s">
        <v>31</v>
      </c>
      <c r="B30">
        <v>100</v>
      </c>
      <c r="C30" t="s">
        <v>83</v>
      </c>
      <c r="D30" s="13">
        <v>0.80349999999999999</v>
      </c>
      <c r="E30" s="13">
        <v>0.9032</v>
      </c>
      <c r="F30" s="13">
        <v>0.94969999999999999</v>
      </c>
      <c r="G30" s="13">
        <v>0.98950000000000005</v>
      </c>
      <c r="H30" s="13">
        <v>0.79100000000000004</v>
      </c>
      <c r="I30" s="13">
        <v>0.89749999999999996</v>
      </c>
      <c r="J30" s="13">
        <v>0.94950000000000001</v>
      </c>
      <c r="K30" s="13">
        <v>0.98819999999999997</v>
      </c>
      <c r="L30" s="13">
        <v>0.79949999999999999</v>
      </c>
      <c r="M30" s="13">
        <v>0.90429999999999999</v>
      </c>
      <c r="N30" s="13">
        <v>0.95099999999999996</v>
      </c>
      <c r="O30" s="13">
        <v>0.99039999999999995</v>
      </c>
      <c r="P30" s="13">
        <v>0.80069999999999997</v>
      </c>
      <c r="Q30" s="13">
        <v>0.90159999999999996</v>
      </c>
      <c r="R30" s="13">
        <v>0.95069999999999999</v>
      </c>
      <c r="S30" s="13">
        <v>0.98939999999999995</v>
      </c>
      <c r="T30" s="13">
        <v>0.80700000000000005</v>
      </c>
      <c r="U30" s="13">
        <v>0.90249999999999997</v>
      </c>
      <c r="V30" s="13">
        <v>0.9526</v>
      </c>
      <c r="W30" s="13">
        <v>0.99060000000000004</v>
      </c>
    </row>
    <row r="31" spans="1:23" ht="15.6" hidden="1" thickTop="1" thickBot="1" x14ac:dyDescent="0.35">
      <c r="A31" s="1" t="s">
        <v>56</v>
      </c>
      <c r="B31" s="1">
        <v>20</v>
      </c>
      <c r="C31" s="1" t="s">
        <v>66</v>
      </c>
      <c r="D31" s="12">
        <v>0.82698887938408905</v>
      </c>
      <c r="E31" s="12">
        <v>0.890611633875107</v>
      </c>
      <c r="F31" s="12">
        <v>0.92429426860564601</v>
      </c>
      <c r="G31" s="12">
        <v>0.95530367835757102</v>
      </c>
      <c r="H31" s="12">
        <v>0.80340852130325802</v>
      </c>
      <c r="I31" s="12">
        <v>0.90085213032581501</v>
      </c>
      <c r="J31" s="12">
        <v>0.95077694235589005</v>
      </c>
      <c r="K31" s="12">
        <v>0.990075187969925</v>
      </c>
      <c r="L31" s="12">
        <v>0.77405145660226204</v>
      </c>
      <c r="M31" s="12">
        <v>0.88837721493642996</v>
      </c>
      <c r="N31" s="12">
        <v>0.94834317749524499</v>
      </c>
      <c r="O31" s="12">
        <v>0.98808689558514395</v>
      </c>
      <c r="P31" s="12">
        <v>0.801151282569178</v>
      </c>
      <c r="Q31" s="12">
        <v>0.893253888103413</v>
      </c>
      <c r="R31" s="12">
        <v>0.95920016158351895</v>
      </c>
      <c r="S31" s="12">
        <v>0.993637648959806</v>
      </c>
      <c r="T31" s="12">
        <v>0.84156023472557795</v>
      </c>
      <c r="U31" s="12">
        <v>0.927741341617766</v>
      </c>
      <c r="V31" s="12">
        <v>0.96467610171441698</v>
      </c>
      <c r="W31" s="12">
        <v>0.980439535151306</v>
      </c>
    </row>
    <row r="32" spans="1:23" ht="15" hidden="1" thickBot="1" x14ac:dyDescent="0.35">
      <c r="A32" t="s">
        <v>56</v>
      </c>
      <c r="B32">
        <v>50</v>
      </c>
      <c r="C32" t="s">
        <v>66</v>
      </c>
      <c r="D32" s="13">
        <v>0.80390977443609002</v>
      </c>
      <c r="E32" s="13">
        <v>0.91318295739348398</v>
      </c>
      <c r="F32" s="13">
        <v>0.95037593984962399</v>
      </c>
      <c r="G32" s="13">
        <v>0.99137844611528803</v>
      </c>
      <c r="H32" s="13">
        <v>0.80500000000000005</v>
      </c>
      <c r="I32" s="13">
        <v>0.90139999999999998</v>
      </c>
      <c r="J32" s="13">
        <v>0.95420000000000005</v>
      </c>
      <c r="K32" s="13">
        <v>0.98970000000000002</v>
      </c>
      <c r="L32" s="13">
        <v>0.80538322993796296</v>
      </c>
      <c r="M32" s="13">
        <v>0.899439663798279</v>
      </c>
      <c r="N32" s="13">
        <v>0.95117070242145296</v>
      </c>
      <c r="O32" s="13">
        <v>0.99179507704622805</v>
      </c>
      <c r="P32" s="13">
        <v>0.80049999999999999</v>
      </c>
      <c r="Q32" s="13">
        <v>0.89629999999999999</v>
      </c>
      <c r="R32" s="13">
        <v>0.94889999999999997</v>
      </c>
      <c r="S32" s="13">
        <v>0.98570000000000002</v>
      </c>
      <c r="T32" s="13">
        <v>0.77310838445807795</v>
      </c>
      <c r="U32" s="13">
        <v>0.913087934560327</v>
      </c>
      <c r="V32" s="13">
        <v>0.94672801635991799</v>
      </c>
      <c r="W32" s="13">
        <v>0.99519427402863003</v>
      </c>
    </row>
    <row r="33" spans="1:23" ht="15" hidden="1" thickBot="1" x14ac:dyDescent="0.35">
      <c r="A33" t="s">
        <v>56</v>
      </c>
      <c r="B33">
        <v>100</v>
      </c>
      <c r="C33" t="s">
        <v>66</v>
      </c>
      <c r="D33" s="13">
        <v>0.79737973797379702</v>
      </c>
      <c r="E33" s="13">
        <v>0.896989698969897</v>
      </c>
      <c r="F33" s="13">
        <v>0.94889488948894896</v>
      </c>
      <c r="G33" s="13">
        <v>0.98879887988798898</v>
      </c>
      <c r="H33" s="13">
        <v>0.79810000000000003</v>
      </c>
      <c r="I33" s="13">
        <v>0.90259999999999996</v>
      </c>
      <c r="J33" s="13">
        <v>0.95289999999999997</v>
      </c>
      <c r="K33" s="13">
        <v>0.9899</v>
      </c>
      <c r="L33" s="13">
        <v>0.80268026802680303</v>
      </c>
      <c r="M33" s="13">
        <v>0.90359035903590401</v>
      </c>
      <c r="N33" s="13">
        <v>0.94879487948794905</v>
      </c>
      <c r="O33" s="13">
        <v>0.98989898989898994</v>
      </c>
      <c r="P33" s="13">
        <v>0.794753704445334</v>
      </c>
      <c r="Q33" s="13">
        <v>0.89207048458149796</v>
      </c>
      <c r="R33" s="13">
        <v>0.94643572286744104</v>
      </c>
      <c r="S33" s="13">
        <v>0.98888666399679603</v>
      </c>
      <c r="T33" s="13">
        <v>0.806327706459113</v>
      </c>
      <c r="U33" s="13">
        <v>0.90316385322955595</v>
      </c>
      <c r="V33" s="13">
        <v>0.95340139492570497</v>
      </c>
      <c r="W33" s="13">
        <v>0.98746588496916998</v>
      </c>
    </row>
    <row r="34" spans="1:23" ht="15" thickTop="1" x14ac:dyDescent="0.3">
      <c r="A34" s="1" t="s">
        <v>57</v>
      </c>
      <c r="B34" s="1">
        <v>20</v>
      </c>
      <c r="C34" s="1" t="s">
        <v>66</v>
      </c>
      <c r="D34" s="12">
        <v>0.78605962933118501</v>
      </c>
      <c r="E34" s="12">
        <v>0.87248186946011297</v>
      </c>
      <c r="F34" s="12">
        <v>0.91780821917808197</v>
      </c>
      <c r="G34" s="12">
        <v>0.96142224012892796</v>
      </c>
      <c r="H34" s="12">
        <v>0.792975785471283</v>
      </c>
      <c r="I34" s="12">
        <v>0.89813888332999803</v>
      </c>
      <c r="J34" s="12">
        <v>0.94566740044026398</v>
      </c>
      <c r="K34" s="12">
        <v>0.98669201520912597</v>
      </c>
      <c r="L34" s="12">
        <v>0.80059999999999998</v>
      </c>
      <c r="M34" s="12">
        <v>0.90029999999999999</v>
      </c>
      <c r="N34" s="12">
        <v>0.95079999999999998</v>
      </c>
      <c r="O34" s="12">
        <v>0.98909999999999998</v>
      </c>
      <c r="P34" s="12">
        <v>0.79562994888242999</v>
      </c>
      <c r="Q34" s="12">
        <v>0.90087200561291003</v>
      </c>
      <c r="R34" s="12">
        <v>0.94908289064849105</v>
      </c>
      <c r="S34" s="12">
        <v>0.99067856068958604</v>
      </c>
      <c r="T34" s="12">
        <v>0.842210386151798</v>
      </c>
      <c r="U34" s="12">
        <v>0.913226808699512</v>
      </c>
      <c r="V34" s="12">
        <v>0.94873501997336895</v>
      </c>
      <c r="W34" s="12">
        <v>0.97214824678206802</v>
      </c>
    </row>
    <row r="35" spans="1:23" x14ac:dyDescent="0.3">
      <c r="A35" t="s">
        <v>57</v>
      </c>
      <c r="B35">
        <v>50</v>
      </c>
      <c r="C35" t="s">
        <v>66</v>
      </c>
      <c r="D35" s="13">
        <v>0.79775955191038195</v>
      </c>
      <c r="E35" s="13">
        <v>0.89857971594318897</v>
      </c>
      <c r="F35" s="13">
        <v>0.94918983796759304</v>
      </c>
      <c r="G35" s="13">
        <v>0.98549709941988395</v>
      </c>
      <c r="H35" s="13">
        <v>0.80289999999999995</v>
      </c>
      <c r="I35" s="13">
        <v>0.90069999999999995</v>
      </c>
      <c r="J35" s="13">
        <v>0.94899999999999995</v>
      </c>
      <c r="K35" s="13">
        <v>0.99050000000000005</v>
      </c>
      <c r="L35" s="13">
        <v>0.79669999999999996</v>
      </c>
      <c r="M35" s="13">
        <v>0.89880000000000004</v>
      </c>
      <c r="N35" s="13">
        <v>0.95009999999999994</v>
      </c>
      <c r="O35" s="13">
        <v>0.9899</v>
      </c>
      <c r="P35" s="13">
        <v>0.79520000000000002</v>
      </c>
      <c r="Q35" s="13">
        <v>0.89780000000000004</v>
      </c>
      <c r="R35" s="13">
        <v>0.95020000000000004</v>
      </c>
      <c r="S35" s="13">
        <v>0.98960000000000004</v>
      </c>
      <c r="T35" s="13">
        <v>0.79618797902380001</v>
      </c>
      <c r="U35" s="13">
        <v>0.91720451795078695</v>
      </c>
      <c r="V35" s="13">
        <v>0.95088745461879798</v>
      </c>
      <c r="W35" s="13">
        <v>0.99374747882210601</v>
      </c>
    </row>
    <row r="36" spans="1:23" ht="15" thickBot="1" x14ac:dyDescent="0.35">
      <c r="A36" t="s">
        <v>57</v>
      </c>
      <c r="B36">
        <v>100</v>
      </c>
      <c r="C36" t="s">
        <v>66</v>
      </c>
      <c r="D36" s="13">
        <v>0.79959999999999998</v>
      </c>
      <c r="E36" s="13">
        <v>0.89980000000000004</v>
      </c>
      <c r="F36" s="13">
        <v>0.94620000000000004</v>
      </c>
      <c r="G36" s="13">
        <v>0.9889</v>
      </c>
      <c r="H36" s="13">
        <v>0.79410000000000003</v>
      </c>
      <c r="I36" s="13">
        <v>0.89759999999999995</v>
      </c>
      <c r="J36" s="13">
        <v>0.94469999999999998</v>
      </c>
      <c r="K36" s="13">
        <v>0.98939999999999995</v>
      </c>
      <c r="L36" s="13">
        <v>0.80269999999999997</v>
      </c>
      <c r="M36" s="13">
        <v>0.90259999999999996</v>
      </c>
      <c r="N36" s="13">
        <v>0.95040000000000002</v>
      </c>
      <c r="O36" s="13">
        <v>0.98880000000000001</v>
      </c>
      <c r="P36" s="13">
        <v>0.80259999999999998</v>
      </c>
      <c r="Q36" s="13">
        <v>0.90259999999999996</v>
      </c>
      <c r="R36" s="13">
        <v>0.95189999999999997</v>
      </c>
      <c r="S36" s="13">
        <v>0.99209999999999998</v>
      </c>
      <c r="T36" s="13">
        <v>0.80649363663693796</v>
      </c>
      <c r="U36" s="13">
        <v>0.90590239502956205</v>
      </c>
      <c r="V36" s="13">
        <v>0.95540635334201796</v>
      </c>
      <c r="W36" s="13">
        <v>0.98907706182984301</v>
      </c>
    </row>
    <row r="37" spans="1:23" ht="15.6" hidden="1" thickTop="1" thickBot="1" x14ac:dyDescent="0.35">
      <c r="A37" s="1" t="s">
        <v>31</v>
      </c>
      <c r="B37" s="1">
        <v>20</v>
      </c>
      <c r="C37" s="1" t="s">
        <v>66</v>
      </c>
      <c r="D37" s="12">
        <v>0.820166987797046</v>
      </c>
      <c r="E37" s="12">
        <v>0.88824662813102095</v>
      </c>
      <c r="F37" s="12">
        <v>0.92860201241704099</v>
      </c>
      <c r="G37" s="12">
        <v>0.95771783344037698</v>
      </c>
      <c r="H37" s="12">
        <v>0.79449173760641001</v>
      </c>
      <c r="I37" s="12">
        <v>0.90175262894341501</v>
      </c>
      <c r="J37" s="12">
        <v>0.94822233350024998</v>
      </c>
      <c r="K37" s="12">
        <v>0.98958437656484699</v>
      </c>
      <c r="L37" s="12">
        <v>0.8034</v>
      </c>
      <c r="M37" s="12">
        <v>0.90059999999999996</v>
      </c>
      <c r="N37" s="12">
        <v>0.94899999999999995</v>
      </c>
      <c r="O37" s="12">
        <v>0.98750000000000004</v>
      </c>
      <c r="P37" s="12">
        <v>0.80608974358974395</v>
      </c>
      <c r="Q37" s="12">
        <v>0.90144230769230804</v>
      </c>
      <c r="R37" s="12">
        <v>0.94961939102564097</v>
      </c>
      <c r="S37" s="12">
        <v>0.99048477564102599</v>
      </c>
      <c r="T37" s="12">
        <v>0.82632030914555599</v>
      </c>
      <c r="U37" s="12">
        <v>0.89566337483898695</v>
      </c>
      <c r="V37" s="12">
        <v>0.92851009016745401</v>
      </c>
      <c r="W37" s="12">
        <v>0.95792185487333603</v>
      </c>
    </row>
    <row r="38" spans="1:23" ht="15" hidden="1" thickBot="1" x14ac:dyDescent="0.35">
      <c r="A38" t="s">
        <v>31</v>
      </c>
      <c r="B38">
        <v>50</v>
      </c>
      <c r="C38" t="s">
        <v>66</v>
      </c>
      <c r="D38" s="13">
        <v>0.79457831325301198</v>
      </c>
      <c r="E38" s="13">
        <v>0.90803212851405601</v>
      </c>
      <c r="F38" s="13">
        <v>0.95030120481927705</v>
      </c>
      <c r="G38" s="13">
        <v>0.99096385542168697</v>
      </c>
      <c r="H38" s="13">
        <v>0.80130000000000001</v>
      </c>
      <c r="I38" s="13">
        <v>0.89700000000000002</v>
      </c>
      <c r="J38" s="13">
        <v>0.95020000000000004</v>
      </c>
      <c r="K38" s="13">
        <v>0.98919999999999997</v>
      </c>
      <c r="L38" s="13">
        <v>0.79930000000000001</v>
      </c>
      <c r="M38" s="13">
        <v>0.89810000000000001</v>
      </c>
      <c r="N38" s="13">
        <v>0.94810000000000005</v>
      </c>
      <c r="O38" s="13">
        <v>0.98809999999999998</v>
      </c>
      <c r="P38" s="13">
        <v>0.80330000000000001</v>
      </c>
      <c r="Q38" s="13">
        <v>0.8992</v>
      </c>
      <c r="R38" s="13">
        <v>0.95030000000000003</v>
      </c>
      <c r="S38" s="13">
        <v>0.98909999999999998</v>
      </c>
      <c r="T38" s="13">
        <v>0.79925799659079499</v>
      </c>
      <c r="U38" s="13">
        <v>0.90845282262107696</v>
      </c>
      <c r="V38" s="13">
        <v>0.94946355158929097</v>
      </c>
      <c r="W38" s="13">
        <v>0.99217888298405699</v>
      </c>
    </row>
    <row r="39" spans="1:23" ht="15" hidden="1" thickBot="1" x14ac:dyDescent="0.35">
      <c r="A39" t="s">
        <v>31</v>
      </c>
      <c r="B39">
        <v>100</v>
      </c>
      <c r="C39" t="s">
        <v>66</v>
      </c>
      <c r="D39" s="13">
        <v>0.80268160896537899</v>
      </c>
      <c r="E39" s="13">
        <v>0.90124074444666802</v>
      </c>
      <c r="F39" s="13">
        <v>0.95107064238543104</v>
      </c>
      <c r="G39" s="13">
        <v>0.98889333600160101</v>
      </c>
      <c r="H39" s="13">
        <v>0.79159999999999997</v>
      </c>
      <c r="I39" s="13">
        <v>0.89810000000000001</v>
      </c>
      <c r="J39" s="13">
        <v>0.94810000000000005</v>
      </c>
      <c r="K39" s="13">
        <v>0.98760000000000003</v>
      </c>
      <c r="L39" s="13">
        <v>0.80120000000000002</v>
      </c>
      <c r="M39" s="13">
        <v>0.90329999999999999</v>
      </c>
      <c r="N39" s="13">
        <v>0.95199999999999996</v>
      </c>
      <c r="O39" s="13">
        <v>0.99</v>
      </c>
      <c r="P39" s="13">
        <v>0.80049999999999999</v>
      </c>
      <c r="Q39" s="13">
        <v>0.90080000000000005</v>
      </c>
      <c r="R39" s="13">
        <v>0.94930000000000003</v>
      </c>
      <c r="S39" s="13">
        <v>0.98919999999999997</v>
      </c>
      <c r="T39" s="13">
        <v>0.80469999999999997</v>
      </c>
      <c r="U39" s="13">
        <v>0.90210000000000001</v>
      </c>
      <c r="V39" s="13">
        <v>0.95420000000000005</v>
      </c>
      <c r="W39" s="13">
        <v>0.99029999999999996</v>
      </c>
    </row>
    <row r="40" spans="1:23" ht="15.6" hidden="1" thickTop="1" thickBot="1" x14ac:dyDescent="0.35">
      <c r="A40" s="1" t="s">
        <v>56</v>
      </c>
      <c r="B40" s="1">
        <v>20</v>
      </c>
      <c r="C40" s="1" t="s">
        <v>84</v>
      </c>
      <c r="D40" s="12">
        <v>0.85109228711547003</v>
      </c>
      <c r="E40" s="12">
        <v>0.916518056174766</v>
      </c>
      <c r="F40" s="12">
        <v>0.94939812750780195</v>
      </c>
      <c r="G40" s="12">
        <v>0.97436469014712401</v>
      </c>
      <c r="H40" s="12">
        <v>0.80746720484359202</v>
      </c>
      <c r="I40" s="12">
        <v>0.89041372351160397</v>
      </c>
      <c r="J40" s="12">
        <v>0.95549949545913204</v>
      </c>
      <c r="K40" s="12">
        <v>0.99192734611503497</v>
      </c>
      <c r="L40" s="12">
        <v>0.75280558083105897</v>
      </c>
      <c r="M40" s="12">
        <v>0.88231725811343598</v>
      </c>
      <c r="N40" s="12">
        <v>0.95147103427358204</v>
      </c>
      <c r="O40" s="12">
        <v>0.98786775856839504</v>
      </c>
      <c r="P40" s="12">
        <v>0.80139016661555795</v>
      </c>
      <c r="Q40" s="12">
        <v>0.88357354594705095</v>
      </c>
      <c r="R40" s="12">
        <v>0.96350812634161298</v>
      </c>
      <c r="S40" s="12">
        <v>0.99488909332515596</v>
      </c>
      <c r="T40" s="12">
        <v>0.84535247135085101</v>
      </c>
      <c r="U40" s="12">
        <v>0.93841879847204501</v>
      </c>
      <c r="V40" s="12">
        <v>0.97638615580507004</v>
      </c>
      <c r="W40" s="12">
        <v>0.98958212756106001</v>
      </c>
    </row>
    <row r="41" spans="1:23" ht="15" hidden="1" thickBot="1" x14ac:dyDescent="0.35">
      <c r="A41" t="s">
        <v>56</v>
      </c>
      <c r="B41">
        <v>50</v>
      </c>
      <c r="C41" t="s">
        <v>84</v>
      </c>
      <c r="D41" s="13">
        <v>0.79454969101408202</v>
      </c>
      <c r="E41" s="13">
        <v>0.91672576233410996</v>
      </c>
      <c r="F41" s="13">
        <v>0.949447877621315</v>
      </c>
      <c r="G41" s="13">
        <v>0.99463073650086098</v>
      </c>
      <c r="H41" s="13">
        <v>0.80779999999999996</v>
      </c>
      <c r="I41" s="13">
        <v>0.90190000000000003</v>
      </c>
      <c r="J41" s="13">
        <v>0.95579999999999998</v>
      </c>
      <c r="K41" s="13">
        <v>0.98899999999999999</v>
      </c>
      <c r="L41" s="13">
        <v>0.803686543110395</v>
      </c>
      <c r="M41" s="13">
        <v>0.89182111200644598</v>
      </c>
      <c r="N41" s="13">
        <v>0.94510475423045903</v>
      </c>
      <c r="O41" s="13">
        <v>0.99254633360193401</v>
      </c>
      <c r="P41" s="13">
        <v>0.80220000000000002</v>
      </c>
      <c r="Q41" s="13">
        <v>0.8962</v>
      </c>
      <c r="R41" s="13">
        <v>0.95</v>
      </c>
      <c r="S41" s="13">
        <v>0.98499999999999999</v>
      </c>
      <c r="T41" s="13">
        <v>0.76728016359918205</v>
      </c>
      <c r="U41" s="13">
        <v>0.91278118609407</v>
      </c>
      <c r="V41" s="13">
        <v>0.94662576687116595</v>
      </c>
      <c r="W41" s="13">
        <v>0.99601226993865</v>
      </c>
    </row>
    <row r="42" spans="1:23" ht="15" hidden="1" thickBot="1" x14ac:dyDescent="0.35">
      <c r="A42" t="s">
        <v>56</v>
      </c>
      <c r="B42">
        <v>100</v>
      </c>
      <c r="C42" t="s">
        <v>84</v>
      </c>
      <c r="D42" s="13">
        <v>0.79885057471264398</v>
      </c>
      <c r="E42" s="13">
        <v>0.89927404718693305</v>
      </c>
      <c r="F42" s="13">
        <v>0.95119983867715296</v>
      </c>
      <c r="G42" s="13">
        <v>0.98759830611010302</v>
      </c>
      <c r="H42" s="13">
        <v>0.797711073185423</v>
      </c>
      <c r="I42" s="13">
        <v>0.89850416624836904</v>
      </c>
      <c r="J42" s="13">
        <v>0.95301676538500102</v>
      </c>
      <c r="K42" s="13">
        <v>0.99016163035839799</v>
      </c>
      <c r="L42" s="13">
        <v>0.80677591233537704</v>
      </c>
      <c r="M42" s="13">
        <v>0.90791193324620501</v>
      </c>
      <c r="N42" s="13">
        <v>0.94701920176937804</v>
      </c>
      <c r="O42" s="13">
        <v>0.98904192218759401</v>
      </c>
      <c r="P42" s="13">
        <v>0.79054054054054101</v>
      </c>
      <c r="Q42" s="13">
        <v>0.88967325534489705</v>
      </c>
      <c r="R42" s="13">
        <v>0.94655102864058105</v>
      </c>
      <c r="S42" s="13">
        <v>0.98870512303348101</v>
      </c>
      <c r="T42" s="13">
        <v>0.808119571803676</v>
      </c>
      <c r="U42" s="13">
        <v>0.90496869319329398</v>
      </c>
      <c r="V42" s="13">
        <v>0.954251666330034</v>
      </c>
      <c r="W42" s="13">
        <v>0.98707331852151103</v>
      </c>
    </row>
    <row r="43" spans="1:23" ht="15" thickTop="1" x14ac:dyDescent="0.3">
      <c r="A43" s="1" t="s">
        <v>57</v>
      </c>
      <c r="B43" s="1">
        <v>20</v>
      </c>
      <c r="C43" s="1" t="s">
        <v>84</v>
      </c>
      <c r="D43" s="12">
        <v>0.80053796813573397</v>
      </c>
      <c r="E43" s="12">
        <v>0.87078419201324198</v>
      </c>
      <c r="F43" s="12">
        <v>0.91020070349679305</v>
      </c>
      <c r="G43" s="12">
        <v>0.94744465135526601</v>
      </c>
      <c r="H43" s="12">
        <v>0.79783718834484796</v>
      </c>
      <c r="I43" s="12">
        <v>0.90037048162611399</v>
      </c>
      <c r="J43" s="12">
        <v>0.94953439471312695</v>
      </c>
      <c r="K43" s="12">
        <v>0.99108841493942101</v>
      </c>
      <c r="L43" s="12">
        <v>0.79005801160232003</v>
      </c>
      <c r="M43" s="12">
        <v>0.89627925585116996</v>
      </c>
      <c r="N43" s="12">
        <v>0.95169033806761305</v>
      </c>
      <c r="O43" s="12">
        <v>0.98899779955991196</v>
      </c>
      <c r="P43" s="12">
        <v>0.79939393939393899</v>
      </c>
      <c r="Q43" s="12">
        <v>0.89292929292929302</v>
      </c>
      <c r="R43" s="12">
        <v>0.95474747474747501</v>
      </c>
      <c r="S43" s="12">
        <v>0.993434343434343</v>
      </c>
      <c r="T43" s="12">
        <v>0.85047158960202396</v>
      </c>
      <c r="U43" s="12">
        <v>0.93018173452956099</v>
      </c>
      <c r="V43" s="12">
        <v>0.96756383712905403</v>
      </c>
      <c r="W43" s="12">
        <v>0.98378191856452701</v>
      </c>
    </row>
    <row r="44" spans="1:23" x14ac:dyDescent="0.3">
      <c r="A44" t="s">
        <v>57</v>
      </c>
      <c r="B44">
        <v>50</v>
      </c>
      <c r="C44" t="s">
        <v>84</v>
      </c>
      <c r="D44" s="13">
        <v>0.80330661322645303</v>
      </c>
      <c r="E44" s="13">
        <v>0.90230460921843703</v>
      </c>
      <c r="F44" s="13">
        <v>0.95200400801603202</v>
      </c>
      <c r="G44" s="13">
        <v>0.98847695390781598</v>
      </c>
      <c r="H44" s="13">
        <v>0.80169999999999997</v>
      </c>
      <c r="I44" s="13">
        <v>0.9012</v>
      </c>
      <c r="J44" s="13">
        <v>0.94869999999999999</v>
      </c>
      <c r="K44" s="13">
        <v>0.98950000000000005</v>
      </c>
      <c r="L44" s="13">
        <v>0.79533860158047398</v>
      </c>
      <c r="M44" s="13">
        <v>0.89346804041212402</v>
      </c>
      <c r="N44" s="13">
        <v>0.94748424527358199</v>
      </c>
      <c r="O44" s="13">
        <v>0.99029708912673797</v>
      </c>
      <c r="P44" s="13">
        <v>0.79869999999999997</v>
      </c>
      <c r="Q44" s="13">
        <v>0.89939999999999998</v>
      </c>
      <c r="R44" s="13">
        <v>0.9516</v>
      </c>
      <c r="S44" s="13">
        <v>0.98850000000000005</v>
      </c>
      <c r="T44" s="13">
        <v>0.78395251253709997</v>
      </c>
      <c r="U44" s="13">
        <v>0.91628287790400198</v>
      </c>
      <c r="V44" s="13">
        <v>0.94913519598812801</v>
      </c>
      <c r="W44" s="13">
        <v>0.99508750383788802</v>
      </c>
    </row>
    <row r="45" spans="1:23" ht="15" thickBot="1" x14ac:dyDescent="0.35">
      <c r="A45" t="s">
        <v>57</v>
      </c>
      <c r="B45">
        <v>100</v>
      </c>
      <c r="C45" t="s">
        <v>84</v>
      </c>
      <c r="D45" s="13">
        <v>0.79730000000000001</v>
      </c>
      <c r="E45" s="13">
        <v>0.89780000000000004</v>
      </c>
      <c r="F45" s="13">
        <v>0.94520000000000004</v>
      </c>
      <c r="G45" s="13">
        <v>0.98850000000000005</v>
      </c>
      <c r="H45" s="13">
        <v>0.79490000000000005</v>
      </c>
      <c r="I45" s="13">
        <v>0.89629999999999999</v>
      </c>
      <c r="J45" s="13">
        <v>0.94510000000000005</v>
      </c>
      <c r="K45" s="13">
        <v>0.9889</v>
      </c>
      <c r="L45" s="13">
        <v>0.80534160248074405</v>
      </c>
      <c r="M45" s="13">
        <v>0.90537161148344503</v>
      </c>
      <c r="N45" s="13">
        <v>0.94938481544463305</v>
      </c>
      <c r="O45" s="13">
        <v>0.98869660898269496</v>
      </c>
      <c r="P45" s="13">
        <v>0.80154509882612601</v>
      </c>
      <c r="Q45" s="13">
        <v>0.89806360991271195</v>
      </c>
      <c r="R45" s="13">
        <v>0.95214206882712904</v>
      </c>
      <c r="S45" s="13">
        <v>0.99147185712852404</v>
      </c>
      <c r="T45" s="13">
        <v>0.80945631264553997</v>
      </c>
      <c r="U45" s="13">
        <v>0.90584185481421498</v>
      </c>
      <c r="V45" s="13">
        <v>0.95697074010326999</v>
      </c>
      <c r="W45" s="13">
        <v>0.98805305254632003</v>
      </c>
    </row>
    <row r="46" spans="1:23" ht="15.6" hidden="1" thickTop="1" thickBot="1" x14ac:dyDescent="0.35">
      <c r="A46" s="1" t="s">
        <v>31</v>
      </c>
      <c r="B46" s="1">
        <v>20</v>
      </c>
      <c r="C46" s="1" t="s">
        <v>84</v>
      </c>
      <c r="D46" s="12">
        <v>0.838451117633777</v>
      </c>
      <c r="E46" s="12">
        <v>0.91352449762926202</v>
      </c>
      <c r="F46" s="12">
        <v>0.95405283359674897</v>
      </c>
      <c r="G46" s="12">
        <v>0.97629261684353097</v>
      </c>
      <c r="H46" s="12">
        <v>0.79785205259460001</v>
      </c>
      <c r="I46" s="12">
        <v>0.89340560072267405</v>
      </c>
      <c r="J46" s="12">
        <v>0.95423065341764501</v>
      </c>
      <c r="K46" s="12">
        <v>0.99237177556960798</v>
      </c>
      <c r="L46" s="12">
        <v>0.79187105816397996</v>
      </c>
      <c r="M46" s="12">
        <v>0.89658624486935601</v>
      </c>
      <c r="N46" s="12">
        <v>0.94974471919111003</v>
      </c>
      <c r="O46" s="12">
        <v>0.98728601461607801</v>
      </c>
      <c r="P46" s="12">
        <v>0.80500552819378801</v>
      </c>
      <c r="Q46" s="12">
        <v>0.89526585586491103</v>
      </c>
      <c r="R46" s="12">
        <v>0.95406573524977401</v>
      </c>
      <c r="S46" s="12">
        <v>0.99346668006834904</v>
      </c>
      <c r="T46" s="12">
        <v>0.84871593585286498</v>
      </c>
      <c r="U46" s="12">
        <v>0.91903106425928005</v>
      </c>
      <c r="V46" s="12">
        <v>0.95312324772905699</v>
      </c>
      <c r="W46" s="12">
        <v>0.97600089716272298</v>
      </c>
    </row>
    <row r="47" spans="1:23" ht="15" hidden="1" thickBot="1" x14ac:dyDescent="0.35">
      <c r="A47" t="s">
        <v>31</v>
      </c>
      <c r="B47">
        <v>50</v>
      </c>
      <c r="C47" t="s">
        <v>84</v>
      </c>
      <c r="D47" s="13">
        <v>0.784135107471853</v>
      </c>
      <c r="E47" s="13">
        <v>0.91218014329580299</v>
      </c>
      <c r="F47" s="13">
        <v>0.94687819856704203</v>
      </c>
      <c r="G47" s="13">
        <v>0.99355168884339795</v>
      </c>
      <c r="H47" s="13">
        <v>0.80520000000000003</v>
      </c>
      <c r="I47" s="13">
        <v>0.89749999999999996</v>
      </c>
      <c r="J47" s="13">
        <v>0.95040000000000002</v>
      </c>
      <c r="K47" s="13">
        <v>0.98880000000000001</v>
      </c>
      <c r="L47" s="13">
        <v>0.79653722978382702</v>
      </c>
      <c r="M47" s="13">
        <v>0.89351481184948001</v>
      </c>
      <c r="N47" s="13">
        <v>0.94555644515612502</v>
      </c>
      <c r="O47" s="13">
        <v>0.98869095276220997</v>
      </c>
      <c r="P47" s="13">
        <v>0.80630000000000002</v>
      </c>
      <c r="Q47" s="13">
        <v>0.89880000000000004</v>
      </c>
      <c r="R47" s="13">
        <v>0.95140000000000002</v>
      </c>
      <c r="S47" s="13">
        <v>0.98850000000000005</v>
      </c>
      <c r="T47" s="13">
        <v>0.78843226788432297</v>
      </c>
      <c r="U47" s="13">
        <v>0.90979198376458603</v>
      </c>
      <c r="V47" s="13">
        <v>0.946727549467276</v>
      </c>
      <c r="W47" s="13">
        <v>0.99421613394216102</v>
      </c>
    </row>
    <row r="48" spans="1:23" ht="15" hidden="1" thickBot="1" x14ac:dyDescent="0.35">
      <c r="A48" t="s">
        <v>31</v>
      </c>
      <c r="B48">
        <v>100</v>
      </c>
      <c r="C48" t="s">
        <v>84</v>
      </c>
      <c r="D48" s="13">
        <v>0.80422206434588495</v>
      </c>
      <c r="E48" s="13">
        <v>0.90155282655028901</v>
      </c>
      <c r="F48" s="13">
        <v>0.95189282452045099</v>
      </c>
      <c r="G48" s="13">
        <v>0.98751649243885098</v>
      </c>
      <c r="H48" s="13">
        <v>0.79256438520893902</v>
      </c>
      <c r="I48" s="13">
        <v>0.89578114039482903</v>
      </c>
      <c r="J48" s="13">
        <v>0.948992885058623</v>
      </c>
      <c r="K48" s="13">
        <v>0.98697264254935402</v>
      </c>
      <c r="L48" s="13">
        <v>0.80364291433146495</v>
      </c>
      <c r="M48" s="13">
        <v>0.90722578062449999</v>
      </c>
      <c r="N48" s="13">
        <v>0.95076060848678901</v>
      </c>
      <c r="O48" s="13">
        <v>0.98919135308246597</v>
      </c>
      <c r="P48" s="13">
        <v>0.80108281531983105</v>
      </c>
      <c r="Q48" s="13">
        <v>0.89673150190495299</v>
      </c>
      <c r="R48" s="13">
        <v>0.95117304992981799</v>
      </c>
      <c r="S48" s="13">
        <v>0.98847002205734902</v>
      </c>
      <c r="T48" s="13">
        <v>0.80696807975027696</v>
      </c>
      <c r="U48" s="13">
        <v>0.90303091330178198</v>
      </c>
      <c r="V48" s="13">
        <v>0.95649984895780904</v>
      </c>
      <c r="W48" s="13">
        <v>0.98932635182761097</v>
      </c>
    </row>
    <row r="49" spans="1:23" ht="15.6" hidden="1" thickTop="1" thickBot="1" x14ac:dyDescent="0.35">
      <c r="A49" s="1" t="s">
        <v>56</v>
      </c>
      <c r="B49" s="1">
        <v>20</v>
      </c>
      <c r="C49" s="1" t="s">
        <v>85</v>
      </c>
      <c r="D49" s="12">
        <v>0.79820000000000002</v>
      </c>
      <c r="E49" s="12">
        <v>0.86380000000000001</v>
      </c>
      <c r="F49" s="12">
        <v>0.89710000000000001</v>
      </c>
      <c r="G49" s="12">
        <v>0.92849999999999999</v>
      </c>
      <c r="H49" s="12">
        <v>0.83709999999999996</v>
      </c>
      <c r="I49" s="12">
        <v>0.92669999999999997</v>
      </c>
      <c r="J49" s="12">
        <v>0.96379999999999999</v>
      </c>
      <c r="K49" s="12">
        <v>0.99119999999999997</v>
      </c>
      <c r="L49" s="12">
        <v>0.83440000000000003</v>
      </c>
      <c r="M49" s="12">
        <v>0.92500000000000004</v>
      </c>
      <c r="N49" s="12">
        <v>0.96360000000000001</v>
      </c>
      <c r="O49" s="12">
        <v>0.99529999999999996</v>
      </c>
      <c r="P49" s="12">
        <v>0.82754826447934404</v>
      </c>
      <c r="Q49" s="12">
        <v>0.93307992397719297</v>
      </c>
      <c r="R49" s="12">
        <v>0.96548964689406802</v>
      </c>
      <c r="S49" s="12">
        <v>0.99379813944183304</v>
      </c>
      <c r="T49" s="12">
        <v>0.80968753160076901</v>
      </c>
      <c r="U49" s="12">
        <v>0.84346243300637103</v>
      </c>
      <c r="V49" s="12">
        <v>0.86864192537162499</v>
      </c>
      <c r="W49" s="12">
        <v>0.88755182526039</v>
      </c>
    </row>
    <row r="50" spans="1:23" ht="15" hidden="1" thickBot="1" x14ac:dyDescent="0.35">
      <c r="A50" t="s">
        <v>56</v>
      </c>
      <c r="B50">
        <v>50</v>
      </c>
      <c r="C50" t="s">
        <v>85</v>
      </c>
      <c r="D50" s="13">
        <v>0.82010000000000005</v>
      </c>
      <c r="E50" s="13">
        <v>0.91690000000000005</v>
      </c>
      <c r="F50" s="13">
        <v>0.96</v>
      </c>
      <c r="G50" s="13">
        <v>0.98799999999999999</v>
      </c>
      <c r="H50" s="13">
        <v>0.82379999999999998</v>
      </c>
      <c r="I50" s="13">
        <v>0.91490000000000005</v>
      </c>
      <c r="J50" s="13">
        <v>0.96150000000000002</v>
      </c>
      <c r="K50" s="13">
        <v>0.99360000000000004</v>
      </c>
      <c r="L50" s="13">
        <v>0.8226</v>
      </c>
      <c r="M50" s="13">
        <v>0.91900000000000004</v>
      </c>
      <c r="N50" s="13">
        <v>0.96220000000000006</v>
      </c>
      <c r="O50" s="13">
        <v>0.99380000000000002</v>
      </c>
      <c r="P50" s="13">
        <v>0.8125</v>
      </c>
      <c r="Q50" s="13">
        <v>0.90859999999999996</v>
      </c>
      <c r="R50" s="13">
        <v>0.95760000000000001</v>
      </c>
      <c r="S50" s="13">
        <v>0.99150000000000005</v>
      </c>
      <c r="T50" s="13">
        <v>0.81409100020044101</v>
      </c>
      <c r="U50" s="13">
        <v>0.92423331328923597</v>
      </c>
      <c r="V50" s="13">
        <v>0.95199438765283595</v>
      </c>
      <c r="W50" s="13">
        <v>0.98827420324714399</v>
      </c>
    </row>
    <row r="51" spans="1:23" ht="15" hidden="1" thickBot="1" x14ac:dyDescent="0.35">
      <c r="A51" t="s">
        <v>56</v>
      </c>
      <c r="B51">
        <v>100</v>
      </c>
      <c r="C51" t="s">
        <v>85</v>
      </c>
      <c r="D51" s="13">
        <v>0.80669999999999997</v>
      </c>
      <c r="E51" s="13">
        <v>0.90700000000000003</v>
      </c>
      <c r="F51" s="13">
        <v>0.95269999999999999</v>
      </c>
      <c r="G51" s="13">
        <v>0.99109999999999998</v>
      </c>
      <c r="H51" s="13">
        <v>0.8115</v>
      </c>
      <c r="I51" s="13">
        <v>0.91169999999999995</v>
      </c>
      <c r="J51" s="13">
        <v>0.95750000000000002</v>
      </c>
      <c r="K51" s="13">
        <v>0.99229999999999996</v>
      </c>
      <c r="L51" s="13">
        <v>0.81120000000000003</v>
      </c>
      <c r="M51" s="13">
        <v>0.9093</v>
      </c>
      <c r="N51" s="13">
        <v>0.95399999999999996</v>
      </c>
      <c r="O51" s="13">
        <v>0.99029999999999996</v>
      </c>
      <c r="P51" s="13">
        <v>0.80710000000000004</v>
      </c>
      <c r="Q51" s="13">
        <v>0.90229999999999999</v>
      </c>
      <c r="R51" s="13">
        <v>0.95079999999999998</v>
      </c>
      <c r="S51" s="13">
        <v>0.99129999999999996</v>
      </c>
      <c r="T51" s="13">
        <v>0.81172468987595003</v>
      </c>
      <c r="U51" s="13">
        <v>0.90786314525810297</v>
      </c>
      <c r="V51" s="13">
        <v>0.954481792717087</v>
      </c>
      <c r="W51" s="13">
        <v>0.99029611844737897</v>
      </c>
    </row>
    <row r="52" spans="1:23" ht="15" thickTop="1" x14ac:dyDescent="0.3">
      <c r="A52" s="1" t="s">
        <v>57</v>
      </c>
      <c r="B52" s="1">
        <v>20</v>
      </c>
      <c r="C52" s="1" t="s">
        <v>85</v>
      </c>
      <c r="D52" s="12">
        <v>0.74019999999999997</v>
      </c>
      <c r="E52" s="12">
        <v>0.85609999999999997</v>
      </c>
      <c r="F52" s="12">
        <v>0.92459999999999998</v>
      </c>
      <c r="G52" s="12">
        <v>0.98519999999999996</v>
      </c>
      <c r="H52" s="12">
        <v>0.82530000000000003</v>
      </c>
      <c r="I52" s="12">
        <v>0.91810000000000003</v>
      </c>
      <c r="J52" s="12">
        <v>0.96050000000000002</v>
      </c>
      <c r="K52" s="12">
        <v>0.99099999999999999</v>
      </c>
      <c r="L52" s="12">
        <v>0.83220000000000005</v>
      </c>
      <c r="M52" s="12">
        <v>0.92220000000000002</v>
      </c>
      <c r="N52" s="12">
        <v>0.96519999999999995</v>
      </c>
      <c r="O52" s="12">
        <v>0.99490000000000001</v>
      </c>
      <c r="P52" s="12">
        <v>0.82940000000000003</v>
      </c>
      <c r="Q52" s="12">
        <v>0.92520000000000002</v>
      </c>
      <c r="R52" s="12">
        <v>0.96419999999999995</v>
      </c>
      <c r="S52" s="12">
        <v>0.99160000000000004</v>
      </c>
      <c r="T52" s="12">
        <v>0.79875975195038995</v>
      </c>
      <c r="U52" s="12">
        <v>0.85077015403080603</v>
      </c>
      <c r="V52" s="12">
        <v>0.87977595519103802</v>
      </c>
      <c r="W52" s="12">
        <v>0.90318063612722499</v>
      </c>
    </row>
    <row r="53" spans="1:23" x14ac:dyDescent="0.3">
      <c r="A53" t="s">
        <v>57</v>
      </c>
      <c r="B53">
        <v>50</v>
      </c>
      <c r="C53" t="s">
        <v>85</v>
      </c>
      <c r="D53" s="13">
        <v>0.78480000000000005</v>
      </c>
      <c r="E53" s="13">
        <v>0.8931</v>
      </c>
      <c r="F53" s="13">
        <v>0.94589999999999996</v>
      </c>
      <c r="G53" s="13">
        <v>0.98870000000000002</v>
      </c>
      <c r="H53" s="13">
        <v>0.82099999999999995</v>
      </c>
      <c r="I53" s="13">
        <v>0.91290000000000004</v>
      </c>
      <c r="J53" s="13">
        <v>0.95669999999999999</v>
      </c>
      <c r="K53" s="13">
        <v>0.99109999999999998</v>
      </c>
      <c r="L53" s="13">
        <v>0.81330000000000002</v>
      </c>
      <c r="M53" s="13">
        <v>0.91400000000000003</v>
      </c>
      <c r="N53" s="13">
        <v>0.95720000000000005</v>
      </c>
      <c r="O53" s="13">
        <v>0.99239999999999995</v>
      </c>
      <c r="P53" s="13">
        <v>0.81499999999999995</v>
      </c>
      <c r="Q53" s="13">
        <v>0.91200000000000003</v>
      </c>
      <c r="R53" s="13">
        <v>0.95750000000000002</v>
      </c>
      <c r="S53" s="13">
        <v>0.99350000000000005</v>
      </c>
      <c r="T53" s="13">
        <v>0.8165</v>
      </c>
      <c r="U53" s="13">
        <v>0.92230000000000001</v>
      </c>
      <c r="V53" s="13">
        <v>0.95830000000000004</v>
      </c>
      <c r="W53" s="13">
        <v>0.98809999999999998</v>
      </c>
    </row>
    <row r="54" spans="1:23" ht="15" thickBot="1" x14ac:dyDescent="0.35">
      <c r="A54" t="s">
        <v>57</v>
      </c>
      <c r="B54">
        <v>100</v>
      </c>
      <c r="C54" t="s">
        <v>85</v>
      </c>
      <c r="D54" s="13">
        <v>0.80910000000000004</v>
      </c>
      <c r="E54" s="13">
        <v>0.9042</v>
      </c>
      <c r="F54" s="13">
        <v>0.95169999999999999</v>
      </c>
      <c r="G54" s="13">
        <v>0.99099999999999999</v>
      </c>
      <c r="H54" s="13">
        <v>0.80349999999999999</v>
      </c>
      <c r="I54" s="13">
        <v>0.90190000000000003</v>
      </c>
      <c r="J54" s="13">
        <v>0.9496</v>
      </c>
      <c r="K54" s="13">
        <v>0.99009999999999998</v>
      </c>
      <c r="L54" s="13">
        <v>0.81389999999999996</v>
      </c>
      <c r="M54" s="13">
        <v>0.90910000000000002</v>
      </c>
      <c r="N54" s="13">
        <v>0.95609999999999995</v>
      </c>
      <c r="O54" s="13">
        <v>0.98980000000000001</v>
      </c>
      <c r="P54" s="13">
        <v>0.81320000000000003</v>
      </c>
      <c r="Q54" s="13">
        <v>0.91010000000000002</v>
      </c>
      <c r="R54" s="13">
        <v>0.95640000000000003</v>
      </c>
      <c r="S54" s="13">
        <v>0.99370000000000003</v>
      </c>
      <c r="T54" s="13">
        <v>0.81269999999999998</v>
      </c>
      <c r="U54" s="13">
        <v>0.91169999999999995</v>
      </c>
      <c r="V54" s="13">
        <v>0.95740000000000003</v>
      </c>
      <c r="W54" s="13">
        <v>0.9919</v>
      </c>
    </row>
    <row r="55" spans="1:23" ht="15.6" hidden="1" thickTop="1" thickBot="1" x14ac:dyDescent="0.35">
      <c r="A55" s="1" t="s">
        <v>31</v>
      </c>
      <c r="B55" s="1">
        <v>20</v>
      </c>
      <c r="C55" s="1" t="s">
        <v>85</v>
      </c>
      <c r="D55" s="12">
        <v>0.78959999999999997</v>
      </c>
      <c r="E55" s="12">
        <v>0.85950000000000004</v>
      </c>
      <c r="F55" s="12">
        <v>0.89459999999999995</v>
      </c>
      <c r="G55" s="12">
        <v>0.92649999999999999</v>
      </c>
      <c r="H55" s="12">
        <v>0.82550000000000001</v>
      </c>
      <c r="I55" s="12">
        <v>0.92479999999999996</v>
      </c>
      <c r="J55" s="12">
        <v>0.96319999999999995</v>
      </c>
      <c r="K55" s="12">
        <v>0.99060000000000004</v>
      </c>
      <c r="L55" s="12">
        <v>0.84030000000000005</v>
      </c>
      <c r="M55" s="12">
        <v>0.92930000000000001</v>
      </c>
      <c r="N55" s="12">
        <v>0.96819999999999995</v>
      </c>
      <c r="O55" s="12">
        <v>0.99509999999999998</v>
      </c>
      <c r="P55" s="12">
        <v>0.83650000000000002</v>
      </c>
      <c r="Q55" s="12">
        <v>0.92559999999999998</v>
      </c>
      <c r="R55" s="12">
        <v>0.96599999999999997</v>
      </c>
      <c r="S55" s="12">
        <v>0.99309999999999998</v>
      </c>
      <c r="T55" s="12">
        <v>0.79179999999999995</v>
      </c>
      <c r="U55" s="12">
        <v>0.85819999999999996</v>
      </c>
      <c r="V55" s="12">
        <v>0.89170000000000005</v>
      </c>
      <c r="W55" s="12">
        <v>0.92559999999999998</v>
      </c>
    </row>
    <row r="56" spans="1:23" ht="15" hidden="1" thickBot="1" x14ac:dyDescent="0.35">
      <c r="A56" t="s">
        <v>31</v>
      </c>
      <c r="B56">
        <v>50</v>
      </c>
      <c r="C56" t="s">
        <v>85</v>
      </c>
      <c r="D56" s="13">
        <v>0.81599999999999995</v>
      </c>
      <c r="E56" s="13">
        <v>0.91239999999999999</v>
      </c>
      <c r="F56" s="13">
        <v>0.95979999999999999</v>
      </c>
      <c r="G56" s="13">
        <v>0.98670000000000002</v>
      </c>
      <c r="H56" s="13">
        <v>0.8175</v>
      </c>
      <c r="I56" s="13">
        <v>0.91169999999999995</v>
      </c>
      <c r="J56" s="13">
        <v>0.95740000000000003</v>
      </c>
      <c r="K56" s="13">
        <v>0.99270000000000003</v>
      </c>
      <c r="L56" s="13">
        <v>0.81740000000000002</v>
      </c>
      <c r="M56" s="13">
        <v>0.91449999999999998</v>
      </c>
      <c r="N56" s="13">
        <v>0.95840000000000003</v>
      </c>
      <c r="O56" s="13">
        <v>0.9909</v>
      </c>
      <c r="P56" s="13">
        <v>0.81950000000000001</v>
      </c>
      <c r="Q56" s="13">
        <v>0.91290000000000004</v>
      </c>
      <c r="R56" s="13">
        <v>0.95979999999999999</v>
      </c>
      <c r="S56" s="13">
        <v>0.99239999999999995</v>
      </c>
      <c r="T56" s="13">
        <v>0.81459999999999999</v>
      </c>
      <c r="U56" s="13">
        <v>0.91549999999999998</v>
      </c>
      <c r="V56" s="13">
        <v>0.95920000000000005</v>
      </c>
      <c r="W56" s="13">
        <v>0.98980000000000001</v>
      </c>
    </row>
    <row r="57" spans="1:23" ht="15" hidden="1" thickBot="1" x14ac:dyDescent="0.35">
      <c r="A57" t="s">
        <v>31</v>
      </c>
      <c r="B57">
        <v>100</v>
      </c>
      <c r="C57" t="s">
        <v>85</v>
      </c>
      <c r="D57" s="13">
        <v>0.81299999999999994</v>
      </c>
      <c r="E57" s="13">
        <v>0.91180000000000005</v>
      </c>
      <c r="F57" s="13">
        <v>0.9556</v>
      </c>
      <c r="G57" s="13">
        <v>0.99099999999999999</v>
      </c>
      <c r="H57" s="13">
        <v>0.8024</v>
      </c>
      <c r="I57" s="13">
        <v>0.90559999999999996</v>
      </c>
      <c r="J57" s="13">
        <v>0.95450000000000002</v>
      </c>
      <c r="K57" s="13">
        <v>0.99009999999999998</v>
      </c>
      <c r="L57" s="13">
        <v>0.81100000000000005</v>
      </c>
      <c r="M57" s="13">
        <v>0.91059999999999997</v>
      </c>
      <c r="N57" s="13">
        <v>0.95630000000000004</v>
      </c>
      <c r="O57" s="13">
        <v>0.99199999999999999</v>
      </c>
      <c r="P57" s="13">
        <v>0.81369999999999998</v>
      </c>
      <c r="Q57" s="13">
        <v>0.90920000000000001</v>
      </c>
      <c r="R57" s="13">
        <v>0.95630000000000004</v>
      </c>
      <c r="S57" s="13">
        <v>0.99109999999999998</v>
      </c>
      <c r="T57" s="13">
        <v>0.81740000000000002</v>
      </c>
      <c r="U57" s="13">
        <v>0.91100000000000003</v>
      </c>
      <c r="V57" s="13">
        <v>0.95830000000000004</v>
      </c>
      <c r="W57" s="13">
        <v>0.99250000000000005</v>
      </c>
    </row>
    <row r="58" spans="1:23" ht="15.6" hidden="1" thickTop="1" thickBot="1" x14ac:dyDescent="0.35">
      <c r="A58" s="1" t="s">
        <v>56</v>
      </c>
      <c r="B58" s="1">
        <v>20</v>
      </c>
      <c r="C58" s="1" t="s">
        <v>72</v>
      </c>
      <c r="D58" s="12">
        <v>0.79949999999999999</v>
      </c>
      <c r="E58" s="12">
        <v>0.85299999999999998</v>
      </c>
      <c r="F58" s="12">
        <v>0.87849999999999995</v>
      </c>
      <c r="G58" s="12">
        <v>0.89890000000000003</v>
      </c>
      <c r="H58" s="12">
        <v>0.83335000500150003</v>
      </c>
      <c r="I58" s="12">
        <v>0.930679203761128</v>
      </c>
      <c r="J58" s="12">
        <v>0.96188856656997102</v>
      </c>
      <c r="K58" s="12">
        <v>0.99299789936981098</v>
      </c>
      <c r="L58" s="12">
        <v>0.84553008309140099</v>
      </c>
      <c r="M58" s="12">
        <v>0.92401641805986601</v>
      </c>
      <c r="N58" s="12">
        <v>0.96035639203123402</v>
      </c>
      <c r="O58" s="12">
        <v>0.99619581539693702</v>
      </c>
      <c r="P58" s="12">
        <v>0.81956477936731797</v>
      </c>
      <c r="Q58" s="12">
        <v>0.93511988716502104</v>
      </c>
      <c r="R58" s="12">
        <v>0.96504130566189805</v>
      </c>
      <c r="S58" s="12">
        <v>0.99455974209147702</v>
      </c>
      <c r="T58" s="12">
        <v>0.81712701509395202</v>
      </c>
      <c r="U58" s="12">
        <v>0.83612280521614102</v>
      </c>
      <c r="V58" s="12">
        <v>0.863641030906664</v>
      </c>
      <c r="W58" s="12">
        <v>0.87873498305780895</v>
      </c>
    </row>
    <row r="59" spans="1:23" ht="15" hidden="1" thickBot="1" x14ac:dyDescent="0.35">
      <c r="A59" t="s">
        <v>56</v>
      </c>
      <c r="B59">
        <v>50</v>
      </c>
      <c r="C59" t="s">
        <v>72</v>
      </c>
      <c r="D59" s="13">
        <v>0.82110000000000005</v>
      </c>
      <c r="E59" s="13">
        <v>0.92259999999999998</v>
      </c>
      <c r="F59" s="13">
        <v>0.95709999999999995</v>
      </c>
      <c r="G59" s="13">
        <v>0.9899</v>
      </c>
      <c r="H59" s="13">
        <v>0.82079999999999997</v>
      </c>
      <c r="I59" s="13">
        <v>0.91710000000000003</v>
      </c>
      <c r="J59" s="13">
        <v>0.96330000000000005</v>
      </c>
      <c r="K59" s="13">
        <v>0.99450000000000005</v>
      </c>
      <c r="L59" s="13">
        <v>0.81929157494496696</v>
      </c>
      <c r="M59" s="13">
        <v>0.922053231939163</v>
      </c>
      <c r="N59" s="13">
        <v>0.96477886732039198</v>
      </c>
      <c r="O59" s="13">
        <v>0.99379627776666002</v>
      </c>
      <c r="P59" s="13">
        <v>0.80869999999999997</v>
      </c>
      <c r="Q59" s="13">
        <v>0.91320000000000001</v>
      </c>
      <c r="R59" s="13">
        <v>0.96</v>
      </c>
      <c r="S59" s="13">
        <v>0.99280000000000002</v>
      </c>
      <c r="T59" s="13">
        <v>0.81694571283612405</v>
      </c>
      <c r="U59" s="13">
        <v>0.93221714865550498</v>
      </c>
      <c r="V59" s="13">
        <v>0.94500253678335899</v>
      </c>
      <c r="W59" s="13">
        <v>0.98883815322171498</v>
      </c>
    </row>
    <row r="60" spans="1:23" ht="15" hidden="1" thickBot="1" x14ac:dyDescent="0.35">
      <c r="A60" t="s">
        <v>56</v>
      </c>
      <c r="B60">
        <v>100</v>
      </c>
      <c r="C60" t="s">
        <v>72</v>
      </c>
      <c r="D60" s="13">
        <v>0.80569999999999997</v>
      </c>
      <c r="E60" s="13">
        <v>0.90439999999999998</v>
      </c>
      <c r="F60" s="13">
        <v>0.95330000000000004</v>
      </c>
      <c r="G60" s="13">
        <v>0.99080000000000001</v>
      </c>
      <c r="H60" s="13">
        <v>0.80989999999999995</v>
      </c>
      <c r="I60" s="13">
        <v>0.91269999999999996</v>
      </c>
      <c r="J60" s="13">
        <v>0.9577</v>
      </c>
      <c r="K60" s="13">
        <v>0.99260000000000004</v>
      </c>
      <c r="L60" s="13">
        <v>0.810981098109811</v>
      </c>
      <c r="M60" s="13">
        <v>0.90859085908590898</v>
      </c>
      <c r="N60" s="13">
        <v>0.95549554955495597</v>
      </c>
      <c r="O60" s="13">
        <v>0.99129912991299096</v>
      </c>
      <c r="P60" s="13">
        <v>0.80208333333333304</v>
      </c>
      <c r="Q60" s="13">
        <v>0.90564903846153799</v>
      </c>
      <c r="R60" s="13">
        <v>0.95332532051282004</v>
      </c>
      <c r="S60" s="13">
        <v>0.99078525641025605</v>
      </c>
      <c r="T60" s="13">
        <v>0.81066046323454999</v>
      </c>
      <c r="U60" s="13">
        <v>0.90522908870233598</v>
      </c>
      <c r="V60" s="13">
        <v>0.95428340244765897</v>
      </c>
      <c r="W60" s="13">
        <v>0.98867199352685298</v>
      </c>
    </row>
    <row r="61" spans="1:23" ht="15" thickTop="1" x14ac:dyDescent="0.3">
      <c r="A61" s="1" t="s">
        <v>57</v>
      </c>
      <c r="B61" s="1">
        <v>20</v>
      </c>
      <c r="C61" s="1" t="s">
        <v>72</v>
      </c>
      <c r="D61" s="12">
        <v>0.81289999999999996</v>
      </c>
      <c r="E61" s="12">
        <v>0.89270000000000005</v>
      </c>
      <c r="F61" s="12">
        <v>0.93120000000000003</v>
      </c>
      <c r="G61" s="12">
        <v>0.96299999999999997</v>
      </c>
      <c r="H61" s="12">
        <v>0.83050000000000002</v>
      </c>
      <c r="I61" s="12">
        <v>0.92020000000000002</v>
      </c>
      <c r="J61" s="12">
        <v>0.96430000000000005</v>
      </c>
      <c r="K61" s="12">
        <v>0.9919</v>
      </c>
      <c r="L61" s="12">
        <v>0.83899999999999997</v>
      </c>
      <c r="M61" s="12">
        <v>0.92830000000000001</v>
      </c>
      <c r="N61" s="12">
        <v>0.96640000000000004</v>
      </c>
      <c r="O61" s="12">
        <v>0.99570000000000003</v>
      </c>
      <c r="P61" s="12">
        <v>0.82730000000000004</v>
      </c>
      <c r="Q61" s="12">
        <v>0.92959999999999998</v>
      </c>
      <c r="R61" s="12">
        <v>0.96250000000000002</v>
      </c>
      <c r="S61" s="12">
        <v>0.99350000000000005</v>
      </c>
      <c r="T61" s="12">
        <v>0.81043179983857905</v>
      </c>
      <c r="U61" s="12">
        <v>0.84513720742534304</v>
      </c>
      <c r="V61" s="12">
        <v>0.87116626311541601</v>
      </c>
      <c r="W61" s="12">
        <v>0.88932606941081505</v>
      </c>
    </row>
    <row r="62" spans="1:23" x14ac:dyDescent="0.3">
      <c r="A62" t="s">
        <v>57</v>
      </c>
      <c r="B62">
        <v>50</v>
      </c>
      <c r="C62" t="s">
        <v>72</v>
      </c>
      <c r="D62" s="13">
        <v>0.81789999999999996</v>
      </c>
      <c r="E62" s="13">
        <v>0.91080000000000005</v>
      </c>
      <c r="F62" s="13">
        <v>0.95720000000000005</v>
      </c>
      <c r="G62" s="13">
        <v>0.98780000000000001</v>
      </c>
      <c r="H62" s="13">
        <v>0.82199999999999995</v>
      </c>
      <c r="I62" s="13">
        <v>0.91210000000000002</v>
      </c>
      <c r="J62" s="13">
        <v>0.9587</v>
      </c>
      <c r="K62" s="13">
        <v>0.99239999999999995</v>
      </c>
      <c r="L62" s="13">
        <v>0.81299999999999994</v>
      </c>
      <c r="M62" s="13">
        <v>0.91359999999999997</v>
      </c>
      <c r="N62" s="13">
        <v>0.95779999999999998</v>
      </c>
      <c r="O62" s="13">
        <v>0.99250000000000005</v>
      </c>
      <c r="P62" s="13">
        <v>0.81310000000000004</v>
      </c>
      <c r="Q62" s="13">
        <v>0.91439999999999999</v>
      </c>
      <c r="R62" s="13">
        <v>0.96040000000000003</v>
      </c>
      <c r="S62" s="13">
        <v>0.99329999999999996</v>
      </c>
      <c r="T62" s="13">
        <v>0.81946813848469602</v>
      </c>
      <c r="U62" s="13">
        <v>0.93035624686402396</v>
      </c>
      <c r="V62" s="13">
        <v>0.95193176116407396</v>
      </c>
      <c r="W62" s="13">
        <v>0.98966382338183601</v>
      </c>
    </row>
    <row r="63" spans="1:23" ht="15" thickBot="1" x14ac:dyDescent="0.35">
      <c r="A63" t="s">
        <v>57</v>
      </c>
      <c r="B63">
        <v>100</v>
      </c>
      <c r="C63" t="s">
        <v>72</v>
      </c>
      <c r="D63" s="13">
        <v>0.80869999999999997</v>
      </c>
      <c r="E63" s="13">
        <v>0.90739999999999998</v>
      </c>
      <c r="F63" s="13">
        <v>0.9516</v>
      </c>
      <c r="G63" s="13">
        <v>0.99029999999999996</v>
      </c>
      <c r="H63" s="13">
        <v>0.80400000000000005</v>
      </c>
      <c r="I63" s="13">
        <v>0.90529999999999999</v>
      </c>
      <c r="J63" s="13">
        <v>0.95089999999999997</v>
      </c>
      <c r="K63" s="13">
        <v>0.99109999999999998</v>
      </c>
      <c r="L63" s="13">
        <v>0.81269999999999998</v>
      </c>
      <c r="M63" s="13">
        <v>0.9103</v>
      </c>
      <c r="N63" s="13">
        <v>0.95520000000000005</v>
      </c>
      <c r="O63" s="13">
        <v>0.99129999999999996</v>
      </c>
      <c r="P63" s="13">
        <v>0.81369999999999998</v>
      </c>
      <c r="Q63" s="13">
        <v>0.91139999999999999</v>
      </c>
      <c r="R63" s="13">
        <v>0.95709999999999995</v>
      </c>
      <c r="S63" s="13">
        <v>0.99329999999999996</v>
      </c>
      <c r="T63" s="13">
        <v>0.81302605210420797</v>
      </c>
      <c r="U63" s="13">
        <v>0.908517034068136</v>
      </c>
      <c r="V63" s="13">
        <v>0.95851703406813604</v>
      </c>
      <c r="W63" s="13">
        <v>0.99068136272545104</v>
      </c>
    </row>
    <row r="64" spans="1:23" ht="15.6" hidden="1" thickTop="1" thickBot="1" x14ac:dyDescent="0.35">
      <c r="A64" s="1" t="s">
        <v>31</v>
      </c>
      <c r="B64" s="1">
        <v>20</v>
      </c>
      <c r="C64" s="1" t="s">
        <v>72</v>
      </c>
      <c r="D64" s="12">
        <v>0.80046032222555796</v>
      </c>
      <c r="E64" s="12">
        <v>0.85369758831181797</v>
      </c>
      <c r="F64" s="12">
        <v>0.88121685179625697</v>
      </c>
      <c r="G64" s="12">
        <v>0.90183128189732797</v>
      </c>
      <c r="H64" s="12">
        <v>0.82578257825782597</v>
      </c>
      <c r="I64" s="12">
        <v>0.92789278927892804</v>
      </c>
      <c r="J64" s="12">
        <v>0.96299629962996303</v>
      </c>
      <c r="K64" s="12">
        <v>0.99249924992499206</v>
      </c>
      <c r="L64" s="12">
        <v>0.84530000000000005</v>
      </c>
      <c r="M64" s="12">
        <v>0.92979999999999996</v>
      </c>
      <c r="N64" s="12">
        <v>0.96550000000000002</v>
      </c>
      <c r="O64" s="12">
        <v>0.99480000000000002</v>
      </c>
      <c r="P64" s="12">
        <v>0.83420000000000005</v>
      </c>
      <c r="Q64" s="12">
        <v>0.92900000000000005</v>
      </c>
      <c r="R64" s="12">
        <v>0.9637</v>
      </c>
      <c r="S64" s="12">
        <v>0.99399999999999999</v>
      </c>
      <c r="T64" s="12">
        <v>0.805385924516969</v>
      </c>
      <c r="U64" s="12">
        <v>0.85213735108619504</v>
      </c>
      <c r="V64" s="12">
        <v>0.87706477124837301</v>
      </c>
      <c r="W64" s="12">
        <v>0.89928921813995399</v>
      </c>
    </row>
    <row r="65" spans="1:23" ht="15" hidden="1" thickBot="1" x14ac:dyDescent="0.35">
      <c r="A65" t="s">
        <v>31</v>
      </c>
      <c r="B65">
        <v>50</v>
      </c>
      <c r="C65" t="s">
        <v>72</v>
      </c>
      <c r="D65" s="13">
        <v>0.81500750375187603</v>
      </c>
      <c r="E65" s="13">
        <v>0.91755877938969499</v>
      </c>
      <c r="F65" s="13">
        <v>0.95617808904452195</v>
      </c>
      <c r="G65" s="13">
        <v>0.98889444722361197</v>
      </c>
      <c r="H65" s="13">
        <v>0.81950000000000001</v>
      </c>
      <c r="I65" s="13">
        <v>0.91</v>
      </c>
      <c r="J65" s="13">
        <v>0.95879999999999999</v>
      </c>
      <c r="K65" s="13">
        <v>0.9929</v>
      </c>
      <c r="L65" s="13">
        <v>0.81540000000000001</v>
      </c>
      <c r="M65" s="13">
        <v>0.91479999999999995</v>
      </c>
      <c r="N65" s="13">
        <v>0.95699999999999996</v>
      </c>
      <c r="O65" s="13">
        <v>0.99170000000000003</v>
      </c>
      <c r="P65" s="13">
        <v>0.82050000000000001</v>
      </c>
      <c r="Q65" s="13">
        <v>0.91339999999999999</v>
      </c>
      <c r="R65" s="13">
        <v>0.95899999999999996</v>
      </c>
      <c r="S65" s="13">
        <v>0.99360000000000004</v>
      </c>
      <c r="T65" s="13">
        <v>0.818009004502251</v>
      </c>
      <c r="U65" s="13">
        <v>0.92106053026513302</v>
      </c>
      <c r="V65" s="13">
        <v>0.95587793896948503</v>
      </c>
      <c r="W65" s="13">
        <v>0.99089544772386196</v>
      </c>
    </row>
    <row r="66" spans="1:23" ht="15" hidden="1" thickBot="1" x14ac:dyDescent="0.35">
      <c r="A66" t="s">
        <v>31</v>
      </c>
      <c r="B66">
        <v>100</v>
      </c>
      <c r="C66" t="s">
        <v>72</v>
      </c>
      <c r="D66" s="13">
        <v>0.80982392957182903</v>
      </c>
      <c r="E66" s="13">
        <v>0.90706282513005199</v>
      </c>
      <c r="F66" s="13">
        <v>0.95478191276510604</v>
      </c>
      <c r="G66" s="13">
        <v>0.99109643857542995</v>
      </c>
      <c r="H66" s="13">
        <v>0.80469999999999997</v>
      </c>
      <c r="I66" s="13">
        <v>0.90710000000000002</v>
      </c>
      <c r="J66" s="13">
        <v>0.95389999999999997</v>
      </c>
      <c r="K66" s="13">
        <v>0.9889</v>
      </c>
      <c r="L66" s="13">
        <v>0.81340000000000001</v>
      </c>
      <c r="M66" s="13">
        <v>0.91020000000000001</v>
      </c>
      <c r="N66" s="13">
        <v>0.95799999999999996</v>
      </c>
      <c r="O66" s="13">
        <v>0.9919</v>
      </c>
      <c r="P66" s="13">
        <v>0.8115</v>
      </c>
      <c r="Q66" s="13">
        <v>0.90890000000000004</v>
      </c>
      <c r="R66" s="13">
        <v>0.95520000000000005</v>
      </c>
      <c r="S66" s="13">
        <v>0.99039999999999995</v>
      </c>
      <c r="T66" s="13">
        <v>0.81259999999999999</v>
      </c>
      <c r="U66" s="13">
        <v>0.90820000000000001</v>
      </c>
      <c r="V66" s="13">
        <v>0.95830000000000004</v>
      </c>
      <c r="W66" s="13">
        <v>0.99229999999999996</v>
      </c>
    </row>
    <row r="67" spans="1:23" ht="15.6" hidden="1" thickTop="1" thickBot="1" x14ac:dyDescent="0.35">
      <c r="A67" s="1" t="s">
        <v>56</v>
      </c>
      <c r="B67" s="1">
        <v>20</v>
      </c>
      <c r="C67" s="1" t="s">
        <v>86</v>
      </c>
      <c r="D67" s="12">
        <v>0.81093325279371797</v>
      </c>
      <c r="E67" s="12">
        <v>0.84667270713782306</v>
      </c>
      <c r="F67" s="12">
        <v>0.869123124937078</v>
      </c>
      <c r="G67" s="12">
        <v>0.88583509513742098</v>
      </c>
      <c r="H67" s="12">
        <v>0.82447665056360697</v>
      </c>
      <c r="I67" s="12">
        <v>0.93176328502415495</v>
      </c>
      <c r="J67" s="12">
        <v>0.96095008051529796</v>
      </c>
      <c r="K67" s="12">
        <v>0.99426328502415495</v>
      </c>
      <c r="L67" s="12">
        <v>0.85858585858585901</v>
      </c>
      <c r="M67" s="12">
        <v>0.91323232323232295</v>
      </c>
      <c r="N67" s="12">
        <v>0.95828282828282796</v>
      </c>
      <c r="O67" s="12">
        <v>0.99656565656565699</v>
      </c>
      <c r="P67" s="12">
        <v>0.81118240146654497</v>
      </c>
      <c r="Q67" s="12">
        <v>0.93482024646094297</v>
      </c>
      <c r="R67" s="12">
        <v>0.96425297891842299</v>
      </c>
      <c r="S67" s="12">
        <v>0.99521336184947595</v>
      </c>
      <c r="T67" s="12">
        <v>0.82337875217703105</v>
      </c>
      <c r="U67" s="12">
        <v>0.83270156746235002</v>
      </c>
      <c r="V67" s="12">
        <v>0.86323122630878002</v>
      </c>
      <c r="W67" s="12">
        <v>0.87542260014342799</v>
      </c>
    </row>
    <row r="68" spans="1:23" ht="15" hidden="1" thickBot="1" x14ac:dyDescent="0.35">
      <c r="A68" t="s">
        <v>56</v>
      </c>
      <c r="B68">
        <v>50</v>
      </c>
      <c r="C68" t="s">
        <v>86</v>
      </c>
      <c r="D68" s="13">
        <v>0.82258390618681798</v>
      </c>
      <c r="E68" s="13">
        <v>0.93186413263242995</v>
      </c>
      <c r="F68" s="13">
        <v>0.95127375657096602</v>
      </c>
      <c r="G68" s="13">
        <v>0.99150828952688996</v>
      </c>
      <c r="H68" s="13">
        <v>0.8165</v>
      </c>
      <c r="I68" s="13">
        <v>0.92069999999999996</v>
      </c>
      <c r="J68" s="13">
        <v>0.96599999999999997</v>
      </c>
      <c r="K68" s="13">
        <v>0.99519999999999997</v>
      </c>
      <c r="L68" s="13">
        <v>0.80943738656987296</v>
      </c>
      <c r="M68" s="13">
        <v>0.926698931236136</v>
      </c>
      <c r="N68" s="13">
        <v>0.96723129663238605</v>
      </c>
      <c r="O68" s="13">
        <v>0.99405122000403301</v>
      </c>
      <c r="P68" s="13">
        <v>0.80720000000000003</v>
      </c>
      <c r="Q68" s="13">
        <v>0.91690000000000005</v>
      </c>
      <c r="R68" s="13">
        <v>0.96230000000000004</v>
      </c>
      <c r="S68" s="13">
        <v>0.99329999999999996</v>
      </c>
      <c r="T68" s="13">
        <v>0.820491969912584</v>
      </c>
      <c r="U68" s="13">
        <v>0.93586094734702197</v>
      </c>
      <c r="V68" s="13">
        <v>0.94145151453547504</v>
      </c>
      <c r="W68" s="13">
        <v>0.98892051229924804</v>
      </c>
    </row>
    <row r="69" spans="1:23" ht="15" hidden="1" thickBot="1" x14ac:dyDescent="0.35">
      <c r="A69" t="s">
        <v>56</v>
      </c>
      <c r="B69">
        <v>100</v>
      </c>
      <c r="C69" t="s">
        <v>86</v>
      </c>
      <c r="D69" s="13">
        <v>0.80485838121157105</v>
      </c>
      <c r="E69" s="13">
        <v>0.90293317205926804</v>
      </c>
      <c r="F69" s="13">
        <v>0.95282733595403701</v>
      </c>
      <c r="G69" s="13">
        <v>0.98901320431408102</v>
      </c>
      <c r="H69" s="13">
        <v>0.80337078651685401</v>
      </c>
      <c r="I69" s="13">
        <v>0.91472712680577895</v>
      </c>
      <c r="J69" s="13">
        <v>0.95987158908507197</v>
      </c>
      <c r="K69" s="13">
        <v>0.99267656500802604</v>
      </c>
      <c r="L69" s="13">
        <v>0.81069669247009102</v>
      </c>
      <c r="M69" s="13">
        <v>0.91072685231728201</v>
      </c>
      <c r="N69" s="13">
        <v>0.95868100934955303</v>
      </c>
      <c r="O69" s="13">
        <v>0.99215843973057205</v>
      </c>
      <c r="P69" s="13">
        <v>0.794532983659471</v>
      </c>
      <c r="Q69" s="13">
        <v>0.90921928585838196</v>
      </c>
      <c r="R69" s="13">
        <v>0.95652612467218101</v>
      </c>
      <c r="S69" s="13">
        <v>0.99061932620536597</v>
      </c>
      <c r="T69" s="13">
        <v>0.809393939393939</v>
      </c>
      <c r="U69" s="13">
        <v>0.90575757575757598</v>
      </c>
      <c r="V69" s="13">
        <v>0.95454545454545503</v>
      </c>
      <c r="W69" s="13">
        <v>0.98747474747474795</v>
      </c>
    </row>
    <row r="70" spans="1:23" ht="15" thickTop="1" x14ac:dyDescent="0.3">
      <c r="A70" s="1" t="s">
        <v>57</v>
      </c>
      <c r="B70" s="1">
        <v>20</v>
      </c>
      <c r="C70" s="1" t="s">
        <v>86</v>
      </c>
      <c r="D70" s="12">
        <v>0.79700000000000004</v>
      </c>
      <c r="E70" s="12">
        <v>0.86329999999999996</v>
      </c>
      <c r="F70" s="12">
        <v>0.89490000000000003</v>
      </c>
      <c r="G70" s="12">
        <v>0.92510000000000003</v>
      </c>
      <c r="H70" s="12">
        <v>0.8306</v>
      </c>
      <c r="I70" s="12">
        <v>0.92749999999999999</v>
      </c>
      <c r="J70" s="12">
        <v>0.96509999999999996</v>
      </c>
      <c r="K70" s="12">
        <v>0.99329999999999996</v>
      </c>
      <c r="L70" s="12">
        <v>0.84843937575030004</v>
      </c>
      <c r="M70" s="12">
        <v>0.93257302921168495</v>
      </c>
      <c r="N70" s="12">
        <v>0.96458583433373302</v>
      </c>
      <c r="O70" s="12">
        <v>0.99629851940776304</v>
      </c>
      <c r="P70" s="12">
        <v>0.81789844142785295</v>
      </c>
      <c r="Q70" s="12">
        <v>0.93102061337355502</v>
      </c>
      <c r="R70" s="12">
        <v>0.96038210155857195</v>
      </c>
      <c r="S70" s="12">
        <v>0.99416792357968797</v>
      </c>
      <c r="T70" s="12">
        <v>0.81941587823940798</v>
      </c>
      <c r="U70" s="12">
        <v>0.83710407239818996</v>
      </c>
      <c r="V70" s="12">
        <v>0.86631016042780795</v>
      </c>
      <c r="W70" s="12">
        <v>0.879473467708762</v>
      </c>
    </row>
    <row r="71" spans="1:23" x14ac:dyDescent="0.3">
      <c r="A71" t="s">
        <v>57</v>
      </c>
      <c r="B71">
        <v>50</v>
      </c>
      <c r="C71" t="s">
        <v>86</v>
      </c>
      <c r="D71" s="13">
        <v>0.82050000000000001</v>
      </c>
      <c r="E71" s="13">
        <v>0.91359999999999997</v>
      </c>
      <c r="F71" s="13">
        <v>0.95840000000000003</v>
      </c>
      <c r="G71" s="13">
        <v>0.9879</v>
      </c>
      <c r="H71" s="13">
        <v>0.81789999999999996</v>
      </c>
      <c r="I71" s="13">
        <v>0.91459999999999997</v>
      </c>
      <c r="J71" s="13">
        <v>0.9587</v>
      </c>
      <c r="K71" s="13">
        <v>0.99339999999999995</v>
      </c>
      <c r="L71" s="13">
        <v>0.80826165233046599</v>
      </c>
      <c r="M71" s="13">
        <v>0.91858371674334904</v>
      </c>
      <c r="N71" s="13">
        <v>0.96099219843968797</v>
      </c>
      <c r="O71" s="13">
        <v>0.99269853970794197</v>
      </c>
      <c r="P71" s="13">
        <v>0.80859999999999999</v>
      </c>
      <c r="Q71" s="13">
        <v>0.91830000000000001</v>
      </c>
      <c r="R71" s="13">
        <v>0.96179999999999999</v>
      </c>
      <c r="S71" s="13">
        <v>0.99380000000000002</v>
      </c>
      <c r="T71" s="13">
        <v>0.82352941176470595</v>
      </c>
      <c r="U71" s="13">
        <v>0.93569033831148996</v>
      </c>
      <c r="V71" s="13">
        <v>0.9476785532866</v>
      </c>
      <c r="W71" s="13">
        <v>0.99014528091029197</v>
      </c>
    </row>
    <row r="72" spans="1:23" ht="15" thickBot="1" x14ac:dyDescent="0.35">
      <c r="A72" t="s">
        <v>57</v>
      </c>
      <c r="B72">
        <v>100</v>
      </c>
      <c r="C72" t="s">
        <v>86</v>
      </c>
      <c r="D72" s="13">
        <v>0.80930000000000002</v>
      </c>
      <c r="E72" s="13">
        <v>0.90480000000000005</v>
      </c>
      <c r="F72" s="13">
        <v>0.95030000000000003</v>
      </c>
      <c r="G72" s="13">
        <v>0.99019999999999997</v>
      </c>
      <c r="H72" s="13">
        <v>0.80520000000000003</v>
      </c>
      <c r="I72" s="13">
        <v>0.90480000000000005</v>
      </c>
      <c r="J72" s="13">
        <v>0.95220000000000005</v>
      </c>
      <c r="K72" s="13">
        <v>0.99070000000000003</v>
      </c>
      <c r="L72" s="13">
        <v>0.81322529011604605</v>
      </c>
      <c r="M72" s="13">
        <v>0.91126450580232099</v>
      </c>
      <c r="N72" s="13">
        <v>0.95688275310124005</v>
      </c>
      <c r="O72" s="13">
        <v>0.99109643857542995</v>
      </c>
      <c r="P72" s="13">
        <v>0.80676570969684802</v>
      </c>
      <c r="Q72" s="13">
        <v>0.91417386067054796</v>
      </c>
      <c r="R72" s="13">
        <v>0.959345512949207</v>
      </c>
      <c r="S72" s="13">
        <v>0.99267215418590604</v>
      </c>
      <c r="T72" s="13">
        <v>0.81232918311570002</v>
      </c>
      <c r="U72" s="13">
        <v>0.90768296386273895</v>
      </c>
      <c r="V72" s="13">
        <v>0.95799169956473296</v>
      </c>
      <c r="W72" s="13">
        <v>0.98957384350642796</v>
      </c>
    </row>
    <row r="73" spans="1:23" ht="15.6" hidden="1" thickTop="1" thickBot="1" x14ac:dyDescent="0.35">
      <c r="A73" s="1" t="s">
        <v>31</v>
      </c>
      <c r="B73" s="1">
        <v>20</v>
      </c>
      <c r="C73" s="1" t="s">
        <v>86</v>
      </c>
      <c r="D73" s="12">
        <v>0.808501941549152</v>
      </c>
      <c r="E73" s="12">
        <v>0.84518700183936202</v>
      </c>
      <c r="F73" s="12">
        <v>0.87144900878806497</v>
      </c>
      <c r="G73" s="12">
        <v>0.88933169834457404</v>
      </c>
      <c r="H73" s="12">
        <v>0.82095982366496301</v>
      </c>
      <c r="I73" s="12">
        <v>0.93036769862739199</v>
      </c>
      <c r="J73" s="12">
        <v>0.96122633002705105</v>
      </c>
      <c r="K73" s="12">
        <v>0.99378819757539305</v>
      </c>
      <c r="L73" s="12">
        <v>0.85875875875875896</v>
      </c>
      <c r="M73" s="12">
        <v>0.92782782782782802</v>
      </c>
      <c r="N73" s="12">
        <v>0.960760760760761</v>
      </c>
      <c r="O73" s="12">
        <v>0.994994994994995</v>
      </c>
      <c r="P73" s="12">
        <v>0.82749974927289105</v>
      </c>
      <c r="Q73" s="12">
        <v>0.93110019055260296</v>
      </c>
      <c r="R73" s="12">
        <v>0.96138802527329303</v>
      </c>
      <c r="S73" s="12">
        <v>0.99548691204493001</v>
      </c>
      <c r="T73" s="12">
        <v>0.81519090170593</v>
      </c>
      <c r="U73" s="12">
        <v>0.84626320064987803</v>
      </c>
      <c r="V73" s="12">
        <v>0.86921202274573495</v>
      </c>
      <c r="W73" s="12">
        <v>0.88708367181153502</v>
      </c>
    </row>
    <row r="74" spans="1:23" ht="15" hidden="1" thickBot="1" x14ac:dyDescent="0.35">
      <c r="A74" t="s">
        <v>31</v>
      </c>
      <c r="B74">
        <v>50</v>
      </c>
      <c r="C74" t="s">
        <v>86</v>
      </c>
      <c r="D74" s="13">
        <v>0.81879194630872498</v>
      </c>
      <c r="E74" s="13">
        <v>0.92912344925767698</v>
      </c>
      <c r="F74" s="13">
        <v>0.94895261338214398</v>
      </c>
      <c r="G74" s="13">
        <v>0.98952613382143595</v>
      </c>
      <c r="H74" s="13">
        <v>0.81489999999999996</v>
      </c>
      <c r="I74" s="13">
        <v>0.91279999999999994</v>
      </c>
      <c r="J74" s="13">
        <v>0.96160000000000001</v>
      </c>
      <c r="K74" s="13">
        <v>0.99399999999999999</v>
      </c>
      <c r="L74" s="13">
        <v>0.80964771817453995</v>
      </c>
      <c r="M74" s="13">
        <v>0.92013610888710995</v>
      </c>
      <c r="N74" s="13">
        <v>0.95886709367494005</v>
      </c>
      <c r="O74" s="13">
        <v>0.99159327461969604</v>
      </c>
      <c r="P74" s="13">
        <v>0.81759999999999999</v>
      </c>
      <c r="Q74" s="13">
        <v>0.91610000000000003</v>
      </c>
      <c r="R74" s="13">
        <v>0.96309999999999996</v>
      </c>
      <c r="S74" s="13">
        <v>0.99390000000000001</v>
      </c>
      <c r="T74" s="13">
        <v>0.82225141471301499</v>
      </c>
      <c r="U74" s="13">
        <v>0.93037590945836701</v>
      </c>
      <c r="V74" s="13">
        <v>0.949878738884398</v>
      </c>
      <c r="W74" s="13">
        <v>0.99141067097817304</v>
      </c>
    </row>
    <row r="75" spans="1:23" ht="15" hidden="1" thickBot="1" x14ac:dyDescent="0.35">
      <c r="A75" t="s">
        <v>31</v>
      </c>
      <c r="B75">
        <v>100</v>
      </c>
      <c r="C75" t="s">
        <v>86</v>
      </c>
      <c r="D75" s="13">
        <v>0.80781329274479996</v>
      </c>
      <c r="E75" s="13">
        <v>0.90309487569761504</v>
      </c>
      <c r="F75" s="13">
        <v>0.95322171486555096</v>
      </c>
      <c r="G75" s="13">
        <v>0.98833079654997502</v>
      </c>
      <c r="H75" s="13">
        <v>0.79763574433981199</v>
      </c>
      <c r="I75" s="13">
        <v>0.90993788819875798</v>
      </c>
      <c r="J75" s="13">
        <v>0.95682228010418802</v>
      </c>
      <c r="K75" s="13">
        <v>0.98968142656782199</v>
      </c>
      <c r="L75" s="13">
        <v>0.81066746722705896</v>
      </c>
      <c r="M75" s="13">
        <v>0.912438707094966</v>
      </c>
      <c r="N75" s="13">
        <v>0.960472330631442</v>
      </c>
      <c r="O75" s="13">
        <v>0.99279495646952898</v>
      </c>
      <c r="P75" s="13">
        <v>0.80741854636591504</v>
      </c>
      <c r="Q75" s="13">
        <v>0.91057644110275704</v>
      </c>
      <c r="R75" s="13">
        <v>0.95739348370927302</v>
      </c>
      <c r="S75" s="13">
        <v>0.99027568922305798</v>
      </c>
      <c r="T75" s="13">
        <v>0.81196495115318801</v>
      </c>
      <c r="U75" s="13">
        <v>0.90593211803806994</v>
      </c>
      <c r="V75" s="13">
        <v>0.958303958102528</v>
      </c>
      <c r="W75" s="13">
        <v>0.99093564306576698</v>
      </c>
    </row>
    <row r="76" spans="1:23" ht="15.6" hidden="1" thickTop="1" thickBot="1" x14ac:dyDescent="0.35">
      <c r="A76" s="1" t="s">
        <v>56</v>
      </c>
      <c r="B76" s="1">
        <v>20</v>
      </c>
      <c r="C76" s="1" t="s">
        <v>87</v>
      </c>
      <c r="D76" s="12">
        <v>0.77637000412031298</v>
      </c>
      <c r="E76" s="12">
        <v>0.86042439225381095</v>
      </c>
      <c r="F76" s="12">
        <v>0.90090646889163595</v>
      </c>
      <c r="G76" s="12">
        <v>0.94458178821590399</v>
      </c>
      <c r="H76" s="12">
        <v>0.79154562756686397</v>
      </c>
      <c r="I76" s="12">
        <v>0.89401983371731897</v>
      </c>
      <c r="J76" s="12">
        <v>0.94550736251627798</v>
      </c>
      <c r="K76" s="12">
        <v>0.98747871381348296</v>
      </c>
      <c r="L76" s="12">
        <v>0.78239999999999998</v>
      </c>
      <c r="M76" s="12">
        <v>0.88939999999999997</v>
      </c>
      <c r="N76" s="12">
        <v>0.94320000000000004</v>
      </c>
      <c r="O76" s="12">
        <v>0.98770000000000002</v>
      </c>
      <c r="P76" s="12">
        <v>0.79342817070727301</v>
      </c>
      <c r="Q76" s="12">
        <v>0.88940092165898599</v>
      </c>
      <c r="R76" s="12">
        <v>0.95091164095371705</v>
      </c>
      <c r="S76" s="12">
        <v>0.99018232819074303</v>
      </c>
      <c r="T76" s="12">
        <v>0.82643063905588998</v>
      </c>
      <c r="U76" s="12">
        <v>0.90647962591850395</v>
      </c>
      <c r="V76" s="12">
        <v>0.943442440436428</v>
      </c>
      <c r="W76" s="12">
        <v>0.96916054330884005</v>
      </c>
    </row>
    <row r="77" spans="1:23" ht="15" hidden="1" thickBot="1" x14ac:dyDescent="0.35">
      <c r="A77" t="s">
        <v>56</v>
      </c>
      <c r="B77">
        <v>50</v>
      </c>
      <c r="C77" t="s">
        <v>87</v>
      </c>
      <c r="D77" s="13">
        <v>0.79397638583149899</v>
      </c>
      <c r="E77" s="13">
        <v>0.89643786271763104</v>
      </c>
      <c r="F77" s="13">
        <v>0.94516710026015605</v>
      </c>
      <c r="G77" s="13">
        <v>0.98389033420051997</v>
      </c>
      <c r="H77" s="13">
        <v>0.80330000000000001</v>
      </c>
      <c r="I77" s="13">
        <v>0.89859999999999995</v>
      </c>
      <c r="J77" s="13">
        <v>0.95089999999999997</v>
      </c>
      <c r="K77" s="13">
        <v>0.98919999999999997</v>
      </c>
      <c r="L77" s="13">
        <v>0.80489999999999995</v>
      </c>
      <c r="M77" s="13">
        <v>0.90110000000000001</v>
      </c>
      <c r="N77" s="13">
        <v>0.95130000000000003</v>
      </c>
      <c r="O77" s="13">
        <v>0.99080000000000001</v>
      </c>
      <c r="P77" s="13">
        <v>0.79320000000000002</v>
      </c>
      <c r="Q77" s="13">
        <v>0.89319999999999999</v>
      </c>
      <c r="R77" s="13">
        <v>0.94640000000000002</v>
      </c>
      <c r="S77" s="13">
        <v>0.98629999999999995</v>
      </c>
      <c r="T77" s="13">
        <v>0.77966955470481603</v>
      </c>
      <c r="U77" s="13">
        <v>0.91013499899254502</v>
      </c>
      <c r="V77" s="13">
        <v>0.94428772919605097</v>
      </c>
      <c r="W77" s="13">
        <v>0.992041104170864</v>
      </c>
    </row>
    <row r="78" spans="1:23" ht="15" hidden="1" thickBot="1" x14ac:dyDescent="0.35">
      <c r="A78" t="s">
        <v>56</v>
      </c>
      <c r="B78">
        <v>100</v>
      </c>
      <c r="C78" s="14" t="s">
        <v>87</v>
      </c>
      <c r="D78" s="13">
        <v>0.79210000000000003</v>
      </c>
      <c r="E78" s="13">
        <v>0.89539999999999997</v>
      </c>
      <c r="F78" s="13">
        <v>0.94520000000000004</v>
      </c>
      <c r="G78" s="13">
        <v>0.9879</v>
      </c>
      <c r="H78" s="13">
        <v>0.79930000000000001</v>
      </c>
      <c r="I78" s="13">
        <v>0.90259999999999996</v>
      </c>
      <c r="J78" s="13">
        <v>0.9526</v>
      </c>
      <c r="K78" s="13">
        <v>0.99009999999999998</v>
      </c>
      <c r="L78" s="13">
        <v>0.7994</v>
      </c>
      <c r="M78" s="13">
        <v>0.90059999999999996</v>
      </c>
      <c r="N78" s="13">
        <v>0.94810000000000005</v>
      </c>
      <c r="O78" s="13">
        <v>0.98929999999999996</v>
      </c>
      <c r="P78" s="13">
        <v>0.79569999999999996</v>
      </c>
      <c r="Q78" s="13">
        <v>0.89239999999999997</v>
      </c>
      <c r="R78" s="13">
        <v>0.94430000000000003</v>
      </c>
      <c r="S78" s="13">
        <v>0.98929999999999996</v>
      </c>
      <c r="T78" s="13">
        <v>0.80060030015007499</v>
      </c>
      <c r="U78" s="13">
        <v>0.89964982491245604</v>
      </c>
      <c r="V78" s="13">
        <v>0.95007503751875899</v>
      </c>
      <c r="W78" s="13">
        <v>0.98789394697348698</v>
      </c>
    </row>
    <row r="79" spans="1:23" ht="15" thickTop="1" x14ac:dyDescent="0.3">
      <c r="A79" s="1" t="s">
        <v>57</v>
      </c>
      <c r="B79" s="1">
        <v>20</v>
      </c>
      <c r="C79" t="s">
        <v>87</v>
      </c>
      <c r="D79" s="12">
        <v>0.68300490147044102</v>
      </c>
      <c r="E79" s="12">
        <v>0.80214064219265802</v>
      </c>
      <c r="F79" s="12">
        <v>0.87826347904371305</v>
      </c>
      <c r="G79" s="12">
        <v>0.959387816344903</v>
      </c>
      <c r="H79" s="12">
        <v>0.78139999999999998</v>
      </c>
      <c r="I79" s="12">
        <v>0.88490000000000002</v>
      </c>
      <c r="J79" s="12">
        <v>0.93679999999999997</v>
      </c>
      <c r="K79" s="12">
        <v>0.98370000000000002</v>
      </c>
      <c r="L79" s="12">
        <v>0.78949999999999998</v>
      </c>
      <c r="M79" s="12">
        <v>0.89170000000000005</v>
      </c>
      <c r="N79" s="12">
        <v>0.94269999999999998</v>
      </c>
      <c r="O79" s="12">
        <v>0.98829999999999996</v>
      </c>
      <c r="P79" s="12">
        <v>0.78514217060472602</v>
      </c>
      <c r="Q79" s="12">
        <v>0.89106928313976796</v>
      </c>
      <c r="R79" s="12">
        <v>0.94313175810973204</v>
      </c>
      <c r="S79" s="12">
        <v>0.98558269923908703</v>
      </c>
      <c r="T79" s="12">
        <v>0.80399872381154902</v>
      </c>
      <c r="U79" s="12">
        <v>0.87652876741465502</v>
      </c>
      <c r="V79" s="12">
        <v>0.91460172285440799</v>
      </c>
      <c r="W79" s="12">
        <v>0.95129214080612601</v>
      </c>
    </row>
    <row r="80" spans="1:23" x14ac:dyDescent="0.3">
      <c r="A80" t="s">
        <v>57</v>
      </c>
      <c r="B80">
        <v>50</v>
      </c>
      <c r="C80" t="s">
        <v>87</v>
      </c>
      <c r="D80" s="13">
        <v>0.75660000000000005</v>
      </c>
      <c r="E80" s="13">
        <v>0.87009999999999998</v>
      </c>
      <c r="F80" s="13">
        <v>0.92949999999999999</v>
      </c>
      <c r="G80" s="13">
        <v>0.98180000000000001</v>
      </c>
      <c r="H80" s="13">
        <v>0.79830000000000001</v>
      </c>
      <c r="I80" s="13">
        <v>0.89690000000000003</v>
      </c>
      <c r="J80" s="13">
        <v>0.94599999999999995</v>
      </c>
      <c r="K80" s="13">
        <v>0.98760000000000003</v>
      </c>
      <c r="L80" s="13">
        <v>0.7903</v>
      </c>
      <c r="M80" s="13">
        <v>0.89749999999999996</v>
      </c>
      <c r="N80" s="13">
        <v>0.94730000000000003</v>
      </c>
      <c r="O80" s="13">
        <v>0.98980000000000001</v>
      </c>
      <c r="P80" s="13">
        <v>0.79620000000000002</v>
      </c>
      <c r="Q80" s="13">
        <v>0.8962</v>
      </c>
      <c r="R80" s="13">
        <v>0.94669999999999999</v>
      </c>
      <c r="S80" s="13">
        <v>0.99009999999999998</v>
      </c>
      <c r="T80" s="13">
        <v>0.79218045112781998</v>
      </c>
      <c r="U80" s="13">
        <v>0.90365914786967405</v>
      </c>
      <c r="V80" s="13">
        <v>0.94706766917293195</v>
      </c>
      <c r="W80" s="13">
        <v>0.98796992481203005</v>
      </c>
    </row>
    <row r="81" spans="1:23" ht="15" thickBot="1" x14ac:dyDescent="0.35">
      <c r="A81" t="s">
        <v>57</v>
      </c>
      <c r="B81">
        <v>100</v>
      </c>
      <c r="C81" t="s">
        <v>87</v>
      </c>
      <c r="D81" s="13">
        <v>0.79390000000000005</v>
      </c>
      <c r="E81" s="13">
        <v>0.89239999999999997</v>
      </c>
      <c r="F81" s="13">
        <v>0.94410000000000005</v>
      </c>
      <c r="G81" s="13">
        <v>0.98850000000000005</v>
      </c>
      <c r="H81" s="13">
        <v>0.79139999999999999</v>
      </c>
      <c r="I81" s="13">
        <v>0.89139999999999997</v>
      </c>
      <c r="J81" s="13">
        <v>0.94359999999999999</v>
      </c>
      <c r="K81" s="13">
        <v>0.98740000000000006</v>
      </c>
      <c r="L81" s="13">
        <v>0.80169999999999997</v>
      </c>
      <c r="M81" s="13">
        <v>0.90149999999999997</v>
      </c>
      <c r="N81" s="13">
        <v>0.95009999999999994</v>
      </c>
      <c r="O81" s="13">
        <v>0.98809999999999998</v>
      </c>
      <c r="P81" s="13">
        <v>0.80210000000000004</v>
      </c>
      <c r="Q81" s="13">
        <v>0.90190000000000003</v>
      </c>
      <c r="R81" s="13">
        <v>0.9496</v>
      </c>
      <c r="S81" s="13">
        <v>0.99150000000000005</v>
      </c>
      <c r="T81" s="13">
        <v>0.79659999999999997</v>
      </c>
      <c r="U81" s="13">
        <v>0.90249999999999997</v>
      </c>
      <c r="V81" s="13">
        <v>0.95120000000000005</v>
      </c>
      <c r="W81" s="13">
        <v>0.98950000000000005</v>
      </c>
    </row>
    <row r="82" spans="1:23" ht="15.6" hidden="1" thickTop="1" thickBot="1" x14ac:dyDescent="0.35">
      <c r="A82" s="1" t="s">
        <v>31</v>
      </c>
      <c r="B82" s="1">
        <v>20</v>
      </c>
      <c r="C82" s="1" t="s">
        <v>87</v>
      </c>
      <c r="D82" s="12">
        <v>0.76613648024628</v>
      </c>
      <c r="E82" s="12">
        <v>0.84648537711646998</v>
      </c>
      <c r="F82" s="12">
        <v>0.89286813750641403</v>
      </c>
      <c r="G82" s="12">
        <v>0.93894304771677795</v>
      </c>
      <c r="H82" s="12">
        <v>0.78116870122073201</v>
      </c>
      <c r="I82" s="12">
        <v>0.88733239943966402</v>
      </c>
      <c r="J82" s="12">
        <v>0.94056433860316202</v>
      </c>
      <c r="K82" s="12">
        <v>0.98459075445267197</v>
      </c>
      <c r="L82" s="12">
        <v>0.79769999999999996</v>
      </c>
      <c r="M82" s="12">
        <v>0.89749999999999996</v>
      </c>
      <c r="N82" s="12">
        <v>0.94750000000000001</v>
      </c>
      <c r="O82" s="12">
        <v>0.98740000000000006</v>
      </c>
      <c r="P82" s="12">
        <v>0.79063250600480395</v>
      </c>
      <c r="Q82" s="12">
        <v>0.89101281024819901</v>
      </c>
      <c r="R82" s="12">
        <v>0.94155324259407502</v>
      </c>
      <c r="S82" s="12">
        <v>0.98628903122498002</v>
      </c>
      <c r="T82" s="12">
        <v>0.77363956134905898</v>
      </c>
      <c r="U82" s="12">
        <v>0.85650734533416095</v>
      </c>
      <c r="V82" s="12">
        <v>0.89923442996068703</v>
      </c>
      <c r="W82" s="12">
        <v>0.94392716739085503</v>
      </c>
    </row>
    <row r="83" spans="1:23" ht="15" hidden="1" thickBot="1" x14ac:dyDescent="0.35">
      <c r="A83" t="s">
        <v>31</v>
      </c>
      <c r="B83">
        <v>50</v>
      </c>
      <c r="C83" t="s">
        <v>87</v>
      </c>
      <c r="D83" s="13">
        <v>0.78759379689844899</v>
      </c>
      <c r="E83" s="13">
        <v>0.89154577288644299</v>
      </c>
      <c r="F83" s="13">
        <v>0.94077038519259604</v>
      </c>
      <c r="G83" s="13">
        <v>0.98419209604802405</v>
      </c>
      <c r="H83" s="13">
        <v>0.79359999999999997</v>
      </c>
      <c r="I83" s="13">
        <v>0.89590000000000003</v>
      </c>
      <c r="J83" s="13">
        <v>0.94550000000000001</v>
      </c>
      <c r="K83" s="13">
        <v>0.98850000000000005</v>
      </c>
      <c r="L83" s="13">
        <v>0.79710000000000003</v>
      </c>
      <c r="M83" s="13">
        <v>0.89739999999999998</v>
      </c>
      <c r="N83" s="13">
        <v>0.94730000000000003</v>
      </c>
      <c r="O83" s="13">
        <v>0.98629999999999995</v>
      </c>
      <c r="P83" s="13">
        <v>0.7974</v>
      </c>
      <c r="Q83" s="13">
        <v>0.89639999999999997</v>
      </c>
      <c r="R83" s="13">
        <v>0.94710000000000005</v>
      </c>
      <c r="S83" s="13">
        <v>0.98819999999999997</v>
      </c>
      <c r="T83" s="13">
        <v>0.78731492597038799</v>
      </c>
      <c r="U83" s="13">
        <v>0.89415766306522604</v>
      </c>
      <c r="V83" s="13">
        <v>0.94347739095638306</v>
      </c>
      <c r="W83" s="13">
        <v>0.986994797919168</v>
      </c>
    </row>
    <row r="84" spans="1:23" ht="15" hidden="1" thickBot="1" x14ac:dyDescent="0.35">
      <c r="A84" t="s">
        <v>31</v>
      </c>
      <c r="B84">
        <v>100</v>
      </c>
      <c r="C84" t="s">
        <v>87</v>
      </c>
      <c r="D84" s="13">
        <v>0.7994</v>
      </c>
      <c r="E84" s="13">
        <v>0.89939999999999998</v>
      </c>
      <c r="F84" s="13">
        <v>0.94730000000000003</v>
      </c>
      <c r="G84" s="13">
        <v>0.9879</v>
      </c>
      <c r="H84" s="13">
        <v>0.7893</v>
      </c>
      <c r="I84" s="13">
        <v>0.89680000000000004</v>
      </c>
      <c r="J84" s="13">
        <v>0.94840000000000002</v>
      </c>
      <c r="K84" s="13">
        <v>0.98770000000000002</v>
      </c>
      <c r="L84" s="13">
        <v>0.79810000000000003</v>
      </c>
      <c r="M84" s="13">
        <v>0.90359999999999996</v>
      </c>
      <c r="N84" s="13">
        <v>0.95069999999999999</v>
      </c>
      <c r="O84" s="13">
        <v>0.99019999999999997</v>
      </c>
      <c r="P84" s="13">
        <v>0.79879999999999995</v>
      </c>
      <c r="Q84" s="13">
        <v>0.89990000000000003</v>
      </c>
      <c r="R84" s="13">
        <v>0.9496</v>
      </c>
      <c r="S84" s="13">
        <v>0.98899999999999999</v>
      </c>
      <c r="T84" s="13">
        <v>0.80169999999999997</v>
      </c>
      <c r="U84" s="13">
        <v>0.89880000000000004</v>
      </c>
      <c r="V84" s="13">
        <v>0.94979999999999998</v>
      </c>
      <c r="W84" s="13">
        <v>0.98960000000000004</v>
      </c>
    </row>
    <row r="85" spans="1:23" ht="15.6" hidden="1" thickTop="1" thickBot="1" x14ac:dyDescent="0.35">
      <c r="A85" s="1" t="s">
        <v>56</v>
      </c>
      <c r="B85" s="1">
        <v>20</v>
      </c>
      <c r="C85" s="1" t="s">
        <v>64</v>
      </c>
      <c r="D85" s="12">
        <v>0.81522668947818699</v>
      </c>
      <c r="E85" s="12">
        <v>0.88515825491873401</v>
      </c>
      <c r="F85" s="12">
        <v>0.91969632164242898</v>
      </c>
      <c r="G85" s="12">
        <v>0.95412745936697996</v>
      </c>
      <c r="H85" s="12">
        <v>0.79629072681704305</v>
      </c>
      <c r="I85" s="12">
        <v>0.88761904761904797</v>
      </c>
      <c r="J85" s="12">
        <v>0.94887218045112798</v>
      </c>
      <c r="K85" s="12">
        <v>0.98967418546365904</v>
      </c>
      <c r="L85" s="12">
        <v>0.76824506957653405</v>
      </c>
      <c r="M85" s="12">
        <v>0.88587446190809904</v>
      </c>
      <c r="N85" s="12">
        <v>0.94704174592051305</v>
      </c>
      <c r="O85" s="12">
        <v>0.98738612473721099</v>
      </c>
      <c r="P85" s="12">
        <v>0.79802060189860602</v>
      </c>
      <c r="Q85" s="12">
        <v>0.88204403150878596</v>
      </c>
      <c r="R85" s="12">
        <v>0.95758432639870705</v>
      </c>
      <c r="S85" s="12">
        <v>0.993334679862654</v>
      </c>
      <c r="T85" s="12">
        <v>0.83500172592336896</v>
      </c>
      <c r="U85" s="12">
        <v>0.92613047980669705</v>
      </c>
      <c r="V85" s="12">
        <v>0.96341042457714898</v>
      </c>
      <c r="W85" s="12">
        <v>0.97997928891957198</v>
      </c>
    </row>
    <row r="86" spans="1:23" ht="15" hidden="1" thickBot="1" x14ac:dyDescent="0.35">
      <c r="A86" t="s">
        <v>56</v>
      </c>
      <c r="B86">
        <v>50</v>
      </c>
      <c r="C86" t="s">
        <v>64</v>
      </c>
      <c r="D86" s="13">
        <v>0.79548872180451102</v>
      </c>
      <c r="E86" s="13">
        <v>0.90766917293233096</v>
      </c>
      <c r="F86" s="13">
        <v>0.94616541353383499</v>
      </c>
      <c r="G86" s="13">
        <v>0.99017543859649104</v>
      </c>
      <c r="H86" s="13">
        <v>0.80220000000000002</v>
      </c>
      <c r="I86" s="13">
        <v>0.90010000000000001</v>
      </c>
      <c r="J86" s="13">
        <v>0.9526</v>
      </c>
      <c r="K86" s="13">
        <v>0.9889</v>
      </c>
      <c r="L86" s="13">
        <v>0.80418250950570302</v>
      </c>
      <c r="M86" s="13">
        <v>0.89763858314988998</v>
      </c>
      <c r="N86" s="13">
        <v>0.94926956173704202</v>
      </c>
      <c r="O86" s="13">
        <v>0.99139483690214103</v>
      </c>
      <c r="P86" s="13">
        <v>0.79869999999999997</v>
      </c>
      <c r="Q86" s="13">
        <v>0.89480000000000004</v>
      </c>
      <c r="R86" s="13">
        <v>0.94789999999999996</v>
      </c>
      <c r="S86" s="13">
        <v>0.98529999999999995</v>
      </c>
      <c r="T86" s="13">
        <v>0.76952965235173798</v>
      </c>
      <c r="U86" s="13">
        <v>0.91114519427402896</v>
      </c>
      <c r="V86" s="13">
        <v>0.94529652351738203</v>
      </c>
      <c r="W86" s="13">
        <v>0.995092024539877</v>
      </c>
    </row>
    <row r="87" spans="1:23" ht="15" hidden="1" thickBot="1" x14ac:dyDescent="0.35">
      <c r="A87" t="s">
        <v>56</v>
      </c>
      <c r="B87">
        <v>100</v>
      </c>
      <c r="C87" t="s">
        <v>64</v>
      </c>
      <c r="D87" s="13">
        <v>0.792679267926793</v>
      </c>
      <c r="E87" s="13">
        <v>0.89378937893789401</v>
      </c>
      <c r="F87" s="13">
        <v>0.94649464946494599</v>
      </c>
      <c r="G87" s="13">
        <v>0.98749874987498798</v>
      </c>
      <c r="H87" s="13">
        <v>0.79690000000000005</v>
      </c>
      <c r="I87" s="13">
        <v>0.90129999999999999</v>
      </c>
      <c r="J87" s="13">
        <v>0.95169999999999999</v>
      </c>
      <c r="K87" s="13">
        <v>0.98960000000000004</v>
      </c>
      <c r="L87" s="13">
        <v>0.80198019801980203</v>
      </c>
      <c r="M87" s="13">
        <v>0.902890289028903</v>
      </c>
      <c r="N87" s="13">
        <v>0.94859485948594902</v>
      </c>
      <c r="O87" s="13">
        <v>0.98959895989599</v>
      </c>
      <c r="P87" s="13">
        <v>0.79335202242691205</v>
      </c>
      <c r="Q87" s="13">
        <v>0.89116940328394101</v>
      </c>
      <c r="R87" s="13">
        <v>0.94573488185822996</v>
      </c>
      <c r="S87" s="13">
        <v>0.98868642370844995</v>
      </c>
      <c r="T87" s="13">
        <v>0.80460931972101501</v>
      </c>
      <c r="U87" s="13">
        <v>0.90154654806428802</v>
      </c>
      <c r="V87" s="13">
        <v>0.95269382391589996</v>
      </c>
      <c r="W87" s="13">
        <v>0.98685939553219404</v>
      </c>
    </row>
    <row r="88" spans="1:23" ht="15" thickTop="1" x14ac:dyDescent="0.3">
      <c r="A88" s="1" t="s">
        <v>57</v>
      </c>
      <c r="B88" s="1">
        <v>20</v>
      </c>
      <c r="C88" s="1" t="s">
        <v>64</v>
      </c>
      <c r="D88" s="12">
        <v>0.77074939564866995</v>
      </c>
      <c r="E88" s="12">
        <v>0.86351732473811404</v>
      </c>
      <c r="F88" s="12">
        <v>0.912066881547139</v>
      </c>
      <c r="G88" s="12">
        <v>0.95960918614020996</v>
      </c>
      <c r="H88" s="12">
        <v>0.784270562337402</v>
      </c>
      <c r="I88" s="12">
        <v>0.89033420052031198</v>
      </c>
      <c r="J88" s="12">
        <v>0.93916349809885902</v>
      </c>
      <c r="K88" s="12">
        <v>0.98619171502901704</v>
      </c>
      <c r="L88" s="12">
        <v>0.79349999999999998</v>
      </c>
      <c r="M88" s="12">
        <v>0.89480000000000004</v>
      </c>
      <c r="N88" s="12">
        <v>0.94750000000000001</v>
      </c>
      <c r="O88" s="12">
        <v>0.98850000000000005</v>
      </c>
      <c r="P88" s="12">
        <v>0.78961611706925905</v>
      </c>
      <c r="Q88" s="12">
        <v>0.88924526410744698</v>
      </c>
      <c r="R88" s="12">
        <v>0.94677758845344295</v>
      </c>
      <c r="S88" s="12">
        <v>0.98997694697804905</v>
      </c>
      <c r="T88" s="12">
        <v>0.83366622281402603</v>
      </c>
      <c r="U88" s="12">
        <v>0.91011984021304904</v>
      </c>
      <c r="V88" s="12">
        <v>0.94651575676875299</v>
      </c>
      <c r="W88" s="12">
        <v>0.97126054150022201</v>
      </c>
    </row>
    <row r="89" spans="1:23" x14ac:dyDescent="0.3">
      <c r="A89" t="s">
        <v>57</v>
      </c>
      <c r="B89">
        <v>50</v>
      </c>
      <c r="C89" t="s">
        <v>64</v>
      </c>
      <c r="D89" s="13">
        <v>0.78745749149830002</v>
      </c>
      <c r="E89" s="13">
        <v>0.89047809561912405</v>
      </c>
      <c r="F89" s="13">
        <v>0.94168833766753302</v>
      </c>
      <c r="G89" s="13">
        <v>0.98359671934386905</v>
      </c>
      <c r="H89" s="13">
        <v>0.79910000000000003</v>
      </c>
      <c r="I89" s="13">
        <v>0.8982</v>
      </c>
      <c r="J89" s="13">
        <v>0.9476</v>
      </c>
      <c r="K89" s="13">
        <v>0.98939999999999995</v>
      </c>
      <c r="L89" s="13">
        <v>0.79469999999999996</v>
      </c>
      <c r="M89" s="13">
        <v>0.89680000000000004</v>
      </c>
      <c r="N89" s="13">
        <v>0.94950000000000001</v>
      </c>
      <c r="O89" s="13">
        <v>0.98939999999999995</v>
      </c>
      <c r="P89" s="13">
        <v>0.79300000000000004</v>
      </c>
      <c r="Q89" s="13">
        <v>0.89559999999999995</v>
      </c>
      <c r="R89" s="13">
        <v>0.94930000000000003</v>
      </c>
      <c r="S89" s="13">
        <v>0.98899999999999999</v>
      </c>
      <c r="T89" s="13">
        <v>0.79043969342476805</v>
      </c>
      <c r="U89" s="13">
        <v>0.91276724485679706</v>
      </c>
      <c r="V89" s="13">
        <v>0.94806373537716804</v>
      </c>
      <c r="W89" s="13">
        <v>0.99334409035901605</v>
      </c>
    </row>
    <row r="90" spans="1:23" ht="15" thickBot="1" x14ac:dyDescent="0.35">
      <c r="A90" t="s">
        <v>57</v>
      </c>
      <c r="B90">
        <v>100</v>
      </c>
      <c r="C90" t="s">
        <v>64</v>
      </c>
      <c r="D90" s="13">
        <v>0.79559999999999997</v>
      </c>
      <c r="E90" s="13">
        <v>0.89610000000000001</v>
      </c>
      <c r="F90" s="13">
        <v>0.94310000000000005</v>
      </c>
      <c r="G90" s="13">
        <v>0.98760000000000003</v>
      </c>
      <c r="H90" s="13">
        <v>0.79210000000000003</v>
      </c>
      <c r="I90" s="13">
        <v>0.89610000000000001</v>
      </c>
      <c r="J90" s="13">
        <v>0.94379999999999997</v>
      </c>
      <c r="K90" s="13">
        <v>0.98929999999999996</v>
      </c>
      <c r="L90" s="13">
        <v>0.80169999999999997</v>
      </c>
      <c r="M90" s="13">
        <v>0.90239999999999998</v>
      </c>
      <c r="N90" s="13">
        <v>0.95009999999999994</v>
      </c>
      <c r="O90" s="13">
        <v>0.98860000000000003</v>
      </c>
      <c r="P90" s="13">
        <v>0.80089999999999995</v>
      </c>
      <c r="Q90" s="13">
        <v>0.90110000000000001</v>
      </c>
      <c r="R90" s="13">
        <v>0.95069999999999999</v>
      </c>
      <c r="S90" s="13">
        <v>0.99209999999999998</v>
      </c>
      <c r="T90" s="13">
        <v>0.80358753382102399</v>
      </c>
      <c r="U90" s="13">
        <v>0.90379797574907295</v>
      </c>
      <c r="V90" s="13">
        <v>0.95440424892273801</v>
      </c>
      <c r="W90" s="13">
        <v>0.98837558873634601</v>
      </c>
    </row>
    <row r="91" spans="1:23" ht="15.6" hidden="1" thickTop="1" thickBot="1" x14ac:dyDescent="0.35">
      <c r="A91" s="1" t="s">
        <v>31</v>
      </c>
      <c r="B91" s="1">
        <v>20</v>
      </c>
      <c r="C91" s="1" t="s">
        <v>64</v>
      </c>
      <c r="D91" s="12">
        <v>0.80849925069578199</v>
      </c>
      <c r="E91" s="12">
        <v>0.88139584671376603</v>
      </c>
      <c r="F91" s="12">
        <v>0.92539070862770301</v>
      </c>
      <c r="G91" s="12">
        <v>0.95643331192464098</v>
      </c>
      <c r="H91" s="12">
        <v>0.78577866800200302</v>
      </c>
      <c r="I91" s="12">
        <v>0.89043565348022002</v>
      </c>
      <c r="J91" s="12">
        <v>0.94441662493740597</v>
      </c>
      <c r="K91" s="12">
        <v>0.98898347521281904</v>
      </c>
      <c r="L91" s="12">
        <v>0.79669999999999996</v>
      </c>
      <c r="M91" s="12">
        <v>0.89729999999999999</v>
      </c>
      <c r="N91" s="12">
        <v>0.94640000000000002</v>
      </c>
      <c r="O91" s="12">
        <v>0.98670000000000002</v>
      </c>
      <c r="P91" s="12">
        <v>0.79757612179487203</v>
      </c>
      <c r="Q91" s="12">
        <v>0.88972355769230804</v>
      </c>
      <c r="R91" s="12">
        <v>0.94591346153846201</v>
      </c>
      <c r="S91" s="12">
        <v>0.99028445512820495</v>
      </c>
      <c r="T91" s="12">
        <v>0.816015457277802</v>
      </c>
      <c r="U91" s="12">
        <v>0.88890081580077296</v>
      </c>
      <c r="V91" s="12">
        <v>0.92453842851009005</v>
      </c>
      <c r="W91" s="12">
        <v>0.95620437956204396</v>
      </c>
    </row>
    <row r="92" spans="1:23" ht="15" hidden="1" thickBot="1" x14ac:dyDescent="0.35">
      <c r="A92" t="s">
        <v>31</v>
      </c>
      <c r="B92">
        <v>50</v>
      </c>
      <c r="C92" t="s">
        <v>64</v>
      </c>
      <c r="D92" s="13">
        <v>0.78674698795180698</v>
      </c>
      <c r="E92" s="13">
        <v>0.90261044176706795</v>
      </c>
      <c r="F92" s="13">
        <v>0.94518072289156596</v>
      </c>
      <c r="G92" s="13">
        <v>0.990562248995984</v>
      </c>
      <c r="H92" s="13">
        <v>0.79810000000000003</v>
      </c>
      <c r="I92" s="13">
        <v>0.89449999999999996</v>
      </c>
      <c r="J92" s="13">
        <v>0.94850000000000001</v>
      </c>
      <c r="K92" s="13">
        <v>0.98880000000000001</v>
      </c>
      <c r="L92" s="13">
        <v>0.79749999999999999</v>
      </c>
      <c r="M92" s="13">
        <v>0.89629999999999999</v>
      </c>
      <c r="N92" s="13">
        <v>0.94740000000000002</v>
      </c>
      <c r="O92" s="13">
        <v>0.98780000000000001</v>
      </c>
      <c r="P92" s="13">
        <v>0.79949999999999999</v>
      </c>
      <c r="Q92" s="13">
        <v>0.89629999999999999</v>
      </c>
      <c r="R92" s="13">
        <v>0.94850000000000001</v>
      </c>
      <c r="S92" s="13">
        <v>0.98850000000000005</v>
      </c>
      <c r="T92" s="13">
        <v>0.79143687957485198</v>
      </c>
      <c r="U92" s="13">
        <v>0.90424145192018401</v>
      </c>
      <c r="V92" s="13">
        <v>0.94394866138574196</v>
      </c>
      <c r="W92" s="13">
        <v>0.99207861225308303</v>
      </c>
    </row>
    <row r="93" spans="1:23" ht="15" hidden="1" thickBot="1" x14ac:dyDescent="0.35">
      <c r="A93" t="s">
        <v>31</v>
      </c>
      <c r="B93">
        <v>100</v>
      </c>
      <c r="C93" t="s">
        <v>64</v>
      </c>
      <c r="D93" s="13">
        <v>0.79927956774064401</v>
      </c>
      <c r="E93" s="13">
        <v>0.89823894336601995</v>
      </c>
      <c r="F93" s="13">
        <v>0.94986992195317199</v>
      </c>
      <c r="G93" s="13">
        <v>0.98749249549729801</v>
      </c>
      <c r="H93" s="13">
        <v>0.79020000000000001</v>
      </c>
      <c r="I93" s="13">
        <v>0.89649999999999996</v>
      </c>
      <c r="J93" s="13">
        <v>0.94750000000000001</v>
      </c>
      <c r="K93" s="13">
        <v>0.9869</v>
      </c>
      <c r="L93" s="13">
        <v>0.80049999999999999</v>
      </c>
      <c r="M93" s="13">
        <v>0.90239999999999998</v>
      </c>
      <c r="N93" s="13">
        <v>0.95150000000000001</v>
      </c>
      <c r="O93" s="13">
        <v>0.98980000000000001</v>
      </c>
      <c r="P93" s="13">
        <v>0.79849999999999999</v>
      </c>
      <c r="Q93" s="13">
        <v>0.89959999999999996</v>
      </c>
      <c r="R93" s="13">
        <v>0.94810000000000005</v>
      </c>
      <c r="S93" s="13">
        <v>0.98899999999999999</v>
      </c>
      <c r="T93" s="13">
        <v>0.79959999999999998</v>
      </c>
      <c r="U93" s="13">
        <v>0.89890000000000003</v>
      </c>
      <c r="V93" s="13">
        <v>0.95299999999999996</v>
      </c>
      <c r="W93" s="13">
        <v>0.98950000000000005</v>
      </c>
    </row>
    <row r="94" spans="1:23" ht="15.6" hidden="1" thickTop="1" thickBot="1" x14ac:dyDescent="0.35">
      <c r="A94" s="1" t="s">
        <v>56</v>
      </c>
      <c r="B94" s="1">
        <v>20</v>
      </c>
      <c r="C94" s="1" t="s">
        <v>88</v>
      </c>
      <c r="D94" s="12">
        <v>0.84050378956754301</v>
      </c>
      <c r="E94" s="12">
        <v>0.91139099420419101</v>
      </c>
      <c r="F94" s="12">
        <v>0.94661168078466296</v>
      </c>
      <c r="G94" s="12">
        <v>0.97380740080249695</v>
      </c>
      <c r="H94" s="12">
        <v>0.80292633703329996</v>
      </c>
      <c r="I94" s="12">
        <v>0.88113017154389495</v>
      </c>
      <c r="J94" s="12">
        <v>0.95287588294651904</v>
      </c>
      <c r="K94" s="12">
        <v>0.99192734611503497</v>
      </c>
      <c r="L94" s="12">
        <v>0.74866039834192699</v>
      </c>
      <c r="M94" s="12">
        <v>0.88009301385097605</v>
      </c>
      <c r="N94" s="12">
        <v>0.95086442220200196</v>
      </c>
      <c r="O94" s="12">
        <v>0.98746335052067502</v>
      </c>
      <c r="P94" s="12">
        <v>0.79873249514463895</v>
      </c>
      <c r="Q94" s="12">
        <v>0.87692936726975401</v>
      </c>
      <c r="R94" s="12">
        <v>0.96207707247265695</v>
      </c>
      <c r="S94" s="12">
        <v>0.99478687519165898</v>
      </c>
      <c r="T94" s="12">
        <v>0.84199560134274798</v>
      </c>
      <c r="U94" s="12">
        <v>0.93784002778099296</v>
      </c>
      <c r="V94" s="12">
        <v>0.97557587683759694</v>
      </c>
      <c r="W94" s="12">
        <v>0.989234865146429</v>
      </c>
    </row>
    <row r="95" spans="1:23" ht="15" hidden="1" thickBot="1" x14ac:dyDescent="0.35">
      <c r="A95" t="s">
        <v>56</v>
      </c>
      <c r="B95">
        <v>50</v>
      </c>
      <c r="C95" t="s">
        <v>88</v>
      </c>
      <c r="D95" s="13">
        <v>0.78745821092087898</v>
      </c>
      <c r="E95" s="13">
        <v>0.91388917029682903</v>
      </c>
      <c r="F95" s="13">
        <v>0.94661128558403396</v>
      </c>
      <c r="G95" s="13">
        <v>0.99402289535001498</v>
      </c>
      <c r="H95" s="13">
        <v>0.80610000000000004</v>
      </c>
      <c r="I95" s="13">
        <v>0.90100000000000002</v>
      </c>
      <c r="J95" s="13">
        <v>0.95399999999999996</v>
      </c>
      <c r="K95" s="13">
        <v>0.98870000000000002</v>
      </c>
      <c r="L95" s="13">
        <v>0.80267929089444001</v>
      </c>
      <c r="M95" s="13">
        <v>0.89101531023368297</v>
      </c>
      <c r="N95" s="13">
        <v>0.94470185334407697</v>
      </c>
      <c r="O95" s="13">
        <v>0.99204270749395695</v>
      </c>
      <c r="P95" s="13">
        <v>0.80159999999999998</v>
      </c>
      <c r="Q95" s="13">
        <v>0.8952</v>
      </c>
      <c r="R95" s="13">
        <v>0.94969999999999999</v>
      </c>
      <c r="S95" s="13">
        <v>0.98460000000000003</v>
      </c>
      <c r="T95" s="13">
        <v>0.76492842535787298</v>
      </c>
      <c r="U95" s="13">
        <v>0.91175869120654396</v>
      </c>
      <c r="V95" s="13">
        <v>0.94642126789366099</v>
      </c>
      <c r="W95" s="13">
        <v>0.99601226993865</v>
      </c>
    </row>
    <row r="96" spans="1:23" ht="15" hidden="1" thickBot="1" x14ac:dyDescent="0.35">
      <c r="A96" t="s">
        <v>56</v>
      </c>
      <c r="B96">
        <v>100</v>
      </c>
      <c r="C96" t="s">
        <v>88</v>
      </c>
      <c r="D96" s="13">
        <v>0.79653155878201298</v>
      </c>
      <c r="E96" s="13">
        <v>0.89725751159508005</v>
      </c>
      <c r="F96" s="13">
        <v>0.94998991732204097</v>
      </c>
      <c r="G96" s="13">
        <v>0.98709417221214002</v>
      </c>
      <c r="H96" s="13">
        <v>0.79690794096978201</v>
      </c>
      <c r="I96" s="13">
        <v>0.89719907639795204</v>
      </c>
      <c r="J96" s="13">
        <v>0.95281598233109099</v>
      </c>
      <c r="K96" s="13">
        <v>0.99016163035839799</v>
      </c>
      <c r="L96" s="13">
        <v>0.80607218256760804</v>
      </c>
      <c r="M96" s="13">
        <v>0.90761033477430397</v>
      </c>
      <c r="N96" s="13">
        <v>0.94661707047350996</v>
      </c>
      <c r="O96" s="13">
        <v>0.98894138936362697</v>
      </c>
      <c r="P96" s="13">
        <v>0.79023799919322302</v>
      </c>
      <c r="Q96" s="13">
        <v>0.88916901976603502</v>
      </c>
      <c r="R96" s="13">
        <v>0.94645018152480798</v>
      </c>
      <c r="S96" s="13">
        <v>0.98860427591770905</v>
      </c>
      <c r="T96" s="13">
        <v>0.80751363360937201</v>
      </c>
      <c r="U96" s="13">
        <v>0.90446374469804103</v>
      </c>
      <c r="V96" s="13">
        <v>0.954251666330034</v>
      </c>
      <c r="W96" s="13">
        <v>0.98656837002625697</v>
      </c>
    </row>
    <row r="97" spans="1:23" ht="15" thickTop="1" x14ac:dyDescent="0.3">
      <c r="A97" s="1" t="s">
        <v>57</v>
      </c>
      <c r="B97" s="1">
        <v>20</v>
      </c>
      <c r="C97" s="1" t="s">
        <v>88</v>
      </c>
      <c r="D97" s="12">
        <v>0.78584729981377999</v>
      </c>
      <c r="E97" s="12">
        <v>0.86136974963790602</v>
      </c>
      <c r="F97" s="12">
        <v>0.90347610180012405</v>
      </c>
      <c r="G97" s="12">
        <v>0.94454789985516197</v>
      </c>
      <c r="H97" s="12">
        <v>0.79012716531490901</v>
      </c>
      <c r="I97" s="12">
        <v>0.88995694402723502</v>
      </c>
      <c r="J97" s="12">
        <v>0.94512866726744804</v>
      </c>
      <c r="K97" s="12">
        <v>0.99028737358566099</v>
      </c>
      <c r="L97" s="12">
        <v>0.78365673134626901</v>
      </c>
      <c r="M97" s="12">
        <v>0.89377875575114996</v>
      </c>
      <c r="N97" s="12">
        <v>0.94978995799159804</v>
      </c>
      <c r="O97" s="12">
        <v>0.98869773954790996</v>
      </c>
      <c r="P97" s="12">
        <v>0.79616161616161596</v>
      </c>
      <c r="Q97" s="12">
        <v>0.88252525252525205</v>
      </c>
      <c r="R97" s="12">
        <v>0.95323232323232299</v>
      </c>
      <c r="S97" s="12">
        <v>0.99303030303030304</v>
      </c>
      <c r="T97" s="12">
        <v>0.84219001610305999</v>
      </c>
      <c r="U97" s="12">
        <v>0.92857142857142905</v>
      </c>
      <c r="V97" s="12">
        <v>0.96698872785829304</v>
      </c>
      <c r="W97" s="12">
        <v>0.98332183114791805</v>
      </c>
    </row>
    <row r="98" spans="1:23" x14ac:dyDescent="0.3">
      <c r="A98" t="s">
        <v>57</v>
      </c>
      <c r="B98">
        <v>50</v>
      </c>
      <c r="C98" t="s">
        <v>88</v>
      </c>
      <c r="D98" s="13">
        <v>0.79168336673346695</v>
      </c>
      <c r="E98" s="13">
        <v>0.89569138276553095</v>
      </c>
      <c r="F98" s="13">
        <v>0.94338677354709399</v>
      </c>
      <c r="G98" s="13">
        <v>0.98697394789579196</v>
      </c>
      <c r="H98" s="13">
        <v>0.79749999999999999</v>
      </c>
      <c r="I98" s="13">
        <v>0.89890000000000003</v>
      </c>
      <c r="J98" s="13">
        <v>0.94750000000000001</v>
      </c>
      <c r="K98" s="13">
        <v>0.98909999999999998</v>
      </c>
      <c r="L98" s="13">
        <v>0.79393818145443595</v>
      </c>
      <c r="M98" s="13">
        <v>0.89216765029508804</v>
      </c>
      <c r="N98" s="13">
        <v>0.94648394518355505</v>
      </c>
      <c r="O98" s="13">
        <v>0.98949684905471602</v>
      </c>
      <c r="P98" s="13">
        <v>0.7974</v>
      </c>
      <c r="Q98" s="13">
        <v>0.89839999999999998</v>
      </c>
      <c r="R98" s="13">
        <v>0.95069999999999999</v>
      </c>
      <c r="S98" s="13">
        <v>0.9879</v>
      </c>
      <c r="T98" s="13">
        <v>0.78118923344591096</v>
      </c>
      <c r="U98" s="13">
        <v>0.91382662982294505</v>
      </c>
      <c r="V98" s="13">
        <v>0.94770238460751199</v>
      </c>
      <c r="W98" s="13">
        <v>0.99508750383788802</v>
      </c>
    </row>
    <row r="99" spans="1:23" ht="15" thickBot="1" x14ac:dyDescent="0.35">
      <c r="A99" t="s">
        <v>57</v>
      </c>
      <c r="B99">
        <v>100</v>
      </c>
      <c r="C99" t="s">
        <v>88</v>
      </c>
      <c r="D99" s="13">
        <v>0.79379999999999995</v>
      </c>
      <c r="E99" s="13">
        <v>0.89400000000000002</v>
      </c>
      <c r="F99" s="13">
        <v>0.9425</v>
      </c>
      <c r="G99" s="13">
        <v>0.98719999999999997</v>
      </c>
      <c r="H99" s="13">
        <v>0.79349999999999998</v>
      </c>
      <c r="I99" s="13">
        <v>0.89500000000000002</v>
      </c>
      <c r="J99" s="13">
        <v>0.94420000000000004</v>
      </c>
      <c r="K99" s="13">
        <v>0.98870000000000002</v>
      </c>
      <c r="L99" s="13">
        <v>0.80394118235470602</v>
      </c>
      <c r="M99" s="13">
        <v>0.904871461438432</v>
      </c>
      <c r="N99" s="13">
        <v>0.94878463539061697</v>
      </c>
      <c r="O99" s="13">
        <v>0.98849654896468897</v>
      </c>
      <c r="P99" s="13">
        <v>0.80054178790007002</v>
      </c>
      <c r="Q99" s="13">
        <v>0.89716063007926194</v>
      </c>
      <c r="R99" s="13">
        <v>0.95133942008628503</v>
      </c>
      <c r="S99" s="13">
        <v>0.99137152603591805</v>
      </c>
      <c r="T99" s="13">
        <v>0.80803887820188303</v>
      </c>
      <c r="U99" s="13">
        <v>0.90523438290978997</v>
      </c>
      <c r="V99" s="13">
        <v>0.95656575883365402</v>
      </c>
      <c r="W99" s="13">
        <v>0.98785056191151199</v>
      </c>
    </row>
    <row r="100" spans="1:23" ht="15.6" hidden="1" thickTop="1" thickBot="1" x14ac:dyDescent="0.35">
      <c r="A100" s="1" t="s">
        <v>31</v>
      </c>
      <c r="B100" s="1">
        <v>20</v>
      </c>
      <c r="C100" s="1" t="s">
        <v>88</v>
      </c>
      <c r="D100" s="12">
        <v>0.82817791826597398</v>
      </c>
      <c r="E100" s="12">
        <v>0.90968615940392905</v>
      </c>
      <c r="F100" s="12">
        <v>0.95156920298035697</v>
      </c>
      <c r="G100" s="12">
        <v>0.97516369383608004</v>
      </c>
      <c r="H100" s="12">
        <v>0.79323496938673099</v>
      </c>
      <c r="I100" s="12">
        <v>0.88126066445849605</v>
      </c>
      <c r="J100" s="12">
        <v>0.95111914082103799</v>
      </c>
      <c r="K100" s="12">
        <v>0.99207066144735501</v>
      </c>
      <c r="L100" s="12">
        <v>0.78596456101711898</v>
      </c>
      <c r="M100" s="12">
        <v>0.89418360196215796</v>
      </c>
      <c r="N100" s="12">
        <v>0.94874361797977802</v>
      </c>
      <c r="O100" s="12">
        <v>0.98688557413154498</v>
      </c>
      <c r="P100" s="12">
        <v>0.80098502362046398</v>
      </c>
      <c r="Q100" s="12">
        <v>0.883706905216605</v>
      </c>
      <c r="R100" s="12">
        <v>0.95185445773444599</v>
      </c>
      <c r="S100" s="12">
        <v>0.99326565483968199</v>
      </c>
      <c r="T100" s="12">
        <v>0.83918358192217102</v>
      </c>
      <c r="U100" s="12">
        <v>0.91533026802736395</v>
      </c>
      <c r="V100" s="12">
        <v>0.95099248626219601</v>
      </c>
      <c r="W100" s="12">
        <v>0.97499158909947303</v>
      </c>
    </row>
    <row r="101" spans="1:23" ht="15" hidden="1" thickBot="1" x14ac:dyDescent="0.35">
      <c r="A101" t="s">
        <v>31</v>
      </c>
      <c r="B101">
        <v>50</v>
      </c>
      <c r="C101" t="s">
        <v>88</v>
      </c>
      <c r="D101" s="13">
        <v>0.77809621289662201</v>
      </c>
      <c r="E101" s="13">
        <v>0.90767656090071602</v>
      </c>
      <c r="F101" s="13">
        <v>0.94503582395087005</v>
      </c>
      <c r="G101" s="13">
        <v>0.99324462640736999</v>
      </c>
      <c r="H101" s="13">
        <v>0.80359999999999998</v>
      </c>
      <c r="I101" s="13">
        <v>0.8962</v>
      </c>
      <c r="J101" s="13">
        <v>0.94869999999999999</v>
      </c>
      <c r="K101" s="13">
        <v>0.98850000000000005</v>
      </c>
      <c r="L101" s="13">
        <v>0.79473578863090499</v>
      </c>
      <c r="M101" s="13">
        <v>0.89211369095276205</v>
      </c>
      <c r="N101" s="13">
        <v>0.94405524419535602</v>
      </c>
      <c r="O101" s="13">
        <v>0.98839071257005595</v>
      </c>
      <c r="P101" s="13">
        <v>0.80359999999999998</v>
      </c>
      <c r="Q101" s="13">
        <v>0.89670000000000005</v>
      </c>
      <c r="R101" s="13">
        <v>0.9506</v>
      </c>
      <c r="S101" s="13">
        <v>0.98799999999999999</v>
      </c>
      <c r="T101" s="13">
        <v>0.78366311516996401</v>
      </c>
      <c r="U101" s="13">
        <v>0.906139015728057</v>
      </c>
      <c r="V101" s="13">
        <v>0.94429223744292201</v>
      </c>
      <c r="W101" s="13">
        <v>0.99391171993911698</v>
      </c>
    </row>
    <row r="102" spans="1:23" ht="15" hidden="1" thickBot="1" x14ac:dyDescent="0.35">
      <c r="A102" t="s">
        <v>31</v>
      </c>
      <c r="B102">
        <v>100</v>
      </c>
      <c r="C102" t="s">
        <v>88</v>
      </c>
      <c r="D102" s="13">
        <v>0.80209073378666396</v>
      </c>
      <c r="E102" s="13">
        <v>0.90023343144220003</v>
      </c>
      <c r="F102" s="13">
        <v>0.95097939713792801</v>
      </c>
      <c r="G102" s="13">
        <v>0.986603065056328</v>
      </c>
      <c r="H102" s="13">
        <v>0.79166249123158605</v>
      </c>
      <c r="I102" s="13">
        <v>0.89387714199819601</v>
      </c>
      <c r="J102" s="13">
        <v>0.94819120152319902</v>
      </c>
      <c r="K102" s="13">
        <v>0.98657180078164097</v>
      </c>
      <c r="L102" s="13">
        <v>0.80314251401120895</v>
      </c>
      <c r="M102" s="13">
        <v>0.90662530024019194</v>
      </c>
      <c r="N102" s="13">
        <v>0.95016012810248196</v>
      </c>
      <c r="O102" s="13">
        <v>0.98889111289031195</v>
      </c>
      <c r="P102" s="13">
        <v>0.80038099057549605</v>
      </c>
      <c r="Q102" s="13">
        <v>0.895728895127331</v>
      </c>
      <c r="R102" s="13">
        <v>0.95027070382995804</v>
      </c>
      <c r="S102" s="13">
        <v>0.9880689793463</v>
      </c>
      <c r="T102" s="13">
        <v>0.804954183868694</v>
      </c>
      <c r="U102" s="13">
        <v>0.90162118618467402</v>
      </c>
      <c r="V102" s="13">
        <v>0.955492901017017</v>
      </c>
      <c r="W102" s="13">
        <v>0.98912496223945201</v>
      </c>
    </row>
    <row r="103" spans="1:23" ht="15.6" hidden="1" thickTop="1" thickBot="1" x14ac:dyDescent="0.35">
      <c r="A103" s="1" t="s">
        <v>56</v>
      </c>
      <c r="B103" s="1">
        <v>20</v>
      </c>
      <c r="C103" s="1" t="s">
        <v>89</v>
      </c>
      <c r="D103" s="12">
        <v>0.78539999999999999</v>
      </c>
      <c r="E103" s="12">
        <v>0.85780000000000001</v>
      </c>
      <c r="F103" s="12">
        <v>0.89329999999999998</v>
      </c>
      <c r="G103" s="12">
        <v>0.92720000000000002</v>
      </c>
      <c r="H103" s="12">
        <v>0.82450000000000001</v>
      </c>
      <c r="I103" s="12">
        <v>0.92069999999999996</v>
      </c>
      <c r="J103" s="12">
        <v>0.96060000000000001</v>
      </c>
      <c r="K103" s="12">
        <v>0.99099999999999999</v>
      </c>
      <c r="L103" s="12">
        <v>0.82899999999999996</v>
      </c>
      <c r="M103" s="12">
        <v>0.91979999999999995</v>
      </c>
      <c r="N103" s="12">
        <v>0.96150000000000002</v>
      </c>
      <c r="O103" s="12">
        <v>0.99519999999999997</v>
      </c>
      <c r="P103" s="12">
        <v>0.82054616384915502</v>
      </c>
      <c r="Q103" s="12">
        <v>0.92897869360808205</v>
      </c>
      <c r="R103" s="12">
        <v>0.96338901670501198</v>
      </c>
      <c r="S103" s="12">
        <v>0.99369810943282999</v>
      </c>
      <c r="T103" s="12">
        <v>0.80432804125796298</v>
      </c>
      <c r="U103" s="12">
        <v>0.83972090201233696</v>
      </c>
      <c r="V103" s="12">
        <v>0.86702396602285403</v>
      </c>
      <c r="W103" s="12">
        <v>0.88694509050460102</v>
      </c>
    </row>
    <row r="104" spans="1:23" ht="15" hidden="1" thickBot="1" x14ac:dyDescent="0.35">
      <c r="A104" t="s">
        <v>56</v>
      </c>
      <c r="B104">
        <v>50</v>
      </c>
      <c r="C104" t="s">
        <v>89</v>
      </c>
      <c r="D104" s="13">
        <v>0.81210000000000004</v>
      </c>
      <c r="E104" s="13">
        <v>0.9093</v>
      </c>
      <c r="F104" s="13">
        <v>0.95399999999999996</v>
      </c>
      <c r="G104" s="13">
        <v>0.98709999999999998</v>
      </c>
      <c r="H104" s="13">
        <v>0.82020000000000004</v>
      </c>
      <c r="I104" s="13">
        <v>0.91339999999999999</v>
      </c>
      <c r="J104" s="13">
        <v>0.96040000000000003</v>
      </c>
      <c r="K104" s="13">
        <v>0.99270000000000003</v>
      </c>
      <c r="L104" s="13">
        <v>0.8206</v>
      </c>
      <c r="M104" s="13">
        <v>0.91690000000000005</v>
      </c>
      <c r="N104" s="13">
        <v>0.96160000000000001</v>
      </c>
      <c r="O104" s="13">
        <v>0.99370000000000003</v>
      </c>
      <c r="P104" s="13">
        <v>0.80979999999999996</v>
      </c>
      <c r="Q104" s="13">
        <v>0.90629999999999999</v>
      </c>
      <c r="R104" s="13">
        <v>0.95660000000000001</v>
      </c>
      <c r="S104" s="13">
        <v>0.99050000000000005</v>
      </c>
      <c r="T104" s="13">
        <v>0.80657446382040499</v>
      </c>
      <c r="U104" s="13">
        <v>0.92152736019242298</v>
      </c>
      <c r="V104" s="13">
        <v>0.94527961515333703</v>
      </c>
      <c r="W104" s="13">
        <v>0.987873321306875</v>
      </c>
    </row>
    <row r="105" spans="1:23" ht="15" hidden="1" thickBot="1" x14ac:dyDescent="0.35">
      <c r="A105" t="s">
        <v>56</v>
      </c>
      <c r="B105">
        <v>100</v>
      </c>
      <c r="C105" t="s">
        <v>89</v>
      </c>
      <c r="D105" s="13">
        <v>0.80169999999999997</v>
      </c>
      <c r="E105" s="13">
        <v>0.90339999999999998</v>
      </c>
      <c r="F105" s="13">
        <v>0.94979999999999998</v>
      </c>
      <c r="G105" s="13">
        <v>0.98960000000000004</v>
      </c>
      <c r="H105" s="13">
        <v>0.81</v>
      </c>
      <c r="I105" s="13">
        <v>0.90980000000000005</v>
      </c>
      <c r="J105" s="13">
        <v>0.95689999999999997</v>
      </c>
      <c r="K105" s="13">
        <v>0.9919</v>
      </c>
      <c r="L105" s="13">
        <v>0.80979999999999996</v>
      </c>
      <c r="M105" s="13">
        <v>0.90880000000000005</v>
      </c>
      <c r="N105" s="13">
        <v>0.95320000000000005</v>
      </c>
      <c r="O105" s="13">
        <v>0.99019999999999997</v>
      </c>
      <c r="P105" s="13">
        <v>0.80569999999999997</v>
      </c>
      <c r="Q105" s="13">
        <v>0.90090000000000003</v>
      </c>
      <c r="R105" s="13">
        <v>0.94979999999999998</v>
      </c>
      <c r="S105" s="13">
        <v>0.99099999999999999</v>
      </c>
      <c r="T105" s="13">
        <v>0.808523409363745</v>
      </c>
      <c r="U105" s="13">
        <v>0.90456182472989199</v>
      </c>
      <c r="V105" s="13">
        <v>0.95318127250900397</v>
      </c>
      <c r="W105" s="13">
        <v>0.98919567827130805</v>
      </c>
    </row>
    <row r="106" spans="1:23" ht="15" thickTop="1" x14ac:dyDescent="0.3">
      <c r="A106" s="1" t="s">
        <v>57</v>
      </c>
      <c r="B106" s="1">
        <v>20</v>
      </c>
      <c r="C106" s="1" t="s">
        <v>89</v>
      </c>
      <c r="D106" s="12">
        <v>0.72889999999999999</v>
      </c>
      <c r="E106" s="12">
        <v>0.84740000000000004</v>
      </c>
      <c r="F106" s="12">
        <v>0.91930000000000001</v>
      </c>
      <c r="G106" s="12">
        <v>0.98350000000000004</v>
      </c>
      <c r="H106" s="12">
        <v>0.81730000000000003</v>
      </c>
      <c r="I106" s="12">
        <v>0.91139999999999999</v>
      </c>
      <c r="J106" s="12">
        <v>0.95720000000000005</v>
      </c>
      <c r="K106" s="12">
        <v>0.99039999999999995</v>
      </c>
      <c r="L106" s="12">
        <v>0.82650000000000001</v>
      </c>
      <c r="M106" s="12">
        <v>0.91790000000000005</v>
      </c>
      <c r="N106" s="12">
        <v>0.96289999999999998</v>
      </c>
      <c r="O106" s="12">
        <v>0.99470000000000003</v>
      </c>
      <c r="P106" s="12">
        <v>0.81810000000000005</v>
      </c>
      <c r="Q106" s="12">
        <v>0.91869999999999996</v>
      </c>
      <c r="R106" s="12">
        <v>0.96040000000000003</v>
      </c>
      <c r="S106" s="12">
        <v>0.99119999999999997</v>
      </c>
      <c r="T106" s="12">
        <v>0.79015803160632103</v>
      </c>
      <c r="U106" s="12">
        <v>0.844668933786757</v>
      </c>
      <c r="V106" s="12">
        <v>0.87737547509501901</v>
      </c>
      <c r="W106" s="12">
        <v>0.90208041608321698</v>
      </c>
    </row>
    <row r="107" spans="1:23" x14ac:dyDescent="0.3">
      <c r="A107" t="s">
        <v>57</v>
      </c>
      <c r="B107">
        <v>50</v>
      </c>
      <c r="C107" t="s">
        <v>89</v>
      </c>
      <c r="D107" s="13">
        <v>0.77680000000000005</v>
      </c>
      <c r="E107" s="13">
        <v>0.88649999999999995</v>
      </c>
      <c r="F107" s="13">
        <v>0.9425</v>
      </c>
      <c r="G107" s="13">
        <v>0.98760000000000003</v>
      </c>
      <c r="H107" s="13">
        <v>0.81799999999999995</v>
      </c>
      <c r="I107" s="13">
        <v>0.91069999999999995</v>
      </c>
      <c r="J107" s="13">
        <v>0.95520000000000005</v>
      </c>
      <c r="K107" s="13">
        <v>0.99060000000000004</v>
      </c>
      <c r="L107" s="13">
        <v>0.81040000000000001</v>
      </c>
      <c r="M107" s="13">
        <v>0.91200000000000003</v>
      </c>
      <c r="N107" s="13">
        <v>0.95609999999999995</v>
      </c>
      <c r="O107" s="13">
        <v>0.99219999999999997</v>
      </c>
      <c r="P107" s="13">
        <v>0.81159999999999999</v>
      </c>
      <c r="Q107" s="13">
        <v>0.90880000000000005</v>
      </c>
      <c r="R107" s="13">
        <v>0.9556</v>
      </c>
      <c r="S107" s="13">
        <v>0.9929</v>
      </c>
      <c r="T107" s="13">
        <v>0.80759999999999998</v>
      </c>
      <c r="U107" s="13">
        <v>0.91559999999999997</v>
      </c>
      <c r="V107" s="13">
        <v>0.95189999999999997</v>
      </c>
      <c r="W107" s="13">
        <v>0.98750000000000004</v>
      </c>
    </row>
    <row r="108" spans="1:23" ht="15" thickBot="1" x14ac:dyDescent="0.35">
      <c r="A108" t="s">
        <v>57</v>
      </c>
      <c r="B108">
        <v>100</v>
      </c>
      <c r="C108" t="s">
        <v>89</v>
      </c>
      <c r="D108" s="13">
        <v>0.80479999999999996</v>
      </c>
      <c r="E108" s="13">
        <v>0.90149999999999997</v>
      </c>
      <c r="F108" s="13">
        <v>0.95020000000000004</v>
      </c>
      <c r="G108" s="13">
        <v>0.99070000000000003</v>
      </c>
      <c r="H108" s="13">
        <v>0.80220000000000002</v>
      </c>
      <c r="I108" s="13">
        <v>0.90100000000000002</v>
      </c>
      <c r="J108" s="13">
        <v>0.94899999999999995</v>
      </c>
      <c r="K108" s="13">
        <v>0.9899</v>
      </c>
      <c r="L108" s="13">
        <v>0.81220000000000003</v>
      </c>
      <c r="M108" s="13">
        <v>0.90839999999999999</v>
      </c>
      <c r="N108" s="13">
        <v>0.9556</v>
      </c>
      <c r="O108" s="13">
        <v>0.98970000000000002</v>
      </c>
      <c r="P108" s="13">
        <v>0.81159999999999999</v>
      </c>
      <c r="Q108" s="13">
        <v>0.90910000000000002</v>
      </c>
      <c r="R108" s="13">
        <v>0.95579999999999998</v>
      </c>
      <c r="S108" s="13">
        <v>0.99339999999999995</v>
      </c>
      <c r="T108" s="13">
        <v>0.80830000000000002</v>
      </c>
      <c r="U108" s="13">
        <v>0.90939999999999999</v>
      </c>
      <c r="V108" s="13">
        <v>0.95530000000000004</v>
      </c>
      <c r="W108" s="13">
        <v>0.9909</v>
      </c>
    </row>
    <row r="109" spans="1:23" ht="15.6" hidden="1" thickTop="1" thickBot="1" x14ac:dyDescent="0.35">
      <c r="A109" s="1" t="s">
        <v>31</v>
      </c>
      <c r="B109" s="1">
        <v>20</v>
      </c>
      <c r="C109" s="1" t="s">
        <v>89</v>
      </c>
      <c r="D109" s="12">
        <v>0.77969999999999995</v>
      </c>
      <c r="E109" s="12">
        <v>0.8528</v>
      </c>
      <c r="F109" s="12">
        <v>0.8901</v>
      </c>
      <c r="G109" s="12">
        <v>0.92469999999999997</v>
      </c>
      <c r="H109" s="12">
        <v>0.81669999999999998</v>
      </c>
      <c r="I109" s="12">
        <v>0.91869999999999996</v>
      </c>
      <c r="J109" s="12">
        <v>0.96</v>
      </c>
      <c r="K109" s="12">
        <v>0.99019999999999997</v>
      </c>
      <c r="L109" s="12">
        <v>0.83450000000000002</v>
      </c>
      <c r="M109" s="12">
        <v>0.92469999999999997</v>
      </c>
      <c r="N109" s="12">
        <v>0.96609999999999996</v>
      </c>
      <c r="O109" s="12">
        <v>0.99439999999999995</v>
      </c>
      <c r="P109" s="12">
        <v>0.82620000000000005</v>
      </c>
      <c r="Q109" s="12">
        <v>0.91979999999999995</v>
      </c>
      <c r="R109" s="12">
        <v>0.96099999999999997</v>
      </c>
      <c r="S109" s="12">
        <v>0.9929</v>
      </c>
      <c r="T109" s="12">
        <v>0.78120000000000001</v>
      </c>
      <c r="U109" s="12">
        <v>0.85109999999999997</v>
      </c>
      <c r="V109" s="12">
        <v>0.88739999999999997</v>
      </c>
      <c r="W109" s="12">
        <v>0.92359999999999998</v>
      </c>
    </row>
    <row r="110" spans="1:23" ht="15" hidden="1" thickBot="1" x14ac:dyDescent="0.35">
      <c r="A110" t="s">
        <v>31</v>
      </c>
      <c r="B110">
        <v>50</v>
      </c>
      <c r="C110" t="s">
        <v>89</v>
      </c>
      <c r="D110" s="13">
        <v>0.80610000000000004</v>
      </c>
      <c r="E110" s="13">
        <v>0.90449999999999997</v>
      </c>
      <c r="F110" s="13">
        <v>0.95220000000000005</v>
      </c>
      <c r="G110" s="13">
        <v>0.98609999999999998</v>
      </c>
      <c r="H110" s="13">
        <v>0.81289999999999996</v>
      </c>
      <c r="I110" s="13">
        <v>0.90939999999999999</v>
      </c>
      <c r="J110" s="13">
        <v>0.95479999999999998</v>
      </c>
      <c r="K110" s="13">
        <v>0.99209999999999998</v>
      </c>
      <c r="L110" s="13">
        <v>0.81489999999999996</v>
      </c>
      <c r="M110" s="13">
        <v>0.91290000000000004</v>
      </c>
      <c r="N110" s="13">
        <v>0.95740000000000003</v>
      </c>
      <c r="O110" s="13">
        <v>0.99029999999999996</v>
      </c>
      <c r="P110" s="13">
        <v>0.81599999999999995</v>
      </c>
      <c r="Q110" s="13">
        <v>0.91110000000000002</v>
      </c>
      <c r="R110" s="13">
        <v>0.95779999999999998</v>
      </c>
      <c r="S110" s="13">
        <v>0.99199999999999999</v>
      </c>
      <c r="T110" s="13">
        <v>0.80500000000000005</v>
      </c>
      <c r="U110" s="13">
        <v>0.90820000000000001</v>
      </c>
      <c r="V110" s="13">
        <v>0.95389999999999997</v>
      </c>
      <c r="W110" s="13">
        <v>0.98899999999999999</v>
      </c>
    </row>
    <row r="111" spans="1:23" ht="15" hidden="1" thickBot="1" x14ac:dyDescent="0.35">
      <c r="A111" t="s">
        <v>31</v>
      </c>
      <c r="B111">
        <v>100</v>
      </c>
      <c r="C111" t="s">
        <v>89</v>
      </c>
      <c r="D111" s="13">
        <v>0.80879999999999996</v>
      </c>
      <c r="E111" s="13">
        <v>0.90810000000000002</v>
      </c>
      <c r="F111" s="13">
        <v>0.95279999999999998</v>
      </c>
      <c r="G111" s="13">
        <v>0.99</v>
      </c>
      <c r="H111" s="13">
        <v>0.80059999999999998</v>
      </c>
      <c r="I111" s="13">
        <v>0.90449999999999997</v>
      </c>
      <c r="J111" s="13">
        <v>0.95389999999999997</v>
      </c>
      <c r="K111" s="13">
        <v>0.98980000000000001</v>
      </c>
      <c r="L111" s="13">
        <v>0.80969999999999998</v>
      </c>
      <c r="M111" s="13">
        <v>0.90990000000000004</v>
      </c>
      <c r="N111" s="13">
        <v>0.95540000000000003</v>
      </c>
      <c r="O111" s="13">
        <v>0.99170000000000003</v>
      </c>
      <c r="P111" s="13">
        <v>0.81100000000000005</v>
      </c>
      <c r="Q111" s="13">
        <v>0.90849999999999997</v>
      </c>
      <c r="R111" s="13">
        <v>0.95540000000000003</v>
      </c>
      <c r="S111" s="13">
        <v>0.99050000000000005</v>
      </c>
      <c r="T111" s="13">
        <v>0.81230000000000002</v>
      </c>
      <c r="U111" s="13">
        <v>0.9073</v>
      </c>
      <c r="V111" s="13">
        <v>0.95599999999999996</v>
      </c>
      <c r="W111" s="13">
        <v>0.99139999999999995</v>
      </c>
    </row>
    <row r="112" spans="1:23" ht="15.6" hidden="1" thickTop="1" thickBot="1" x14ac:dyDescent="0.35">
      <c r="A112" s="1" t="s">
        <v>56</v>
      </c>
      <c r="B112" s="1">
        <v>20</v>
      </c>
      <c r="C112" s="1" t="s">
        <v>70</v>
      </c>
      <c r="D112" s="12">
        <v>0.79110000000000003</v>
      </c>
      <c r="E112" s="12">
        <v>0.84689999999999999</v>
      </c>
      <c r="F112" s="12">
        <v>0.87480000000000002</v>
      </c>
      <c r="G112" s="12">
        <v>0.89810000000000001</v>
      </c>
      <c r="H112" s="12">
        <v>0.82554766429929005</v>
      </c>
      <c r="I112" s="12">
        <v>0.92747824347304197</v>
      </c>
      <c r="J112" s="12">
        <v>0.958487546263879</v>
      </c>
      <c r="K112" s="12">
        <v>0.99239771931579501</v>
      </c>
      <c r="L112" s="12">
        <v>0.84112523776153802</v>
      </c>
      <c r="M112" s="12">
        <v>0.91260386425067597</v>
      </c>
      <c r="N112" s="12">
        <v>0.95915507057763505</v>
      </c>
      <c r="O112" s="12">
        <v>0.99599559515466995</v>
      </c>
      <c r="P112" s="12">
        <v>0.81432601249244396</v>
      </c>
      <c r="Q112" s="12">
        <v>0.93239975821076004</v>
      </c>
      <c r="R112" s="12">
        <v>0.96353012290953099</v>
      </c>
      <c r="S112" s="12">
        <v>0.99445899657465198</v>
      </c>
      <c r="T112" s="12">
        <v>0.81414929664236602</v>
      </c>
      <c r="U112" s="12">
        <v>0.83314508676455501</v>
      </c>
      <c r="V112" s="12">
        <v>0.86251155149399295</v>
      </c>
      <c r="W112" s="12">
        <v>0.87791354348495698</v>
      </c>
    </row>
    <row r="113" spans="1:23" ht="15" hidden="1" thickBot="1" x14ac:dyDescent="0.35">
      <c r="A113" t="s">
        <v>56</v>
      </c>
      <c r="B113">
        <v>50</v>
      </c>
      <c r="C113" t="s">
        <v>70</v>
      </c>
      <c r="D113" s="13">
        <v>0.8125</v>
      </c>
      <c r="E113" s="13">
        <v>0.91859999999999997</v>
      </c>
      <c r="F113" s="13">
        <v>0.95009999999999994</v>
      </c>
      <c r="G113" s="13">
        <v>0.98929999999999996</v>
      </c>
      <c r="H113" s="13">
        <v>0.81830000000000003</v>
      </c>
      <c r="I113" s="13">
        <v>0.91459999999999997</v>
      </c>
      <c r="J113" s="13">
        <v>0.96230000000000004</v>
      </c>
      <c r="K113" s="13">
        <v>0.99319999999999997</v>
      </c>
      <c r="L113" s="13">
        <v>0.81719031418851296</v>
      </c>
      <c r="M113" s="13">
        <v>0.92015209125475295</v>
      </c>
      <c r="N113" s="13">
        <v>0.96437862717630596</v>
      </c>
      <c r="O113" s="13">
        <v>0.993396037622574</v>
      </c>
      <c r="P113" s="13">
        <v>0.80710000000000004</v>
      </c>
      <c r="Q113" s="13">
        <v>0.90620000000000001</v>
      </c>
      <c r="R113" s="13">
        <v>0.95909999999999995</v>
      </c>
      <c r="S113" s="13">
        <v>0.98929999999999996</v>
      </c>
      <c r="T113" s="13">
        <v>0.813191273465246</v>
      </c>
      <c r="U113" s="13">
        <v>0.93018772196854405</v>
      </c>
      <c r="V113" s="13">
        <v>0.94246575342465799</v>
      </c>
      <c r="W113" s="13">
        <v>0.98873668188736696</v>
      </c>
    </row>
    <row r="114" spans="1:23" ht="15" hidden="1" thickBot="1" x14ac:dyDescent="0.35">
      <c r="A114" t="s">
        <v>56</v>
      </c>
      <c r="B114">
        <v>100</v>
      </c>
      <c r="C114" t="s">
        <v>70</v>
      </c>
      <c r="D114" s="13">
        <v>0.8014</v>
      </c>
      <c r="E114" s="13">
        <v>0.90080000000000005</v>
      </c>
      <c r="F114" s="13">
        <v>0.95109999999999995</v>
      </c>
      <c r="G114" s="13">
        <v>0.98929999999999996</v>
      </c>
      <c r="H114" s="13">
        <v>0.80789999999999995</v>
      </c>
      <c r="I114" s="13">
        <v>0.91110000000000002</v>
      </c>
      <c r="J114" s="13">
        <v>0.95699999999999996</v>
      </c>
      <c r="K114" s="13">
        <v>0.99229999999999996</v>
      </c>
      <c r="L114" s="13">
        <v>0.81038103810381001</v>
      </c>
      <c r="M114" s="13">
        <v>0.90779077907790795</v>
      </c>
      <c r="N114" s="13">
        <v>0.95449544954495402</v>
      </c>
      <c r="O114" s="13">
        <v>0.99129912991299096</v>
      </c>
      <c r="P114" s="13">
        <v>0.80118189102564097</v>
      </c>
      <c r="Q114" s="13">
        <v>0.90424679487179505</v>
      </c>
      <c r="R114" s="13">
        <v>0.95232371794871795</v>
      </c>
      <c r="S114" s="13">
        <v>0.99008413461538503</v>
      </c>
      <c r="T114" s="13">
        <v>0.80873874785071298</v>
      </c>
      <c r="U114" s="13">
        <v>0.90431880246788698</v>
      </c>
      <c r="V114" s="13">
        <v>0.95377768787296402</v>
      </c>
      <c r="W114" s="13">
        <v>0.98786285020734299</v>
      </c>
    </row>
    <row r="115" spans="1:23" ht="15" thickTop="1" x14ac:dyDescent="0.3">
      <c r="A115" s="1" t="s">
        <v>57</v>
      </c>
      <c r="B115" s="1">
        <v>20</v>
      </c>
      <c r="C115" s="1" t="s">
        <v>70</v>
      </c>
      <c r="D115" s="12">
        <v>0.80069999999999997</v>
      </c>
      <c r="E115" s="12">
        <v>0.88460000000000005</v>
      </c>
      <c r="F115" s="12">
        <v>0.92710000000000004</v>
      </c>
      <c r="G115" s="12">
        <v>0.96199999999999997</v>
      </c>
      <c r="H115" s="12">
        <v>0.81910000000000005</v>
      </c>
      <c r="I115" s="12">
        <v>0.91459999999999997</v>
      </c>
      <c r="J115" s="12">
        <v>0.96009999999999995</v>
      </c>
      <c r="K115" s="12">
        <v>0.99139999999999995</v>
      </c>
      <c r="L115" s="12">
        <v>0.83350000000000002</v>
      </c>
      <c r="M115" s="12">
        <v>0.92430000000000001</v>
      </c>
      <c r="N115" s="12">
        <v>0.9647</v>
      </c>
      <c r="O115" s="12">
        <v>0.99550000000000005</v>
      </c>
      <c r="P115" s="12">
        <v>0.81850000000000001</v>
      </c>
      <c r="Q115" s="12">
        <v>0.92510000000000003</v>
      </c>
      <c r="R115" s="12">
        <v>0.95909999999999995</v>
      </c>
      <c r="S115" s="12">
        <v>0.99299999999999999</v>
      </c>
      <c r="T115" s="12">
        <v>0.80528652138821599</v>
      </c>
      <c r="U115" s="12">
        <v>0.84039548022598898</v>
      </c>
      <c r="V115" s="12">
        <v>0.86904761904761896</v>
      </c>
      <c r="W115" s="12">
        <v>0.88861985472155003</v>
      </c>
    </row>
    <row r="116" spans="1:23" x14ac:dyDescent="0.3">
      <c r="A116" t="s">
        <v>57</v>
      </c>
      <c r="B116">
        <v>50</v>
      </c>
      <c r="C116" t="s">
        <v>70</v>
      </c>
      <c r="D116" s="13">
        <v>0.80720000000000003</v>
      </c>
      <c r="E116" s="13">
        <v>0.90410000000000001</v>
      </c>
      <c r="F116" s="13">
        <v>0.95120000000000005</v>
      </c>
      <c r="G116" s="13">
        <v>0.98670000000000002</v>
      </c>
      <c r="H116" s="13">
        <v>0.81859999999999999</v>
      </c>
      <c r="I116" s="13">
        <v>0.90969999999999995</v>
      </c>
      <c r="J116" s="13">
        <v>0.95720000000000005</v>
      </c>
      <c r="K116" s="13">
        <v>0.99209999999999998</v>
      </c>
      <c r="L116" s="13">
        <v>0.81120000000000003</v>
      </c>
      <c r="M116" s="13">
        <v>0.91180000000000005</v>
      </c>
      <c r="N116" s="13">
        <v>0.95669999999999999</v>
      </c>
      <c r="O116" s="13">
        <v>0.99229999999999996</v>
      </c>
      <c r="P116" s="13">
        <v>0.80889999999999995</v>
      </c>
      <c r="Q116" s="13">
        <v>0.91110000000000002</v>
      </c>
      <c r="R116" s="13">
        <v>0.95899999999999996</v>
      </c>
      <c r="S116" s="13">
        <v>0.99219999999999997</v>
      </c>
      <c r="T116" s="13">
        <v>0.81394882087305598</v>
      </c>
      <c r="U116" s="13">
        <v>0.92624184646261898</v>
      </c>
      <c r="V116" s="13">
        <v>0.9490215755143</v>
      </c>
      <c r="W116" s="13">
        <v>0.989362769693929</v>
      </c>
    </row>
    <row r="117" spans="1:23" ht="15" thickBot="1" x14ac:dyDescent="0.35">
      <c r="A117" t="s">
        <v>57</v>
      </c>
      <c r="B117">
        <v>100</v>
      </c>
      <c r="C117" t="s">
        <v>70</v>
      </c>
      <c r="D117" s="13">
        <v>0.80600000000000005</v>
      </c>
      <c r="E117" s="13">
        <v>0.9032</v>
      </c>
      <c r="F117" s="13">
        <v>0.94930000000000003</v>
      </c>
      <c r="G117" s="13">
        <v>0.98950000000000005</v>
      </c>
      <c r="H117" s="13">
        <v>0.80189999999999995</v>
      </c>
      <c r="I117" s="13">
        <v>0.90439999999999998</v>
      </c>
      <c r="J117" s="13">
        <v>0.95009999999999994</v>
      </c>
      <c r="K117" s="13">
        <v>0.99070000000000003</v>
      </c>
      <c r="L117" s="13">
        <v>0.81130000000000002</v>
      </c>
      <c r="M117" s="13">
        <v>0.90990000000000004</v>
      </c>
      <c r="N117" s="13">
        <v>0.95430000000000004</v>
      </c>
      <c r="O117" s="13">
        <v>0.9909</v>
      </c>
      <c r="P117" s="13">
        <v>0.81230000000000002</v>
      </c>
      <c r="Q117" s="13">
        <v>0.91020000000000001</v>
      </c>
      <c r="R117" s="13">
        <v>0.95660000000000001</v>
      </c>
      <c r="S117" s="13">
        <v>0.99299999999999999</v>
      </c>
      <c r="T117" s="13">
        <v>0.81062124248497003</v>
      </c>
      <c r="U117" s="13">
        <v>0.90741482965931897</v>
      </c>
      <c r="V117" s="13">
        <v>0.95691382765531097</v>
      </c>
      <c r="W117" s="13">
        <v>0.99008016032064095</v>
      </c>
    </row>
    <row r="118" spans="1:23" ht="15.6" hidden="1" thickTop="1" thickBot="1" x14ac:dyDescent="0.35">
      <c r="A118" s="1" t="s">
        <v>31</v>
      </c>
      <c r="B118" s="1">
        <v>20</v>
      </c>
      <c r="C118" s="1" t="s">
        <v>70</v>
      </c>
      <c r="D118" s="12">
        <v>0.79285499849894903</v>
      </c>
      <c r="E118" s="12">
        <v>0.84699289502651898</v>
      </c>
      <c r="F118" s="12">
        <v>0.87861503052136503</v>
      </c>
      <c r="G118" s="12">
        <v>0.90093065145601903</v>
      </c>
      <c r="H118" s="12">
        <v>0.81958195819582003</v>
      </c>
      <c r="I118" s="12">
        <v>0.923092309230923</v>
      </c>
      <c r="J118" s="12">
        <v>0.96029602960296001</v>
      </c>
      <c r="K118" s="12">
        <v>0.992199219921992</v>
      </c>
      <c r="L118" s="12">
        <v>0.83989999999999998</v>
      </c>
      <c r="M118" s="12">
        <v>0.92420000000000002</v>
      </c>
      <c r="N118" s="12">
        <v>0.96240000000000003</v>
      </c>
      <c r="O118" s="12">
        <v>0.99439999999999995</v>
      </c>
      <c r="P118" s="12">
        <v>0.82730000000000004</v>
      </c>
      <c r="Q118" s="12">
        <v>0.92410000000000003</v>
      </c>
      <c r="R118" s="12">
        <v>0.95930000000000004</v>
      </c>
      <c r="S118" s="12">
        <v>0.99350000000000005</v>
      </c>
      <c r="T118" s="12">
        <v>0.79807788567424198</v>
      </c>
      <c r="U118" s="12">
        <v>0.84813294624086499</v>
      </c>
      <c r="V118" s="12">
        <v>0.87386124737210902</v>
      </c>
      <c r="W118" s="12">
        <v>0.89828811692862098</v>
      </c>
    </row>
    <row r="119" spans="1:23" ht="15" hidden="1" thickBot="1" x14ac:dyDescent="0.35">
      <c r="A119" t="s">
        <v>31</v>
      </c>
      <c r="B119">
        <v>50</v>
      </c>
      <c r="C119" t="s">
        <v>70</v>
      </c>
      <c r="D119" s="13">
        <v>0.80730365182591302</v>
      </c>
      <c r="E119" s="13">
        <v>0.912256128064032</v>
      </c>
      <c r="F119" s="13">
        <v>0.94997498749374698</v>
      </c>
      <c r="G119" s="13">
        <v>0.98869434717358695</v>
      </c>
      <c r="H119" s="13">
        <v>0.81520000000000004</v>
      </c>
      <c r="I119" s="13">
        <v>0.90769999999999995</v>
      </c>
      <c r="J119" s="13">
        <v>0.95730000000000004</v>
      </c>
      <c r="K119" s="13">
        <v>0.99229999999999996</v>
      </c>
      <c r="L119" s="13">
        <v>0.81310000000000004</v>
      </c>
      <c r="M119" s="13">
        <v>0.91249999999999998</v>
      </c>
      <c r="N119" s="13">
        <v>0.95650000000000002</v>
      </c>
      <c r="O119" s="13">
        <v>0.99119999999999997</v>
      </c>
      <c r="P119" s="13">
        <v>0.81659999999999999</v>
      </c>
      <c r="Q119" s="13">
        <v>0.91120000000000001</v>
      </c>
      <c r="R119" s="13">
        <v>0.95750000000000002</v>
      </c>
      <c r="S119" s="13">
        <v>0.99219999999999997</v>
      </c>
      <c r="T119" s="13">
        <v>0.81020510255127598</v>
      </c>
      <c r="U119" s="13">
        <v>0.91695847923962004</v>
      </c>
      <c r="V119" s="13">
        <v>0.95027513756878401</v>
      </c>
      <c r="W119" s="13">
        <v>0.99089544772386196</v>
      </c>
    </row>
    <row r="120" spans="1:23" ht="15" hidden="1" thickBot="1" x14ac:dyDescent="0.35">
      <c r="A120" t="s">
        <v>31</v>
      </c>
      <c r="B120">
        <v>100</v>
      </c>
      <c r="C120" t="s">
        <v>70</v>
      </c>
      <c r="D120" s="13">
        <v>0.80702280912364899</v>
      </c>
      <c r="E120" s="13">
        <v>0.90406162464985995</v>
      </c>
      <c r="F120" s="13">
        <v>0.95258103241296499</v>
      </c>
      <c r="G120" s="13">
        <v>0.98949579831932799</v>
      </c>
      <c r="H120" s="13">
        <v>0.80189999999999995</v>
      </c>
      <c r="I120" s="13">
        <v>0.90549999999999997</v>
      </c>
      <c r="J120" s="13">
        <v>0.95299999999999996</v>
      </c>
      <c r="K120" s="13">
        <v>0.98870000000000002</v>
      </c>
      <c r="L120" s="13">
        <v>0.8125</v>
      </c>
      <c r="M120" s="13">
        <v>0.90980000000000005</v>
      </c>
      <c r="N120" s="13">
        <v>0.9577</v>
      </c>
      <c r="O120" s="13">
        <v>0.99170000000000003</v>
      </c>
      <c r="P120" s="13">
        <v>0.81030000000000002</v>
      </c>
      <c r="Q120" s="13">
        <v>0.90749999999999997</v>
      </c>
      <c r="R120" s="13">
        <v>0.95420000000000005</v>
      </c>
      <c r="S120" s="13">
        <v>0.99009999999999998</v>
      </c>
      <c r="T120" s="13">
        <v>0.80979999999999996</v>
      </c>
      <c r="U120" s="13">
        <v>0.90559999999999996</v>
      </c>
      <c r="V120" s="13">
        <v>0.95660000000000001</v>
      </c>
      <c r="W120" s="13">
        <v>0.99099999999999999</v>
      </c>
    </row>
    <row r="121" spans="1:23" ht="15.6" hidden="1" thickTop="1" thickBot="1" x14ac:dyDescent="0.35">
      <c r="A121" s="1" t="s">
        <v>56</v>
      </c>
      <c r="B121" s="1">
        <v>20</v>
      </c>
      <c r="C121" s="1" t="s">
        <v>90</v>
      </c>
      <c r="D121" s="12">
        <v>0.806201550387597</v>
      </c>
      <c r="E121" s="12">
        <v>0.84143763213530698</v>
      </c>
      <c r="F121" s="12">
        <v>0.86640491291654098</v>
      </c>
      <c r="G121" s="12">
        <v>0.88533172254102499</v>
      </c>
      <c r="H121" s="12">
        <v>0.81914251207729505</v>
      </c>
      <c r="I121" s="12">
        <v>0.92934782608695699</v>
      </c>
      <c r="J121" s="12">
        <v>0.95964170692431605</v>
      </c>
      <c r="K121" s="12">
        <v>0.99416264090177098</v>
      </c>
      <c r="L121" s="12">
        <v>0.855656565656566</v>
      </c>
      <c r="M121" s="12">
        <v>0.90040404040403998</v>
      </c>
      <c r="N121" s="12">
        <v>0.95717171717171701</v>
      </c>
      <c r="O121" s="12">
        <v>0.99646464646464605</v>
      </c>
      <c r="P121" s="12">
        <v>0.80751604032997204</v>
      </c>
      <c r="Q121" s="12">
        <v>0.93359812608208603</v>
      </c>
      <c r="R121" s="12">
        <v>0.96364191872899496</v>
      </c>
      <c r="S121" s="12">
        <v>0.99511151848457102</v>
      </c>
      <c r="T121" s="12">
        <v>0.82204692142198499</v>
      </c>
      <c r="U121" s="12">
        <v>0.83116483966806698</v>
      </c>
      <c r="V121" s="12">
        <v>0.86282143223030405</v>
      </c>
      <c r="W121" s="12">
        <v>0.87542260014342799</v>
      </c>
    </row>
    <row r="122" spans="1:23" ht="15" hidden="1" thickBot="1" x14ac:dyDescent="0.35">
      <c r="A122" t="s">
        <v>56</v>
      </c>
      <c r="B122">
        <v>50</v>
      </c>
      <c r="C122" t="s">
        <v>90</v>
      </c>
      <c r="D122" s="13">
        <v>0.81702385766275798</v>
      </c>
      <c r="E122" s="13">
        <v>0.92883137889203404</v>
      </c>
      <c r="F122" s="13">
        <v>0.94723008491710503</v>
      </c>
      <c r="G122" s="13">
        <v>0.99110392236150402</v>
      </c>
      <c r="H122" s="13">
        <v>0.81510000000000005</v>
      </c>
      <c r="I122" s="13">
        <v>0.91180000000000005</v>
      </c>
      <c r="J122" s="13">
        <v>0.96540000000000004</v>
      </c>
      <c r="K122" s="13">
        <v>0.99239999999999995</v>
      </c>
      <c r="L122" s="13">
        <v>0.80832829199435396</v>
      </c>
      <c r="M122" s="13">
        <v>0.925589836660617</v>
      </c>
      <c r="N122" s="13">
        <v>0.96702964307320005</v>
      </c>
      <c r="O122" s="13">
        <v>0.99395039322444001</v>
      </c>
      <c r="P122" s="13">
        <v>0.80640000000000001</v>
      </c>
      <c r="Q122" s="13">
        <v>0.90159999999999996</v>
      </c>
      <c r="R122" s="13">
        <v>0.96150000000000002</v>
      </c>
      <c r="S122" s="13">
        <v>0.98880000000000001</v>
      </c>
      <c r="T122" s="13">
        <v>0.818967269770279</v>
      </c>
      <c r="U122" s="13">
        <v>0.93525106729009999</v>
      </c>
      <c r="V122" s="13">
        <v>0.93992681439316905</v>
      </c>
      <c r="W122" s="13">
        <v>0.98892051229924804</v>
      </c>
    </row>
    <row r="123" spans="1:23" ht="15" hidden="1" thickBot="1" x14ac:dyDescent="0.35">
      <c r="A123" t="s">
        <v>56</v>
      </c>
      <c r="B123">
        <v>100</v>
      </c>
      <c r="C123" t="s">
        <v>90</v>
      </c>
      <c r="D123" s="13">
        <v>0.80233847394415903</v>
      </c>
      <c r="E123" s="13">
        <v>0.90142122769882105</v>
      </c>
      <c r="F123" s="13">
        <v>0.95202096562846505</v>
      </c>
      <c r="G123" s="13">
        <v>0.98830763027920598</v>
      </c>
      <c r="H123" s="13">
        <v>0.80226725521669295</v>
      </c>
      <c r="I123" s="13">
        <v>0.91372391653290497</v>
      </c>
      <c r="J123" s="13">
        <v>0.95896869983948596</v>
      </c>
      <c r="K123" s="13">
        <v>0.99157303370786498</v>
      </c>
      <c r="L123" s="13">
        <v>0.81039509399818999</v>
      </c>
      <c r="M123" s="13">
        <v>0.91052578666934803</v>
      </c>
      <c r="N123" s="13">
        <v>0.95757514828591495</v>
      </c>
      <c r="O123" s="13">
        <v>0.99215843973057205</v>
      </c>
      <c r="P123" s="13">
        <v>0.79402864635868498</v>
      </c>
      <c r="Q123" s="13">
        <v>0.90871494855759505</v>
      </c>
      <c r="R123" s="13">
        <v>0.95622352229170904</v>
      </c>
      <c r="S123" s="13">
        <v>0.98920718176316302</v>
      </c>
      <c r="T123" s="13">
        <v>0.80888888888888899</v>
      </c>
      <c r="U123" s="13">
        <v>0.90525252525252498</v>
      </c>
      <c r="V123" s="13">
        <v>0.95434343434343405</v>
      </c>
      <c r="W123" s="13">
        <v>0.98696969696969705</v>
      </c>
    </row>
    <row r="124" spans="1:23" ht="15" thickTop="1" x14ac:dyDescent="0.3">
      <c r="A124" s="1" t="s">
        <v>57</v>
      </c>
      <c r="B124" s="1">
        <v>20</v>
      </c>
      <c r="C124" s="1" t="s">
        <v>90</v>
      </c>
      <c r="D124" s="12">
        <v>0.78690000000000004</v>
      </c>
      <c r="E124" s="12">
        <v>0.85619999999999996</v>
      </c>
      <c r="F124" s="12">
        <v>0.89100000000000001</v>
      </c>
      <c r="G124" s="12">
        <v>0.9234</v>
      </c>
      <c r="H124" s="12">
        <v>0.82289999999999996</v>
      </c>
      <c r="I124" s="12">
        <v>0.92179999999999995</v>
      </c>
      <c r="J124" s="12">
        <v>0.96120000000000005</v>
      </c>
      <c r="K124" s="12">
        <v>0.99309999999999998</v>
      </c>
      <c r="L124" s="12">
        <v>0.84443777511004403</v>
      </c>
      <c r="M124" s="12">
        <v>0.92256902761104398</v>
      </c>
      <c r="N124" s="12">
        <v>0.96338535414165705</v>
      </c>
      <c r="O124" s="12">
        <v>0.99619847939175699</v>
      </c>
      <c r="P124" s="12">
        <v>0.81447963800904999</v>
      </c>
      <c r="Q124" s="12">
        <v>0.92730015082956296</v>
      </c>
      <c r="R124" s="12">
        <v>0.95827048768225198</v>
      </c>
      <c r="S124" s="12">
        <v>0.99416792357968797</v>
      </c>
      <c r="T124" s="12">
        <v>0.81633072809543406</v>
      </c>
      <c r="U124" s="12">
        <v>0.83473879062114398</v>
      </c>
      <c r="V124" s="12">
        <v>0.86517893870835005</v>
      </c>
      <c r="W124" s="12">
        <v>0.87916495269436401</v>
      </c>
    </row>
    <row r="125" spans="1:23" x14ac:dyDescent="0.3">
      <c r="A125" t="s">
        <v>57</v>
      </c>
      <c r="B125">
        <v>50</v>
      </c>
      <c r="C125" t="s">
        <v>90</v>
      </c>
      <c r="D125" s="13">
        <v>0.81040000000000001</v>
      </c>
      <c r="E125" s="13">
        <v>0.90759999999999996</v>
      </c>
      <c r="F125" s="13">
        <v>0.95150000000000001</v>
      </c>
      <c r="G125" s="13">
        <v>0.98750000000000004</v>
      </c>
      <c r="H125" s="13">
        <v>0.81610000000000005</v>
      </c>
      <c r="I125" s="13">
        <v>0.91220000000000001</v>
      </c>
      <c r="J125" s="13">
        <v>0.95720000000000005</v>
      </c>
      <c r="K125" s="13">
        <v>0.99260000000000004</v>
      </c>
      <c r="L125" s="13">
        <v>0.80676135227045398</v>
      </c>
      <c r="M125" s="13">
        <v>0.91648329665933204</v>
      </c>
      <c r="N125" s="13">
        <v>0.95999199839967997</v>
      </c>
      <c r="O125" s="13">
        <v>0.99249849969993997</v>
      </c>
      <c r="P125" s="13">
        <v>0.80689999999999995</v>
      </c>
      <c r="Q125" s="13">
        <v>0.91</v>
      </c>
      <c r="R125" s="13">
        <v>0.96150000000000002</v>
      </c>
      <c r="S125" s="13">
        <v>0.99109999999999998</v>
      </c>
      <c r="T125" s="13">
        <v>0.82149751092146694</v>
      </c>
      <c r="U125" s="13">
        <v>0.93396322259473696</v>
      </c>
      <c r="V125" s="13">
        <v>0.94544346235903698</v>
      </c>
      <c r="W125" s="13">
        <v>0.99014528091029197</v>
      </c>
    </row>
    <row r="126" spans="1:23" ht="15" thickBot="1" x14ac:dyDescent="0.35">
      <c r="A126" t="s">
        <v>57</v>
      </c>
      <c r="B126">
        <v>100</v>
      </c>
      <c r="C126" t="s">
        <v>90</v>
      </c>
      <c r="D126" s="13">
        <v>0.80520000000000003</v>
      </c>
      <c r="E126" s="13">
        <v>0.90169999999999995</v>
      </c>
      <c r="F126" s="13">
        <v>0.9476</v>
      </c>
      <c r="G126" s="13">
        <v>0.98839999999999995</v>
      </c>
      <c r="H126" s="13">
        <v>0.80389999999999995</v>
      </c>
      <c r="I126" s="13">
        <v>0.90359999999999996</v>
      </c>
      <c r="J126" s="13">
        <v>0.95150000000000001</v>
      </c>
      <c r="K126" s="13">
        <v>0.99039999999999995</v>
      </c>
      <c r="L126" s="13">
        <v>0.81232492997198902</v>
      </c>
      <c r="M126" s="13">
        <v>0.910664265706283</v>
      </c>
      <c r="N126" s="13">
        <v>0.95618247298919601</v>
      </c>
      <c r="O126" s="13">
        <v>0.99089635854341696</v>
      </c>
      <c r="P126" s="13">
        <v>0.805761895201767</v>
      </c>
      <c r="Q126" s="13">
        <v>0.91306966472595896</v>
      </c>
      <c r="R126" s="13">
        <v>0.95874322425215797</v>
      </c>
      <c r="S126" s="13">
        <v>0.99186910258984096</v>
      </c>
      <c r="T126" s="13">
        <v>0.81151938455309203</v>
      </c>
      <c r="U126" s="13">
        <v>0.906974390120458</v>
      </c>
      <c r="V126" s="13">
        <v>0.95778924992408099</v>
      </c>
      <c r="W126" s="13">
        <v>0.98866282012349405</v>
      </c>
    </row>
    <row r="127" spans="1:23" ht="15.6" hidden="1" thickTop="1" thickBot="1" x14ac:dyDescent="0.35">
      <c r="A127" s="1" t="s">
        <v>31</v>
      </c>
      <c r="B127" s="1">
        <v>20</v>
      </c>
      <c r="C127" s="1" t="s">
        <v>90</v>
      </c>
      <c r="D127" s="12">
        <v>0.80421009605559002</v>
      </c>
      <c r="E127" s="12">
        <v>0.83977110157367696</v>
      </c>
      <c r="F127" s="12">
        <v>0.86960964643368099</v>
      </c>
      <c r="G127" s="12">
        <v>0.888820764357245</v>
      </c>
      <c r="H127" s="12">
        <v>0.81524897304879296</v>
      </c>
      <c r="I127" s="12">
        <v>0.92736198777677603</v>
      </c>
      <c r="J127" s="12">
        <v>0.95982366496343097</v>
      </c>
      <c r="K127" s="12">
        <v>0.99368800721370598</v>
      </c>
      <c r="L127" s="12">
        <v>0.85515515515515494</v>
      </c>
      <c r="M127" s="12">
        <v>0.91781781781781802</v>
      </c>
      <c r="N127" s="12">
        <v>0.95915915915915895</v>
      </c>
      <c r="O127" s="12">
        <v>0.99489489489489502</v>
      </c>
      <c r="P127" s="12">
        <v>0.82047939023167205</v>
      </c>
      <c r="Q127" s="12">
        <v>0.92748972018854703</v>
      </c>
      <c r="R127" s="12">
        <v>0.95898104503058901</v>
      </c>
      <c r="S127" s="12">
        <v>0.99548691204493001</v>
      </c>
      <c r="T127" s="12">
        <v>0.81031681559707602</v>
      </c>
      <c r="U127" s="12">
        <v>0.84260763606823696</v>
      </c>
      <c r="V127" s="12">
        <v>0.86728269699431404</v>
      </c>
      <c r="W127" s="12">
        <v>0.88657595450853</v>
      </c>
    </row>
    <row r="128" spans="1:23" ht="15" hidden="1" thickBot="1" x14ac:dyDescent="0.35">
      <c r="A128" t="s">
        <v>31</v>
      </c>
      <c r="B128">
        <v>50</v>
      </c>
      <c r="C128" t="s">
        <v>90</v>
      </c>
      <c r="D128" s="13">
        <v>0.81431767337807603</v>
      </c>
      <c r="E128" s="13">
        <v>0.92607280862314401</v>
      </c>
      <c r="F128" s="13">
        <v>0.94458002847264599</v>
      </c>
      <c r="G128" s="13">
        <v>0.98901769371568005</v>
      </c>
      <c r="H128" s="13">
        <v>0.81320000000000003</v>
      </c>
      <c r="I128" s="13">
        <v>0.90669999999999995</v>
      </c>
      <c r="J128" s="13">
        <v>0.96</v>
      </c>
      <c r="K128" s="13">
        <v>0.99180000000000001</v>
      </c>
      <c r="L128" s="13">
        <v>0.80814651721377095</v>
      </c>
      <c r="M128" s="13">
        <v>0.91883506805444404</v>
      </c>
      <c r="N128" s="13">
        <v>0.95806645316253003</v>
      </c>
      <c r="O128" s="13">
        <v>0.99119295436349097</v>
      </c>
      <c r="P128" s="13">
        <v>0.81540000000000001</v>
      </c>
      <c r="Q128" s="13">
        <v>0.91020000000000001</v>
      </c>
      <c r="R128" s="13">
        <v>0.96199999999999997</v>
      </c>
      <c r="S128" s="13">
        <v>0.99180000000000001</v>
      </c>
      <c r="T128" s="13">
        <v>0.81800727566693598</v>
      </c>
      <c r="U128" s="13">
        <v>0.92774858528698501</v>
      </c>
      <c r="V128" s="13">
        <v>0.94624090541632999</v>
      </c>
      <c r="W128" s="13">
        <v>0.99110751818916698</v>
      </c>
    </row>
    <row r="129" spans="1:23" ht="15" hidden="1" thickBot="1" x14ac:dyDescent="0.35">
      <c r="A129" t="s">
        <v>31</v>
      </c>
      <c r="B129">
        <v>100</v>
      </c>
      <c r="C129" t="s">
        <v>90</v>
      </c>
      <c r="D129" s="13">
        <v>0.80659563673262302</v>
      </c>
      <c r="E129" s="13">
        <v>0.901978691019787</v>
      </c>
      <c r="F129" s="13">
        <v>0.95261288685946199</v>
      </c>
      <c r="G129" s="13">
        <v>0.98762049720953804</v>
      </c>
      <c r="H129" s="13">
        <v>0.79683430174313796</v>
      </c>
      <c r="I129" s="13">
        <v>0.90873572430374705</v>
      </c>
      <c r="J129" s="13">
        <v>0.95562011620917697</v>
      </c>
      <c r="K129" s="13">
        <v>0.98847926267281105</v>
      </c>
      <c r="L129" s="13">
        <v>0.80976683678575001</v>
      </c>
      <c r="M129" s="13">
        <v>0.91193835684979496</v>
      </c>
      <c r="N129" s="13">
        <v>0.95927149004303003</v>
      </c>
      <c r="O129" s="13">
        <v>0.99269488642049397</v>
      </c>
      <c r="P129" s="13">
        <v>0.80641604010025103</v>
      </c>
      <c r="Q129" s="13">
        <v>0.90937343358395994</v>
      </c>
      <c r="R129" s="13">
        <v>0.95679197994987497</v>
      </c>
      <c r="S129" s="13">
        <v>0.98987468671679202</v>
      </c>
      <c r="T129" s="13">
        <v>0.81005136468929395</v>
      </c>
      <c r="U129" s="13">
        <v>0.90452210695941204</v>
      </c>
      <c r="V129" s="13">
        <v>0.95739752240910503</v>
      </c>
      <c r="W129" s="13">
        <v>0.99033135260348504</v>
      </c>
    </row>
    <row r="130" spans="1:23" ht="15.6" hidden="1" thickTop="1" thickBot="1" x14ac:dyDescent="0.35">
      <c r="A130" s="1" t="s">
        <v>56</v>
      </c>
      <c r="B130" s="1">
        <v>20</v>
      </c>
      <c r="C130" s="1" t="s">
        <v>55</v>
      </c>
      <c r="D130" s="12">
        <v>0.87070000000000003</v>
      </c>
      <c r="E130" s="12">
        <v>0.95989999999999998</v>
      </c>
      <c r="F130" s="12">
        <v>0.95989999999999998</v>
      </c>
      <c r="G130" s="12">
        <v>0.998</v>
      </c>
      <c r="H130" s="12">
        <v>0.8095</v>
      </c>
      <c r="I130" s="12">
        <v>0.93369999999999997</v>
      </c>
      <c r="J130" s="12">
        <v>0.96099999999999997</v>
      </c>
      <c r="K130" s="12">
        <v>0.99099999999999999</v>
      </c>
      <c r="L130" s="12">
        <v>0.87880000000000003</v>
      </c>
      <c r="M130" s="12">
        <v>0.95640000000000003</v>
      </c>
      <c r="N130" s="12">
        <v>0.95640000000000003</v>
      </c>
      <c r="O130" s="12">
        <v>0.99719999999999998</v>
      </c>
      <c r="P130" s="12">
        <v>0.80469999999999997</v>
      </c>
      <c r="Q130" s="12">
        <v>0.93799999999999994</v>
      </c>
      <c r="R130" s="12">
        <v>0.96450000000000002</v>
      </c>
      <c r="S130" s="12">
        <v>0.99239999999999995</v>
      </c>
      <c r="T130" s="12">
        <v>0.8669</v>
      </c>
      <c r="U130" s="12">
        <v>0.95550000000000002</v>
      </c>
      <c r="V130" s="12">
        <v>0.95550000000000002</v>
      </c>
      <c r="W130" s="12">
        <v>0.99729999999999996</v>
      </c>
    </row>
    <row r="131" spans="1:23" ht="15" hidden="1" thickBot="1" x14ac:dyDescent="0.35">
      <c r="A131" t="s">
        <v>56</v>
      </c>
      <c r="B131">
        <v>50</v>
      </c>
      <c r="C131" t="s">
        <v>55</v>
      </c>
      <c r="D131" s="13">
        <v>0.84360000000000002</v>
      </c>
      <c r="E131" s="13">
        <v>0.91100000000000003</v>
      </c>
      <c r="F131" s="13">
        <v>0.97209999999999996</v>
      </c>
      <c r="G131" s="13">
        <v>0.99170000000000003</v>
      </c>
      <c r="H131" s="13">
        <v>0.81320000000000003</v>
      </c>
      <c r="I131" s="13">
        <v>0.92949999999999999</v>
      </c>
      <c r="J131" s="13">
        <v>0.95569999999999999</v>
      </c>
      <c r="K131" s="13">
        <v>0.99309999999999998</v>
      </c>
      <c r="L131" s="13">
        <v>0.88549999999999995</v>
      </c>
      <c r="M131" s="13">
        <v>0.93789999999999996</v>
      </c>
      <c r="N131" s="13">
        <v>0.97060000000000002</v>
      </c>
      <c r="O131" s="13">
        <v>0.99429999999999996</v>
      </c>
      <c r="P131" s="13">
        <v>0.80449999999999999</v>
      </c>
      <c r="Q131" s="13">
        <v>0.92210000000000003</v>
      </c>
      <c r="R131" s="13">
        <v>0.95020000000000004</v>
      </c>
      <c r="S131" s="13">
        <v>0.99050000000000005</v>
      </c>
      <c r="T131" s="13">
        <v>0.84030000000000005</v>
      </c>
      <c r="U131" s="13">
        <v>0.90649999999999997</v>
      </c>
      <c r="V131" s="13">
        <v>0.96970000000000001</v>
      </c>
      <c r="W131" s="13">
        <v>0.98939999999999995</v>
      </c>
    </row>
    <row r="132" spans="1:23" ht="15" hidden="1" thickBot="1" x14ac:dyDescent="0.35">
      <c r="A132" t="s">
        <v>56</v>
      </c>
      <c r="B132">
        <v>100</v>
      </c>
      <c r="C132" t="s">
        <v>55</v>
      </c>
      <c r="D132" s="13">
        <v>0.82030000000000003</v>
      </c>
      <c r="E132" s="13">
        <v>0.90290000000000004</v>
      </c>
      <c r="F132" s="13">
        <v>0.95389999999999997</v>
      </c>
      <c r="G132" s="13">
        <v>0.99250000000000005</v>
      </c>
      <c r="H132" s="13">
        <v>0.83540000000000003</v>
      </c>
      <c r="I132" s="13">
        <v>0.92020000000000002</v>
      </c>
      <c r="J132" s="13">
        <v>0.95330000000000004</v>
      </c>
      <c r="K132" s="13">
        <v>0.99229999999999996</v>
      </c>
      <c r="L132" s="13">
        <v>0.81089999999999995</v>
      </c>
      <c r="M132" s="13">
        <v>0.91300000000000003</v>
      </c>
      <c r="N132" s="13">
        <v>0.96509999999999996</v>
      </c>
      <c r="O132" s="13">
        <v>0.99270000000000003</v>
      </c>
      <c r="P132" s="13">
        <v>0.82720000000000005</v>
      </c>
      <c r="Q132" s="13">
        <v>0.91259999999999997</v>
      </c>
      <c r="R132" s="13">
        <v>0.94699999999999995</v>
      </c>
      <c r="S132" s="13">
        <v>0.99209999999999998</v>
      </c>
      <c r="T132" s="13">
        <v>0.8196</v>
      </c>
      <c r="U132" s="13">
        <v>0.90100000000000002</v>
      </c>
      <c r="V132" s="13">
        <v>0.95530000000000004</v>
      </c>
      <c r="W132" s="13">
        <v>0.99309999999999998</v>
      </c>
    </row>
    <row r="133" spans="1:23" ht="15" thickTop="1" x14ac:dyDescent="0.3">
      <c r="A133" s="1" t="s">
        <v>57</v>
      </c>
      <c r="B133" s="1">
        <v>20</v>
      </c>
      <c r="C133" s="1" t="s">
        <v>55</v>
      </c>
      <c r="D133" s="12">
        <v>0.87</v>
      </c>
      <c r="E133" s="12">
        <v>0.95679999999999998</v>
      </c>
      <c r="F133" s="12">
        <v>0.95679999999999998</v>
      </c>
      <c r="G133" s="12">
        <v>0.99739999999999995</v>
      </c>
      <c r="H133" s="12">
        <v>0.80679999999999996</v>
      </c>
      <c r="I133" s="12">
        <v>0.9355</v>
      </c>
      <c r="J133" s="12">
        <v>0.96220000000000006</v>
      </c>
      <c r="K133" s="12">
        <v>0.99380000000000002</v>
      </c>
      <c r="L133" s="12">
        <v>0.88839999999999997</v>
      </c>
      <c r="M133" s="12">
        <v>0.96020000000000005</v>
      </c>
      <c r="N133" s="12">
        <v>0.96020000000000005</v>
      </c>
      <c r="O133" s="12">
        <v>0.99719999999999998</v>
      </c>
      <c r="P133" s="12">
        <v>0.80279999999999996</v>
      </c>
      <c r="Q133" s="12">
        <v>0.93140000000000001</v>
      </c>
      <c r="R133" s="12">
        <v>0.96</v>
      </c>
      <c r="S133" s="12">
        <v>0.9919</v>
      </c>
      <c r="T133" s="12">
        <v>0.87009999999999998</v>
      </c>
      <c r="U133" s="12">
        <v>0.95650000000000002</v>
      </c>
      <c r="V133" s="12">
        <v>0.95650000000000002</v>
      </c>
      <c r="W133" s="12">
        <v>0.998</v>
      </c>
    </row>
    <row r="134" spans="1:23" x14ac:dyDescent="0.3">
      <c r="A134" t="s">
        <v>57</v>
      </c>
      <c r="B134">
        <v>50</v>
      </c>
      <c r="C134" t="s">
        <v>55</v>
      </c>
      <c r="D134" s="13">
        <v>0.83909999999999996</v>
      </c>
      <c r="E134" s="13">
        <v>0.90990000000000004</v>
      </c>
      <c r="F134" s="13">
        <v>0.97019999999999995</v>
      </c>
      <c r="G134" s="13">
        <v>0.99070000000000003</v>
      </c>
      <c r="H134" s="13">
        <v>0.81169999999999998</v>
      </c>
      <c r="I134" s="13">
        <v>0.92720000000000002</v>
      </c>
      <c r="J134" s="13">
        <v>0.94989999999999997</v>
      </c>
      <c r="K134" s="13">
        <v>0.99119999999999997</v>
      </c>
      <c r="L134" s="13">
        <v>0.88029999999999997</v>
      </c>
      <c r="M134" s="13">
        <v>0.93559999999999999</v>
      </c>
      <c r="N134" s="13">
        <v>0.96599999999999997</v>
      </c>
      <c r="O134" s="13">
        <v>0.99299999999999999</v>
      </c>
      <c r="P134" s="13">
        <v>0.80520000000000003</v>
      </c>
      <c r="Q134" s="13">
        <v>0.92620000000000002</v>
      </c>
      <c r="R134" s="13">
        <v>0.95089999999999997</v>
      </c>
      <c r="S134" s="13">
        <v>0.99280000000000002</v>
      </c>
      <c r="T134" s="13">
        <v>0.84940000000000004</v>
      </c>
      <c r="U134" s="13">
        <v>0.9103</v>
      </c>
      <c r="V134" s="13">
        <v>0.97019999999999995</v>
      </c>
      <c r="W134" s="13">
        <v>0.99050000000000005</v>
      </c>
    </row>
    <row r="135" spans="1:23" ht="15" thickBot="1" x14ac:dyDescent="0.35">
      <c r="A135" t="s">
        <v>57</v>
      </c>
      <c r="B135">
        <v>100</v>
      </c>
      <c r="C135" t="s">
        <v>55</v>
      </c>
      <c r="D135" s="13">
        <v>0.81720000000000004</v>
      </c>
      <c r="E135" s="13">
        <v>0.90549999999999997</v>
      </c>
      <c r="F135" s="13">
        <v>0.95189999999999997</v>
      </c>
      <c r="G135" s="13">
        <v>0.99270000000000003</v>
      </c>
      <c r="H135" s="13">
        <v>0.82930000000000004</v>
      </c>
      <c r="I135" s="13">
        <v>0.91459999999999997</v>
      </c>
      <c r="J135" s="13">
        <v>0.94740000000000002</v>
      </c>
      <c r="K135" s="13">
        <v>0.99050000000000005</v>
      </c>
      <c r="L135" s="13">
        <v>0.80940000000000001</v>
      </c>
      <c r="M135" s="13">
        <v>0.91379999999999995</v>
      </c>
      <c r="N135" s="13">
        <v>0.96279999999999999</v>
      </c>
      <c r="O135" s="13">
        <v>0.99329999999999996</v>
      </c>
      <c r="P135" s="13">
        <v>0.8357</v>
      </c>
      <c r="Q135" s="13">
        <v>0.91920000000000002</v>
      </c>
      <c r="R135" s="13">
        <v>0.95150000000000001</v>
      </c>
      <c r="S135" s="13">
        <v>0.99339999999999995</v>
      </c>
      <c r="T135" s="13">
        <v>0.82079999999999997</v>
      </c>
      <c r="U135" s="13">
        <v>0.90669999999999995</v>
      </c>
      <c r="V135" s="13">
        <v>0.95889999999999997</v>
      </c>
      <c r="W135" s="13">
        <v>0.99319999999999997</v>
      </c>
    </row>
    <row r="136" spans="1:23" ht="15.6" hidden="1" thickTop="1" thickBot="1" x14ac:dyDescent="0.35">
      <c r="A136" s="1" t="s">
        <v>31</v>
      </c>
      <c r="B136" s="1">
        <v>20</v>
      </c>
      <c r="C136" s="1" t="s">
        <v>55</v>
      </c>
      <c r="D136" s="12">
        <v>0.86309999999999998</v>
      </c>
      <c r="E136" s="12">
        <v>0.95140000000000002</v>
      </c>
      <c r="F136" s="12">
        <v>0.95140000000000002</v>
      </c>
      <c r="G136" s="12">
        <v>0.99709999999999999</v>
      </c>
      <c r="H136" s="12">
        <v>0.80320000000000003</v>
      </c>
      <c r="I136" s="12">
        <v>0.93200000000000005</v>
      </c>
      <c r="J136" s="12">
        <v>0.96020000000000005</v>
      </c>
      <c r="K136" s="12">
        <v>0.99199999999999999</v>
      </c>
      <c r="L136" s="12">
        <v>0.88900000000000001</v>
      </c>
      <c r="M136" s="12">
        <v>0.95609999999999995</v>
      </c>
      <c r="N136" s="12">
        <v>0.95609999999999995</v>
      </c>
      <c r="O136" s="12">
        <v>0.99729999999999996</v>
      </c>
      <c r="P136" s="12">
        <v>0.81089999999999995</v>
      </c>
      <c r="Q136" s="12">
        <v>0.93400000000000005</v>
      </c>
      <c r="R136" s="12">
        <v>0.95979999999999999</v>
      </c>
      <c r="S136" s="12">
        <v>0.99299999999999999</v>
      </c>
      <c r="T136" s="12">
        <v>0.87</v>
      </c>
      <c r="U136" s="12">
        <v>0.95750000000000002</v>
      </c>
      <c r="V136" s="12">
        <v>0.95750000000000002</v>
      </c>
      <c r="W136" s="12">
        <v>0.998</v>
      </c>
    </row>
    <row r="137" spans="1:23" ht="15" hidden="1" thickBot="1" x14ac:dyDescent="0.35">
      <c r="A137" t="s">
        <v>31</v>
      </c>
      <c r="B137">
        <v>50</v>
      </c>
      <c r="C137" t="s">
        <v>55</v>
      </c>
      <c r="D137" s="13">
        <v>0.8407</v>
      </c>
      <c r="E137" s="13">
        <v>0.90820000000000001</v>
      </c>
      <c r="F137" s="13">
        <v>0.96930000000000005</v>
      </c>
      <c r="G137" s="13">
        <v>0.9899</v>
      </c>
      <c r="H137" s="13">
        <v>0.81059999999999999</v>
      </c>
      <c r="I137" s="13">
        <v>0.92090000000000005</v>
      </c>
      <c r="J137" s="13">
        <v>0.95089999999999997</v>
      </c>
      <c r="K137" s="13">
        <v>0.99080000000000001</v>
      </c>
      <c r="L137" s="13">
        <v>0.88149999999999995</v>
      </c>
      <c r="M137" s="13">
        <v>0.93489999999999995</v>
      </c>
      <c r="N137" s="13">
        <v>0.96509999999999996</v>
      </c>
      <c r="O137" s="13">
        <v>0.99199999999999999</v>
      </c>
      <c r="P137" s="13">
        <v>0.81320000000000003</v>
      </c>
      <c r="Q137" s="13">
        <v>0.92430000000000001</v>
      </c>
      <c r="R137" s="13">
        <v>0.95150000000000001</v>
      </c>
      <c r="S137" s="13">
        <v>0.99160000000000004</v>
      </c>
      <c r="T137" s="13">
        <v>0.84179999999999999</v>
      </c>
      <c r="U137" s="13">
        <v>0.90610000000000002</v>
      </c>
      <c r="V137" s="13">
        <v>0.96919999999999995</v>
      </c>
      <c r="W137" s="13">
        <v>0.99150000000000005</v>
      </c>
    </row>
    <row r="138" spans="1:23" ht="15" hidden="1" thickBot="1" x14ac:dyDescent="0.35">
      <c r="A138" t="s">
        <v>31</v>
      </c>
      <c r="B138">
        <v>100</v>
      </c>
      <c r="C138" t="s">
        <v>55</v>
      </c>
      <c r="D138" s="13">
        <v>0.82340000000000002</v>
      </c>
      <c r="E138" s="13">
        <v>0.90459999999999996</v>
      </c>
      <c r="F138" s="13">
        <v>0.95389999999999997</v>
      </c>
      <c r="G138" s="13">
        <v>0.99339999999999995</v>
      </c>
      <c r="H138" s="13">
        <v>0.82879999999999998</v>
      </c>
      <c r="I138" s="13">
        <v>0.91649999999999998</v>
      </c>
      <c r="J138" s="13">
        <v>0.95040000000000002</v>
      </c>
      <c r="K138" s="13">
        <v>0.99019999999999997</v>
      </c>
      <c r="L138" s="13">
        <v>0.8095</v>
      </c>
      <c r="M138" s="13">
        <v>0.91549999999999998</v>
      </c>
      <c r="N138" s="13">
        <v>0.96619999999999995</v>
      </c>
      <c r="O138" s="13">
        <v>0.99399999999999999</v>
      </c>
      <c r="P138" s="13">
        <v>0.83360000000000001</v>
      </c>
      <c r="Q138" s="13">
        <v>0.9173</v>
      </c>
      <c r="R138" s="13">
        <v>0.95140000000000002</v>
      </c>
      <c r="S138" s="13">
        <v>0.99150000000000005</v>
      </c>
      <c r="T138" s="13">
        <v>0.82330000000000003</v>
      </c>
      <c r="U138" s="13">
        <v>0.91100000000000003</v>
      </c>
      <c r="V138" s="13">
        <v>0.95889999999999997</v>
      </c>
      <c r="W138" s="13">
        <v>0.99350000000000005</v>
      </c>
    </row>
    <row r="139" spans="1:23" ht="15.6" hidden="1" thickTop="1" thickBot="1" x14ac:dyDescent="0.35">
      <c r="A139" s="1" t="s">
        <v>56</v>
      </c>
      <c r="B139" s="1">
        <v>20</v>
      </c>
      <c r="C139" s="1" t="s">
        <v>32</v>
      </c>
      <c r="D139" s="12">
        <v>0.77998979070954599</v>
      </c>
      <c r="E139" s="12">
        <v>0.931767908797005</v>
      </c>
      <c r="F139" s="12">
        <v>0.98179343202314096</v>
      </c>
      <c r="G139" s="12">
        <v>0.99659690318189598</v>
      </c>
      <c r="H139" s="12">
        <v>0.81242472902448803</v>
      </c>
      <c r="I139" s="12">
        <v>0.87083500602167796</v>
      </c>
      <c r="J139" s="12">
        <v>0.96447209955840996</v>
      </c>
      <c r="K139" s="12">
        <v>0.99458048976314695</v>
      </c>
      <c r="L139" s="12">
        <v>0.72519999999999996</v>
      </c>
      <c r="M139" s="12">
        <v>0.87880000000000003</v>
      </c>
      <c r="N139" s="12">
        <v>0.95640000000000003</v>
      </c>
      <c r="O139" s="12">
        <v>0.98809999999999998</v>
      </c>
      <c r="P139" s="12">
        <v>0.80744531406783104</v>
      </c>
      <c r="Q139" s="12">
        <v>0.87326911499096904</v>
      </c>
      <c r="R139" s="12">
        <v>0.96779048765803699</v>
      </c>
      <c r="S139" s="12">
        <v>0.99578567128235995</v>
      </c>
      <c r="T139" s="12">
        <v>0.84818067754077797</v>
      </c>
      <c r="U139" s="12">
        <v>0.94924147370822398</v>
      </c>
      <c r="V139" s="12">
        <v>0.98699669214098296</v>
      </c>
      <c r="W139" s="12">
        <v>0.99692026919128596</v>
      </c>
    </row>
    <row r="140" spans="1:23" ht="15" hidden="1" thickBot="1" x14ac:dyDescent="0.35">
      <c r="A140" t="s">
        <v>56</v>
      </c>
      <c r="B140">
        <v>50</v>
      </c>
      <c r="C140" t="s">
        <v>32</v>
      </c>
      <c r="D140" s="13">
        <v>0.720978848991638</v>
      </c>
      <c r="E140" s="13">
        <v>0.89695031972454498</v>
      </c>
      <c r="F140" s="13">
        <v>0.93654697491392003</v>
      </c>
      <c r="G140" s="13">
        <v>0.996187899655681</v>
      </c>
      <c r="H140" s="13">
        <v>0.81320000000000003</v>
      </c>
      <c r="I140" s="13">
        <v>0.90100000000000002</v>
      </c>
      <c r="J140" s="13">
        <v>0.95569999999999999</v>
      </c>
      <c r="K140" s="13">
        <v>0.9879</v>
      </c>
      <c r="L140" s="13">
        <v>0.8044</v>
      </c>
      <c r="M140" s="13">
        <v>0.88549999999999995</v>
      </c>
      <c r="N140" s="13">
        <v>0.93789999999999996</v>
      </c>
      <c r="O140" s="13">
        <v>0.99429999999999996</v>
      </c>
      <c r="P140" s="13">
        <v>0.80449999999999999</v>
      </c>
      <c r="Q140" s="13">
        <v>0.89559999999999995</v>
      </c>
      <c r="R140" s="13">
        <v>0.95020000000000004</v>
      </c>
      <c r="S140" s="13">
        <v>0.98440000000000005</v>
      </c>
      <c r="T140" s="13">
        <v>0.76513853904282103</v>
      </c>
      <c r="U140" s="13">
        <v>0.91335012594458398</v>
      </c>
      <c r="V140" s="13">
        <v>0.94750629722921897</v>
      </c>
      <c r="W140" s="13">
        <v>0.99687657430730503</v>
      </c>
    </row>
    <row r="141" spans="1:23" ht="15" hidden="1" thickBot="1" x14ac:dyDescent="0.35">
      <c r="A141" t="s">
        <v>56</v>
      </c>
      <c r="B141">
        <v>100</v>
      </c>
      <c r="C141" t="s">
        <v>32</v>
      </c>
      <c r="D141" s="13">
        <v>0.77703094217174595</v>
      </c>
      <c r="E141" s="13">
        <v>0.88689303511414996</v>
      </c>
      <c r="F141" s="13">
        <v>0.94669138950052101</v>
      </c>
      <c r="G141" s="13">
        <v>0.98458685826862902</v>
      </c>
      <c r="H141" s="13">
        <v>0.79759999999999998</v>
      </c>
      <c r="I141" s="13">
        <v>0.89600000000000002</v>
      </c>
      <c r="J141" s="13">
        <v>0.95330000000000004</v>
      </c>
      <c r="K141" s="13">
        <v>0.99</v>
      </c>
      <c r="L141" s="13">
        <v>0.81089999999999995</v>
      </c>
      <c r="M141" s="13">
        <v>0.91300000000000003</v>
      </c>
      <c r="N141" s="13">
        <v>0.94399999999999995</v>
      </c>
      <c r="O141" s="13">
        <v>0.98819999999999997</v>
      </c>
      <c r="P141" s="13">
        <v>0.79220000000000002</v>
      </c>
      <c r="Q141" s="13">
        <v>0.88880000000000003</v>
      </c>
      <c r="R141" s="13">
        <v>0.94699999999999995</v>
      </c>
      <c r="S141" s="13">
        <v>0.98860000000000003</v>
      </c>
      <c r="T141" s="13">
        <v>0.81120000000000003</v>
      </c>
      <c r="U141" s="13">
        <v>0.90659999999999996</v>
      </c>
      <c r="V141" s="13">
        <v>0.95530000000000004</v>
      </c>
      <c r="W141" s="13">
        <v>0.98680000000000001</v>
      </c>
    </row>
    <row r="142" spans="1:23" ht="15" thickTop="1" x14ac:dyDescent="0.3">
      <c r="A142" s="1" t="s">
        <v>57</v>
      </c>
      <c r="B142" s="1">
        <v>20</v>
      </c>
      <c r="C142" s="1" t="s">
        <v>32</v>
      </c>
      <c r="D142" s="12">
        <v>0.78347768154563602</v>
      </c>
      <c r="E142" s="12">
        <v>0.92804796802131895</v>
      </c>
      <c r="F142" s="12">
        <v>0.98251165889407099</v>
      </c>
      <c r="G142" s="12">
        <v>0.99566955363091303</v>
      </c>
      <c r="H142" s="12">
        <v>0.80898425749523695</v>
      </c>
      <c r="I142" s="12">
        <v>0.866740198536047</v>
      </c>
      <c r="J142" s="12">
        <v>0.964804973428256</v>
      </c>
      <c r="K142" s="12">
        <v>0.99649052441592301</v>
      </c>
      <c r="L142" s="12">
        <v>0.73939999999999995</v>
      </c>
      <c r="M142" s="12">
        <v>0.88839999999999997</v>
      </c>
      <c r="N142" s="12">
        <v>0.96020000000000005</v>
      </c>
      <c r="O142" s="12">
        <v>0.98809999999999998</v>
      </c>
      <c r="P142" s="12">
        <v>0.80602409638554195</v>
      </c>
      <c r="Q142" s="12">
        <v>0.86947791164658605</v>
      </c>
      <c r="R142" s="12">
        <v>0.96385542168674698</v>
      </c>
      <c r="S142" s="12">
        <v>0.99588353413654596</v>
      </c>
      <c r="T142" s="12">
        <v>0.85223524058696398</v>
      </c>
      <c r="U142" s="12">
        <v>0.95051757479240095</v>
      </c>
      <c r="V142" s="12">
        <v>0.98805596632920001</v>
      </c>
      <c r="W142" s="12">
        <v>0.99772494596746697</v>
      </c>
    </row>
    <row r="143" spans="1:23" x14ac:dyDescent="0.3">
      <c r="A143" t="s">
        <v>57</v>
      </c>
      <c r="B143">
        <v>50</v>
      </c>
      <c r="C143" t="s">
        <v>32</v>
      </c>
      <c r="D143" s="13">
        <v>0.71502526808825295</v>
      </c>
      <c r="E143" s="13">
        <v>0.89596943177616195</v>
      </c>
      <c r="F143" s="13">
        <v>0.93504252434364599</v>
      </c>
      <c r="G143" s="13">
        <v>0.99556267718476499</v>
      </c>
      <c r="H143" s="13">
        <v>0.81169999999999998</v>
      </c>
      <c r="I143" s="13">
        <v>0.90090000000000003</v>
      </c>
      <c r="J143" s="13">
        <v>0.94989999999999997</v>
      </c>
      <c r="K143" s="13">
        <v>0.98609999999999998</v>
      </c>
      <c r="L143" s="13">
        <v>0.79479999999999995</v>
      </c>
      <c r="M143" s="13">
        <v>0.88029999999999997</v>
      </c>
      <c r="N143" s="13">
        <v>0.93559999999999999</v>
      </c>
      <c r="O143" s="13">
        <v>0.99299999999999999</v>
      </c>
      <c r="P143" s="13">
        <v>0.80520000000000003</v>
      </c>
      <c r="Q143" s="13">
        <v>0.89949999999999997</v>
      </c>
      <c r="R143" s="13">
        <v>0.95089999999999997</v>
      </c>
      <c r="S143" s="13">
        <v>0.98729999999999996</v>
      </c>
      <c r="T143" s="13">
        <v>0.77591064600523196</v>
      </c>
      <c r="U143" s="13">
        <v>0.91597907023545999</v>
      </c>
      <c r="V143" s="13">
        <v>0.94918494666935005</v>
      </c>
      <c r="W143" s="13">
        <v>0.99667941235661095</v>
      </c>
    </row>
    <row r="144" spans="1:23" ht="15" thickBot="1" x14ac:dyDescent="0.35">
      <c r="A144" t="s">
        <v>57</v>
      </c>
      <c r="B144">
        <v>100</v>
      </c>
      <c r="C144" t="s">
        <v>32</v>
      </c>
      <c r="D144" s="13">
        <v>0.78269454123112703</v>
      </c>
      <c r="E144" s="13">
        <v>0.88397212543554005</v>
      </c>
      <c r="F144" s="13">
        <v>0.94425087108013905</v>
      </c>
      <c r="G144" s="13">
        <v>0.98432055749128899</v>
      </c>
      <c r="H144" s="13">
        <v>0.7903</v>
      </c>
      <c r="I144" s="13">
        <v>0.89029999999999998</v>
      </c>
      <c r="J144" s="13">
        <v>0.94740000000000002</v>
      </c>
      <c r="K144" s="13">
        <v>0.98780000000000001</v>
      </c>
      <c r="L144" s="13">
        <v>0.80940000000000001</v>
      </c>
      <c r="M144" s="13">
        <v>0.91379999999999995</v>
      </c>
      <c r="N144" s="13">
        <v>0.94550000000000001</v>
      </c>
      <c r="O144" s="13">
        <v>0.9869</v>
      </c>
      <c r="P144" s="13">
        <v>0.80030000000000001</v>
      </c>
      <c r="Q144" s="13">
        <v>0.89490000000000003</v>
      </c>
      <c r="R144" s="13">
        <v>0.95150000000000001</v>
      </c>
      <c r="S144" s="13">
        <v>0.9909</v>
      </c>
      <c r="T144" s="13">
        <v>0.81569999999999998</v>
      </c>
      <c r="U144" s="13">
        <v>0.90790000000000004</v>
      </c>
      <c r="V144" s="13">
        <v>0.95889999999999997</v>
      </c>
      <c r="W144" s="13">
        <v>0.9879</v>
      </c>
    </row>
    <row r="145" spans="1:23" ht="15.6" hidden="1" thickTop="1" thickBot="1" x14ac:dyDescent="0.35">
      <c r="A145" s="1" t="s">
        <v>31</v>
      </c>
      <c r="B145" s="1">
        <v>20</v>
      </c>
      <c r="C145" s="1" t="s">
        <v>32</v>
      </c>
      <c r="D145" s="12">
        <v>0.77308138571191798</v>
      </c>
      <c r="E145" s="12">
        <v>0.91944306315266</v>
      </c>
      <c r="F145" s="12">
        <v>0.97944637825294201</v>
      </c>
      <c r="G145" s="12">
        <v>0.99519310459141397</v>
      </c>
      <c r="H145" s="12">
        <v>0.80569766275453902</v>
      </c>
      <c r="I145" s="12">
        <v>0.86879325910322003</v>
      </c>
      <c r="J145" s="12">
        <v>0.96318587621627005</v>
      </c>
      <c r="K145" s="12">
        <v>0.99508476276457003</v>
      </c>
      <c r="L145" s="12">
        <v>0.74080000000000001</v>
      </c>
      <c r="M145" s="12">
        <v>0.88900000000000001</v>
      </c>
      <c r="N145" s="12">
        <v>0.95609999999999995</v>
      </c>
      <c r="O145" s="12">
        <v>0.98709999999999998</v>
      </c>
      <c r="P145" s="12">
        <v>0.81301383597353105</v>
      </c>
      <c r="Q145" s="12">
        <v>0.87327050330860201</v>
      </c>
      <c r="R145" s="12">
        <v>0.96230198516141996</v>
      </c>
      <c r="S145" s="12">
        <v>0.99558853017846405</v>
      </c>
      <c r="T145" s="12">
        <v>0.85198679266765298</v>
      </c>
      <c r="U145" s="12">
        <v>0.95161106683365604</v>
      </c>
      <c r="V145" s="12">
        <v>0.98474325401343499</v>
      </c>
      <c r="W145" s="12">
        <v>0.997722873733349</v>
      </c>
    </row>
    <row r="146" spans="1:23" ht="15" hidden="1" thickBot="1" x14ac:dyDescent="0.35">
      <c r="A146" t="s">
        <v>31</v>
      </c>
      <c r="B146">
        <v>50</v>
      </c>
      <c r="C146" t="s">
        <v>32</v>
      </c>
      <c r="D146" s="13">
        <v>0.71506307197625496</v>
      </c>
      <c r="E146" s="13">
        <v>0.89450902794954201</v>
      </c>
      <c r="F146" s="13">
        <v>0.93544397724462003</v>
      </c>
      <c r="G146" s="13">
        <v>0.99554786049962896</v>
      </c>
      <c r="H146" s="13">
        <v>0.81059999999999999</v>
      </c>
      <c r="I146" s="13">
        <v>0.89670000000000005</v>
      </c>
      <c r="J146" s="13">
        <v>0.95089999999999997</v>
      </c>
      <c r="K146" s="13">
        <v>0.98709999999999998</v>
      </c>
      <c r="L146" s="13">
        <v>0.7964</v>
      </c>
      <c r="M146" s="13">
        <v>0.88149999999999995</v>
      </c>
      <c r="N146" s="13">
        <v>0.93489999999999995</v>
      </c>
      <c r="O146" s="13">
        <v>0.99199999999999999</v>
      </c>
      <c r="P146" s="13">
        <v>0.81320000000000003</v>
      </c>
      <c r="Q146" s="13">
        <v>0.8982</v>
      </c>
      <c r="R146" s="13">
        <v>0.95150000000000001</v>
      </c>
      <c r="S146" s="13">
        <v>0.98670000000000002</v>
      </c>
      <c r="T146" s="13">
        <v>0.77251708886208303</v>
      </c>
      <c r="U146" s="13">
        <v>0.91083634901487698</v>
      </c>
      <c r="V146" s="13">
        <v>0.94722557297949295</v>
      </c>
      <c r="W146" s="13">
        <v>0.99668275030156805</v>
      </c>
    </row>
    <row r="147" spans="1:23" ht="15" hidden="1" thickBot="1" x14ac:dyDescent="0.35">
      <c r="A147" t="s">
        <v>31</v>
      </c>
      <c r="B147">
        <v>100</v>
      </c>
      <c r="C147" t="s">
        <v>32</v>
      </c>
      <c r="D147" s="13">
        <v>0.78277456647398802</v>
      </c>
      <c r="E147" s="13">
        <v>0.88913294797687903</v>
      </c>
      <c r="F147" s="13">
        <v>0.94693641618497104</v>
      </c>
      <c r="G147" s="13">
        <v>0.98439306358381495</v>
      </c>
      <c r="H147" s="13">
        <v>0.78920000000000001</v>
      </c>
      <c r="I147" s="13">
        <v>0.88949999999999996</v>
      </c>
      <c r="J147" s="13">
        <v>0.95040000000000002</v>
      </c>
      <c r="K147" s="13">
        <v>0.98640000000000005</v>
      </c>
      <c r="L147" s="13">
        <v>0.8095</v>
      </c>
      <c r="M147" s="13">
        <v>0.91549999999999998</v>
      </c>
      <c r="N147" s="13">
        <v>0.94610000000000005</v>
      </c>
      <c r="O147" s="13">
        <v>0.98780000000000001</v>
      </c>
      <c r="P147" s="13">
        <v>0.80100000000000005</v>
      </c>
      <c r="Q147" s="13">
        <v>0.89139999999999997</v>
      </c>
      <c r="R147" s="13">
        <v>0.95140000000000002</v>
      </c>
      <c r="S147" s="13">
        <v>0.98780000000000001</v>
      </c>
      <c r="T147" s="13">
        <v>0.81559999999999999</v>
      </c>
      <c r="U147" s="13">
        <v>0.90539999999999998</v>
      </c>
      <c r="V147" s="13">
        <v>0.95889999999999997</v>
      </c>
      <c r="W147" s="13">
        <v>0.98870000000000002</v>
      </c>
    </row>
    <row r="148" spans="1:23" ht="15.6" hidden="1" thickTop="1" thickBot="1" x14ac:dyDescent="0.35">
      <c r="A148" s="1" t="s">
        <v>56</v>
      </c>
      <c r="B148" s="1">
        <v>20</v>
      </c>
      <c r="C148" s="1" t="s">
        <v>58</v>
      </c>
      <c r="D148" s="12" t="s">
        <v>59</v>
      </c>
      <c r="E148" s="12" t="s">
        <v>59</v>
      </c>
      <c r="F148" s="12" t="s">
        <v>59</v>
      </c>
      <c r="G148" s="12" t="s">
        <v>59</v>
      </c>
      <c r="H148" s="12" t="s">
        <v>59</v>
      </c>
      <c r="I148" s="12" t="s">
        <v>59</v>
      </c>
      <c r="J148" s="12" t="s">
        <v>59</v>
      </c>
      <c r="K148" s="12" t="s">
        <v>59</v>
      </c>
      <c r="L148" s="12">
        <v>0.72970000000000002</v>
      </c>
      <c r="M148" s="12">
        <v>0.8448</v>
      </c>
      <c r="N148" s="12">
        <v>0.91539999999999999</v>
      </c>
      <c r="O148" s="12">
        <v>0.98009999999999997</v>
      </c>
      <c r="P148" s="12" t="s">
        <v>59</v>
      </c>
      <c r="Q148" s="12" t="s">
        <v>59</v>
      </c>
      <c r="R148" s="12" t="s">
        <v>59</v>
      </c>
      <c r="S148" s="12" t="s">
        <v>59</v>
      </c>
      <c r="T148" s="12" t="s">
        <v>59</v>
      </c>
      <c r="U148" s="12" t="s">
        <v>59</v>
      </c>
      <c r="V148" s="12" t="s">
        <v>59</v>
      </c>
      <c r="W148" s="12" t="s">
        <v>59</v>
      </c>
    </row>
    <row r="149" spans="1:23" ht="15" hidden="1" thickBot="1" x14ac:dyDescent="0.35">
      <c r="A149" t="s">
        <v>56</v>
      </c>
      <c r="B149">
        <v>50</v>
      </c>
      <c r="C149" t="s">
        <v>58</v>
      </c>
      <c r="D149" s="13" t="s">
        <v>59</v>
      </c>
      <c r="E149" s="13" t="s">
        <v>59</v>
      </c>
      <c r="F149" s="13" t="s">
        <v>59</v>
      </c>
      <c r="G149" s="13" t="s">
        <v>59</v>
      </c>
      <c r="H149" s="13" t="s">
        <v>59</v>
      </c>
      <c r="I149" s="13" t="s">
        <v>59</v>
      </c>
      <c r="J149" s="13" t="s">
        <v>59</v>
      </c>
      <c r="K149" s="13" t="s">
        <v>59</v>
      </c>
      <c r="L149" s="13">
        <v>0.61809999999999998</v>
      </c>
      <c r="M149" s="13">
        <v>0.75139999999999996</v>
      </c>
      <c r="N149" s="13">
        <v>0.84970000000000001</v>
      </c>
      <c r="O149" s="13">
        <v>0.95799999999999996</v>
      </c>
      <c r="P149" s="13" t="s">
        <v>59</v>
      </c>
      <c r="Q149" s="13" t="s">
        <v>59</v>
      </c>
      <c r="R149" s="13" t="s">
        <v>59</v>
      </c>
      <c r="S149" s="13" t="s">
        <v>59</v>
      </c>
      <c r="T149" s="13" t="s">
        <v>59</v>
      </c>
      <c r="U149" s="13" t="s">
        <v>59</v>
      </c>
      <c r="V149" s="13" t="s">
        <v>59</v>
      </c>
      <c r="W149" s="13" t="s">
        <v>59</v>
      </c>
    </row>
    <row r="150" spans="1:23" ht="15" hidden="1" thickBot="1" x14ac:dyDescent="0.35">
      <c r="A150" t="s">
        <v>56</v>
      </c>
      <c r="B150">
        <v>100</v>
      </c>
      <c r="C150" t="s">
        <v>58</v>
      </c>
      <c r="D150" s="13" t="s">
        <v>59</v>
      </c>
      <c r="E150" s="13" t="s">
        <v>59</v>
      </c>
      <c r="F150" s="13" t="s">
        <v>59</v>
      </c>
      <c r="G150" s="13" t="s">
        <v>59</v>
      </c>
      <c r="H150" s="13" t="s">
        <v>59</v>
      </c>
      <c r="I150" s="13" t="s">
        <v>59</v>
      </c>
      <c r="J150" s="13" t="s">
        <v>59</v>
      </c>
      <c r="K150" s="13" t="s">
        <v>59</v>
      </c>
      <c r="L150" s="13">
        <v>0.4662</v>
      </c>
      <c r="M150" s="13">
        <v>0.61680000000000001</v>
      </c>
      <c r="N150" s="13">
        <v>0.73270000000000002</v>
      </c>
      <c r="O150" s="13">
        <v>0.89639999999999997</v>
      </c>
      <c r="P150" s="13" t="s">
        <v>59</v>
      </c>
      <c r="Q150" s="13" t="s">
        <v>59</v>
      </c>
      <c r="R150" s="13" t="s">
        <v>59</v>
      </c>
      <c r="S150" s="13" t="s">
        <v>59</v>
      </c>
      <c r="T150" s="13" t="s">
        <v>59</v>
      </c>
      <c r="U150" s="13" t="s">
        <v>59</v>
      </c>
      <c r="V150" s="13" t="s">
        <v>59</v>
      </c>
      <c r="W150" s="13" t="s">
        <v>59</v>
      </c>
    </row>
    <row r="151" spans="1:23" ht="15" thickTop="1" x14ac:dyDescent="0.3">
      <c r="A151" s="1" t="s">
        <v>57</v>
      </c>
      <c r="B151" s="1">
        <v>20</v>
      </c>
      <c r="C151" s="1" t="s">
        <v>58</v>
      </c>
      <c r="D151" s="12" t="s">
        <v>59</v>
      </c>
      <c r="E151" s="12" t="s">
        <v>59</v>
      </c>
      <c r="F151" s="12" t="s">
        <v>59</v>
      </c>
      <c r="G151" s="12" t="s">
        <v>59</v>
      </c>
      <c r="H151" s="12" t="s">
        <v>59</v>
      </c>
      <c r="I151" s="12" t="s">
        <v>59</v>
      </c>
      <c r="J151" s="12" t="s">
        <v>59</v>
      </c>
      <c r="K151" s="12" t="s">
        <v>59</v>
      </c>
      <c r="L151" s="12">
        <v>0.70650000000000002</v>
      </c>
      <c r="M151" s="12">
        <v>0.82289999999999996</v>
      </c>
      <c r="N151" s="12">
        <v>0.90149999999999997</v>
      </c>
      <c r="O151" s="12">
        <v>0.97819999999999996</v>
      </c>
      <c r="P151" s="12" t="s">
        <v>59</v>
      </c>
      <c r="Q151" s="12" t="s">
        <v>59</v>
      </c>
      <c r="R151" s="12" t="s">
        <v>59</v>
      </c>
      <c r="S151" s="12" t="s">
        <v>59</v>
      </c>
      <c r="T151" s="12" t="s">
        <v>59</v>
      </c>
      <c r="U151" s="12" t="s">
        <v>59</v>
      </c>
      <c r="V151" s="12" t="s">
        <v>59</v>
      </c>
      <c r="W151" s="12" t="s">
        <v>59</v>
      </c>
    </row>
    <row r="152" spans="1:23" x14ac:dyDescent="0.3">
      <c r="A152" t="s">
        <v>57</v>
      </c>
      <c r="B152">
        <v>50</v>
      </c>
      <c r="C152" t="s">
        <v>58</v>
      </c>
      <c r="D152" s="13" t="s">
        <v>59</v>
      </c>
      <c r="E152" s="13" t="s">
        <v>59</v>
      </c>
      <c r="F152" s="13" t="s">
        <v>59</v>
      </c>
      <c r="G152" s="13" t="s">
        <v>59</v>
      </c>
      <c r="H152" s="13" t="s">
        <v>59</v>
      </c>
      <c r="I152" s="13" t="s">
        <v>59</v>
      </c>
      <c r="J152" s="13" t="s">
        <v>59</v>
      </c>
      <c r="K152" s="13" t="s">
        <v>59</v>
      </c>
      <c r="L152" s="13">
        <v>0.52759999999999996</v>
      </c>
      <c r="M152" s="13">
        <v>0.6774</v>
      </c>
      <c r="N152" s="13">
        <v>0.78920000000000001</v>
      </c>
      <c r="O152" s="13">
        <v>0.92969999999999997</v>
      </c>
      <c r="P152" s="13" t="s">
        <v>59</v>
      </c>
      <c r="Q152" s="13" t="s">
        <v>59</v>
      </c>
      <c r="R152" s="13" t="s">
        <v>59</v>
      </c>
      <c r="S152" s="13" t="s">
        <v>59</v>
      </c>
      <c r="T152" s="13" t="s">
        <v>59</v>
      </c>
      <c r="U152" s="13" t="s">
        <v>59</v>
      </c>
      <c r="V152" s="13" t="s">
        <v>59</v>
      </c>
      <c r="W152" s="13" t="s">
        <v>59</v>
      </c>
    </row>
    <row r="153" spans="1:23" ht="15" thickBot="1" x14ac:dyDescent="0.35">
      <c r="A153" t="s">
        <v>57</v>
      </c>
      <c r="B153">
        <v>100</v>
      </c>
      <c r="C153" t="s">
        <v>58</v>
      </c>
      <c r="D153" s="13" t="s">
        <v>59</v>
      </c>
      <c r="E153" s="13" t="s">
        <v>59</v>
      </c>
      <c r="F153" s="13" t="s">
        <v>59</v>
      </c>
      <c r="G153" s="13" t="s">
        <v>59</v>
      </c>
      <c r="H153" s="13" t="s">
        <v>59</v>
      </c>
      <c r="I153" s="13" t="s">
        <v>59</v>
      </c>
      <c r="J153" s="13" t="s">
        <v>59</v>
      </c>
      <c r="K153" s="13" t="s">
        <v>59</v>
      </c>
      <c r="L153" s="13">
        <v>0.35120000000000001</v>
      </c>
      <c r="M153" s="13">
        <v>0.49230000000000002</v>
      </c>
      <c r="N153" s="13">
        <v>0.61809999999999998</v>
      </c>
      <c r="O153" s="13">
        <v>0.82820000000000005</v>
      </c>
      <c r="P153" s="13" t="s">
        <v>59</v>
      </c>
      <c r="Q153" s="13" t="s">
        <v>59</v>
      </c>
      <c r="R153" s="13" t="s">
        <v>59</v>
      </c>
      <c r="S153" s="13" t="s">
        <v>59</v>
      </c>
      <c r="T153" s="13" t="s">
        <v>59</v>
      </c>
      <c r="U153" s="13" t="s">
        <v>59</v>
      </c>
      <c r="V153" s="13" t="s">
        <v>59</v>
      </c>
      <c r="W153" s="13" t="s">
        <v>59</v>
      </c>
    </row>
    <row r="154" spans="1:23" ht="15.6" hidden="1" thickTop="1" thickBot="1" x14ac:dyDescent="0.35">
      <c r="A154" s="1" t="s">
        <v>31</v>
      </c>
      <c r="B154" s="1">
        <v>20</v>
      </c>
      <c r="C154" s="1" t="s">
        <v>58</v>
      </c>
      <c r="D154" s="12" t="s">
        <v>59</v>
      </c>
      <c r="E154" s="12" t="s">
        <v>59</v>
      </c>
      <c r="F154" s="12" t="s">
        <v>59</v>
      </c>
      <c r="G154" s="12" t="s">
        <v>59</v>
      </c>
      <c r="H154" s="12" t="s">
        <v>59</v>
      </c>
      <c r="I154" s="12" t="s">
        <v>59</v>
      </c>
      <c r="J154" s="12" t="s">
        <v>59</v>
      </c>
      <c r="K154" s="12" t="s">
        <v>59</v>
      </c>
      <c r="L154" s="12">
        <v>0.81820000000000004</v>
      </c>
      <c r="M154" s="12">
        <v>0.90639999999999998</v>
      </c>
      <c r="N154" s="12">
        <v>0.95430000000000004</v>
      </c>
      <c r="O154" s="12">
        <v>0.99019999999999997</v>
      </c>
      <c r="P154" s="12" t="s">
        <v>59</v>
      </c>
      <c r="Q154" s="12" t="s">
        <v>59</v>
      </c>
      <c r="R154" s="12" t="s">
        <v>59</v>
      </c>
      <c r="S154" s="12" t="s">
        <v>59</v>
      </c>
      <c r="T154" s="12" t="s">
        <v>59</v>
      </c>
      <c r="U154" s="12" t="s">
        <v>59</v>
      </c>
      <c r="V154" s="12" t="s">
        <v>59</v>
      </c>
      <c r="W154" s="12" t="s">
        <v>59</v>
      </c>
    </row>
    <row r="155" spans="1:23" ht="15" hidden="1" thickBot="1" x14ac:dyDescent="0.35">
      <c r="A155" t="s">
        <v>31</v>
      </c>
      <c r="B155">
        <v>50</v>
      </c>
      <c r="C155" t="s">
        <v>58</v>
      </c>
      <c r="D155" s="13" t="s">
        <v>59</v>
      </c>
      <c r="E155" s="13" t="s">
        <v>59</v>
      </c>
      <c r="F155" s="13" t="s">
        <v>59</v>
      </c>
      <c r="G155" s="13" t="s">
        <v>59</v>
      </c>
      <c r="H155" s="13" t="s">
        <v>59</v>
      </c>
      <c r="I155" s="13" t="s">
        <v>59</v>
      </c>
      <c r="J155" s="13" t="s">
        <v>59</v>
      </c>
      <c r="K155" s="13" t="s">
        <v>59</v>
      </c>
      <c r="L155" s="13">
        <v>0.80169999999999997</v>
      </c>
      <c r="M155" s="13">
        <v>0.90090000000000003</v>
      </c>
      <c r="N155" s="13">
        <v>0.95020000000000004</v>
      </c>
      <c r="O155" s="13">
        <v>0.99039999999999995</v>
      </c>
      <c r="P155" s="13" t="s">
        <v>59</v>
      </c>
      <c r="Q155" s="13" t="s">
        <v>59</v>
      </c>
      <c r="R155" s="13" t="s">
        <v>59</v>
      </c>
      <c r="S155" s="13" t="s">
        <v>59</v>
      </c>
      <c r="T155" s="13" t="s">
        <v>59</v>
      </c>
      <c r="U155" s="13" t="s">
        <v>59</v>
      </c>
      <c r="V155" s="13" t="s">
        <v>59</v>
      </c>
      <c r="W155" s="13" t="s">
        <v>59</v>
      </c>
    </row>
    <row r="156" spans="1:23" ht="15" hidden="1" thickBot="1" x14ac:dyDescent="0.35">
      <c r="A156" t="s">
        <v>31</v>
      </c>
      <c r="B156">
        <v>100</v>
      </c>
      <c r="C156" t="s">
        <v>58</v>
      </c>
      <c r="D156" s="13" t="s">
        <v>59</v>
      </c>
      <c r="E156" s="13" t="s">
        <v>59</v>
      </c>
      <c r="F156" s="13" t="s">
        <v>59</v>
      </c>
      <c r="G156" s="13" t="s">
        <v>59</v>
      </c>
      <c r="H156" s="13" t="s">
        <v>59</v>
      </c>
      <c r="I156" s="13" t="s">
        <v>59</v>
      </c>
      <c r="J156" s="13" t="s">
        <v>59</v>
      </c>
      <c r="K156" s="13" t="s">
        <v>59</v>
      </c>
      <c r="L156" s="13">
        <v>0.7994</v>
      </c>
      <c r="M156" s="13">
        <v>0.90010000000000001</v>
      </c>
      <c r="N156" s="13">
        <v>0.94779999999999998</v>
      </c>
      <c r="O156" s="13">
        <v>0.9899</v>
      </c>
      <c r="P156" s="13" t="s">
        <v>59</v>
      </c>
      <c r="Q156" s="13" t="s">
        <v>59</v>
      </c>
      <c r="R156" s="13" t="s">
        <v>59</v>
      </c>
      <c r="S156" s="13" t="s">
        <v>59</v>
      </c>
      <c r="T156" s="13" t="s">
        <v>59</v>
      </c>
      <c r="U156" s="13" t="s">
        <v>59</v>
      </c>
      <c r="V156" s="13" t="s">
        <v>59</v>
      </c>
      <c r="W156" s="13" t="s">
        <v>59</v>
      </c>
    </row>
    <row r="157" spans="1:23" ht="15.6" hidden="1" thickTop="1" thickBot="1" x14ac:dyDescent="0.35">
      <c r="A157" s="1" t="s">
        <v>56</v>
      </c>
      <c r="B157" s="1">
        <v>20</v>
      </c>
      <c r="C157" s="1" t="s">
        <v>91</v>
      </c>
      <c r="D157" s="12">
        <v>0.85670000000000002</v>
      </c>
      <c r="E157" s="12">
        <v>0.93730000000000002</v>
      </c>
      <c r="F157" s="12">
        <v>0.97760000000000002</v>
      </c>
      <c r="G157" s="12">
        <v>0.999</v>
      </c>
      <c r="H157" s="12">
        <v>0.83379999999999999</v>
      </c>
      <c r="I157" s="12">
        <v>0.92079999999999995</v>
      </c>
      <c r="J157" s="12">
        <v>0.96340000000000003</v>
      </c>
      <c r="K157" s="12">
        <v>0.99409999999999998</v>
      </c>
      <c r="L157" s="12">
        <v>0.80689999999999995</v>
      </c>
      <c r="M157" s="12">
        <v>0.90700000000000003</v>
      </c>
      <c r="N157" s="12">
        <v>0.95579999999999998</v>
      </c>
      <c r="O157" s="12">
        <v>0.9919</v>
      </c>
      <c r="P157" s="12">
        <v>0.80918091809180903</v>
      </c>
      <c r="Q157" s="12">
        <v>0.90269026902690297</v>
      </c>
      <c r="R157" s="12">
        <v>0.95909590959095903</v>
      </c>
      <c r="S157" s="12">
        <v>0.99199919991999197</v>
      </c>
      <c r="T157" s="12">
        <v>0.77912054432822198</v>
      </c>
      <c r="U157" s="12">
        <v>0.86188686909718704</v>
      </c>
      <c r="V157" s="12">
        <v>0.91093734132223003</v>
      </c>
      <c r="W157" s="12">
        <v>0.99654717172743001</v>
      </c>
    </row>
    <row r="158" spans="1:23" ht="15" hidden="1" thickBot="1" x14ac:dyDescent="0.35">
      <c r="A158" t="s">
        <v>56</v>
      </c>
      <c r="B158">
        <v>50</v>
      </c>
      <c r="C158" t="s">
        <v>91</v>
      </c>
      <c r="D158" s="13">
        <v>0.8458</v>
      </c>
      <c r="E158" s="13">
        <v>0.93320000000000003</v>
      </c>
      <c r="F158" s="13">
        <v>0.97030000000000005</v>
      </c>
      <c r="G158" s="13">
        <v>0.99580000000000002</v>
      </c>
      <c r="H158" s="13">
        <v>0.82509999999999994</v>
      </c>
      <c r="I158" s="13">
        <v>0.91759999999999997</v>
      </c>
      <c r="J158" s="13">
        <v>0.96260000000000001</v>
      </c>
      <c r="K158" s="13">
        <v>0.99380000000000002</v>
      </c>
      <c r="L158" s="13">
        <v>0.81720000000000004</v>
      </c>
      <c r="M158" s="13">
        <v>0.91220000000000001</v>
      </c>
      <c r="N158" s="13">
        <v>0.95850000000000002</v>
      </c>
      <c r="O158" s="13">
        <v>0.9929</v>
      </c>
      <c r="P158" s="13">
        <v>0.80410000000000004</v>
      </c>
      <c r="Q158" s="13">
        <v>0.90129999999999999</v>
      </c>
      <c r="R158" s="13">
        <v>0.95169999999999999</v>
      </c>
      <c r="S158" s="13">
        <v>0.98809999999999998</v>
      </c>
      <c r="T158" s="13">
        <v>0.78580735692091797</v>
      </c>
      <c r="U158" s="13">
        <v>0.91069459757442095</v>
      </c>
      <c r="V158" s="13">
        <v>0.94587551368146705</v>
      </c>
      <c r="W158" s="13">
        <v>0.98917510273629305</v>
      </c>
    </row>
    <row r="159" spans="1:23" ht="15" hidden="1" thickBot="1" x14ac:dyDescent="0.35">
      <c r="A159" t="s">
        <v>56</v>
      </c>
      <c r="B159">
        <v>100</v>
      </c>
      <c r="C159" t="s">
        <v>91</v>
      </c>
      <c r="D159" s="13">
        <v>0.82840000000000003</v>
      </c>
      <c r="E159" s="13">
        <v>0.92130000000000001</v>
      </c>
      <c r="F159" s="13">
        <v>0.96230000000000004</v>
      </c>
      <c r="G159" s="13">
        <v>0.99309999999999998</v>
      </c>
      <c r="H159" s="13">
        <v>0.8175</v>
      </c>
      <c r="I159" s="13">
        <v>0.91379999999999995</v>
      </c>
      <c r="J159" s="13">
        <v>0.95930000000000004</v>
      </c>
      <c r="K159" s="13">
        <v>0.99280000000000002</v>
      </c>
      <c r="L159" s="13">
        <v>0.80879999999999996</v>
      </c>
      <c r="M159" s="13">
        <v>0.9083</v>
      </c>
      <c r="N159" s="13">
        <v>0.95269999999999999</v>
      </c>
      <c r="O159" s="13">
        <v>0.99039999999999995</v>
      </c>
      <c r="P159" s="13">
        <v>0.80279999999999996</v>
      </c>
      <c r="Q159" s="13">
        <v>0.89770000000000005</v>
      </c>
      <c r="R159" s="13">
        <v>0.94769999999999999</v>
      </c>
      <c r="S159" s="13">
        <v>0.99050000000000005</v>
      </c>
      <c r="T159" s="13">
        <v>0.80648064806480602</v>
      </c>
      <c r="U159" s="13">
        <v>0.90439043904390404</v>
      </c>
      <c r="V159" s="13">
        <v>0.95329532953295304</v>
      </c>
      <c r="W159" s="13">
        <v>0.98879887988798898</v>
      </c>
    </row>
    <row r="160" spans="1:23" ht="15" thickTop="1" x14ac:dyDescent="0.3">
      <c r="A160" s="1" t="s">
        <v>57</v>
      </c>
      <c r="B160" s="1">
        <v>20</v>
      </c>
      <c r="C160" s="1" t="s">
        <v>91</v>
      </c>
      <c r="D160" s="12">
        <v>0.92100000000000004</v>
      </c>
      <c r="E160" s="12">
        <v>0.97770000000000001</v>
      </c>
      <c r="F160" s="12">
        <v>0.99390000000000001</v>
      </c>
      <c r="G160" s="12">
        <v>0.99960000000000004</v>
      </c>
      <c r="H160" s="12">
        <v>0.91539999999999999</v>
      </c>
      <c r="I160" s="12">
        <v>0.97240000000000004</v>
      </c>
      <c r="J160" s="12">
        <v>0.99199999999999999</v>
      </c>
      <c r="K160" s="12">
        <v>0.99970000000000003</v>
      </c>
      <c r="L160" s="12">
        <v>0.85529999999999995</v>
      </c>
      <c r="M160" s="12">
        <v>0.93769999999999998</v>
      </c>
      <c r="N160" s="12">
        <v>0.97460000000000002</v>
      </c>
      <c r="O160" s="12">
        <v>0.99670000000000003</v>
      </c>
      <c r="P160" s="12">
        <v>0.8286</v>
      </c>
      <c r="Q160" s="12">
        <v>0.92320000000000002</v>
      </c>
      <c r="R160" s="12">
        <v>0.96519999999999995</v>
      </c>
      <c r="S160" s="12">
        <v>0.99439999999999995</v>
      </c>
      <c r="T160" s="12">
        <v>0.80488048804880497</v>
      </c>
      <c r="U160" s="12">
        <v>0.88508850885088497</v>
      </c>
      <c r="V160" s="12">
        <v>0.947194719471947</v>
      </c>
      <c r="W160" s="12">
        <v>0.997399739973997</v>
      </c>
    </row>
    <row r="161" spans="1:23" x14ac:dyDescent="0.3">
      <c r="A161" t="s">
        <v>57</v>
      </c>
      <c r="B161">
        <v>50</v>
      </c>
      <c r="C161" t="s">
        <v>91</v>
      </c>
      <c r="D161" s="13">
        <v>0.92659999999999998</v>
      </c>
      <c r="E161" s="13">
        <v>0.97770000000000001</v>
      </c>
      <c r="F161" s="13">
        <v>0.99429999999999996</v>
      </c>
      <c r="G161" s="13">
        <v>0.99950000000000006</v>
      </c>
      <c r="H161" s="13">
        <v>0.87890000000000001</v>
      </c>
      <c r="I161" s="13">
        <v>0.95</v>
      </c>
      <c r="J161" s="13">
        <v>0.98099999999999998</v>
      </c>
      <c r="K161" s="13">
        <v>0.99809999999999999</v>
      </c>
      <c r="L161" s="13">
        <v>0.83079999999999998</v>
      </c>
      <c r="M161" s="13">
        <v>0.92390000000000005</v>
      </c>
      <c r="N161" s="13">
        <v>0.96419999999999995</v>
      </c>
      <c r="O161" s="13">
        <v>0.99519999999999997</v>
      </c>
      <c r="P161" s="13">
        <v>0.82120000000000004</v>
      </c>
      <c r="Q161" s="13">
        <v>0.91469999999999996</v>
      </c>
      <c r="R161" s="13">
        <v>0.96030000000000004</v>
      </c>
      <c r="S161" s="13">
        <v>0.99390000000000001</v>
      </c>
      <c r="T161" s="13">
        <v>0.81069999999999998</v>
      </c>
      <c r="U161" s="13">
        <v>0.91890000000000005</v>
      </c>
      <c r="V161" s="13">
        <v>0.95430000000000004</v>
      </c>
      <c r="W161" s="13">
        <v>0.99129999999999996</v>
      </c>
    </row>
    <row r="162" spans="1:23" ht="15" thickBot="1" x14ac:dyDescent="0.35">
      <c r="A162" t="s">
        <v>57</v>
      </c>
      <c r="B162">
        <v>100</v>
      </c>
      <c r="C162" t="s">
        <v>91</v>
      </c>
      <c r="D162" s="13">
        <v>0.91810000000000003</v>
      </c>
      <c r="E162" s="13">
        <v>0.97509999999999997</v>
      </c>
      <c r="F162" s="13">
        <v>0.99160000000000004</v>
      </c>
      <c r="G162" s="13">
        <v>0.99950000000000006</v>
      </c>
      <c r="H162" s="13">
        <v>0.84630000000000005</v>
      </c>
      <c r="I162" s="13">
        <v>0.93210000000000004</v>
      </c>
      <c r="J162" s="13">
        <v>0.97219999999999995</v>
      </c>
      <c r="K162" s="13">
        <v>0.99639999999999995</v>
      </c>
      <c r="L162" s="13">
        <v>0.8286</v>
      </c>
      <c r="M162" s="13">
        <v>0.91930000000000001</v>
      </c>
      <c r="N162" s="13">
        <v>0.96120000000000005</v>
      </c>
      <c r="O162" s="13">
        <v>0.99260000000000004</v>
      </c>
      <c r="P162" s="13">
        <v>0.81699999999999995</v>
      </c>
      <c r="Q162" s="13">
        <v>0.91479999999999995</v>
      </c>
      <c r="R162" s="13">
        <v>0.9587</v>
      </c>
      <c r="S162" s="13">
        <v>0.99429999999999996</v>
      </c>
      <c r="T162" s="13">
        <v>0.8125</v>
      </c>
      <c r="U162" s="13">
        <v>0.91200000000000003</v>
      </c>
      <c r="V162" s="13">
        <v>0.95830000000000004</v>
      </c>
      <c r="W162" s="13">
        <v>0.99119999999999997</v>
      </c>
    </row>
    <row r="163" spans="1:23" ht="15.6" hidden="1" thickTop="1" thickBot="1" x14ac:dyDescent="0.35">
      <c r="A163" s="1" t="s">
        <v>31</v>
      </c>
      <c r="B163" s="1">
        <v>20</v>
      </c>
      <c r="C163" s="1" t="s">
        <v>91</v>
      </c>
      <c r="D163" s="12">
        <v>0.83420000000000005</v>
      </c>
      <c r="E163" s="12">
        <v>0.92190000000000005</v>
      </c>
      <c r="F163" s="12">
        <v>0.97499999999999998</v>
      </c>
      <c r="G163" s="12">
        <v>0.99680000000000002</v>
      </c>
      <c r="H163" s="12">
        <v>0.83689999999999998</v>
      </c>
      <c r="I163" s="12">
        <v>0.93079999999999996</v>
      </c>
      <c r="J163" s="12">
        <v>0.96850000000000003</v>
      </c>
      <c r="K163" s="12">
        <v>0.99580000000000002</v>
      </c>
      <c r="L163" s="12">
        <v>0.84760000000000002</v>
      </c>
      <c r="M163" s="12">
        <v>0.9325</v>
      </c>
      <c r="N163" s="12">
        <v>0.96840000000000004</v>
      </c>
      <c r="O163" s="12">
        <v>0.99519999999999997</v>
      </c>
      <c r="P163" s="12">
        <v>0.84499999999999997</v>
      </c>
      <c r="Q163" s="12">
        <v>0.93149999999999999</v>
      </c>
      <c r="R163" s="12">
        <v>0.97119999999999995</v>
      </c>
      <c r="S163" s="12">
        <v>0.996</v>
      </c>
      <c r="T163" s="12">
        <v>0.83889999999999998</v>
      </c>
      <c r="U163" s="12">
        <v>0.91979999999999995</v>
      </c>
      <c r="V163" s="12">
        <v>0.97060000000000002</v>
      </c>
      <c r="W163" s="12">
        <v>0.99750000000000005</v>
      </c>
    </row>
    <row r="164" spans="1:23" ht="15" hidden="1" thickBot="1" x14ac:dyDescent="0.35">
      <c r="A164" t="s">
        <v>31</v>
      </c>
      <c r="B164">
        <v>50</v>
      </c>
      <c r="C164" t="s">
        <v>91</v>
      </c>
      <c r="D164" s="13">
        <v>0.83040000000000003</v>
      </c>
      <c r="E164" s="13">
        <v>0.92030000000000001</v>
      </c>
      <c r="F164" s="13">
        <v>0.9637</v>
      </c>
      <c r="G164" s="13">
        <v>0.99270000000000003</v>
      </c>
      <c r="H164" s="13">
        <v>0.82789999999999997</v>
      </c>
      <c r="I164" s="13">
        <v>0.91859999999999997</v>
      </c>
      <c r="J164" s="13">
        <v>0.96279999999999999</v>
      </c>
      <c r="K164" s="13">
        <v>0.99380000000000002</v>
      </c>
      <c r="L164" s="13">
        <v>0.8276</v>
      </c>
      <c r="M164" s="13">
        <v>0.92079999999999995</v>
      </c>
      <c r="N164" s="13">
        <v>0.96199999999999997</v>
      </c>
      <c r="O164" s="13">
        <v>0.99209999999999998</v>
      </c>
      <c r="P164" s="13">
        <v>0.83160000000000001</v>
      </c>
      <c r="Q164" s="13">
        <v>0.91859999999999997</v>
      </c>
      <c r="R164" s="13">
        <v>0.96450000000000002</v>
      </c>
      <c r="S164" s="13">
        <v>0.99390000000000001</v>
      </c>
      <c r="T164" s="13">
        <v>0.82669999999999999</v>
      </c>
      <c r="U164" s="13">
        <v>0.92359999999999998</v>
      </c>
      <c r="V164" s="13">
        <v>0.96519999999999995</v>
      </c>
      <c r="W164" s="13">
        <v>0.99460000000000004</v>
      </c>
    </row>
    <row r="165" spans="1:23" ht="15" hidden="1" thickBot="1" x14ac:dyDescent="0.35">
      <c r="A165" t="s">
        <v>31</v>
      </c>
      <c r="B165">
        <v>100</v>
      </c>
      <c r="C165" t="s">
        <v>91</v>
      </c>
      <c r="D165" s="13">
        <v>0.82420000000000004</v>
      </c>
      <c r="E165" s="13">
        <v>0.91890000000000005</v>
      </c>
      <c r="F165" s="13">
        <v>0.96</v>
      </c>
      <c r="G165" s="13">
        <v>0.99319999999999997</v>
      </c>
      <c r="H165" s="13">
        <v>0.81410000000000005</v>
      </c>
      <c r="I165" s="13">
        <v>0.91439999999999999</v>
      </c>
      <c r="J165" s="13">
        <v>0.95899999999999996</v>
      </c>
      <c r="K165" s="13">
        <v>0.99139999999999995</v>
      </c>
      <c r="L165" s="13">
        <v>0.82030000000000003</v>
      </c>
      <c r="M165" s="13">
        <v>0.91720000000000002</v>
      </c>
      <c r="N165" s="13">
        <v>0.95960000000000001</v>
      </c>
      <c r="O165" s="13">
        <v>0.99280000000000002</v>
      </c>
      <c r="P165" s="13">
        <v>0.82450000000000001</v>
      </c>
      <c r="Q165" s="13">
        <v>0.91579999999999995</v>
      </c>
      <c r="R165" s="13">
        <v>0.96050000000000002</v>
      </c>
      <c r="S165" s="13">
        <v>0.99219999999999997</v>
      </c>
      <c r="T165" s="13">
        <v>0.82799999999999996</v>
      </c>
      <c r="U165" s="13">
        <v>0.91810000000000003</v>
      </c>
      <c r="V165" s="13">
        <v>0.96260000000000001</v>
      </c>
      <c r="W165" s="13">
        <v>0.99370000000000003</v>
      </c>
    </row>
    <row r="166" spans="1:23" ht="15.6" hidden="1" thickTop="1" thickBot="1" x14ac:dyDescent="0.35">
      <c r="A166" s="1" t="s">
        <v>56</v>
      </c>
      <c r="B166" s="1">
        <v>20</v>
      </c>
      <c r="C166" s="1" t="s">
        <v>68</v>
      </c>
      <c r="D166" s="12">
        <v>0.81110000000000004</v>
      </c>
      <c r="E166" s="12">
        <v>0.88480000000000003</v>
      </c>
      <c r="F166" s="12">
        <v>0.93799999999999994</v>
      </c>
      <c r="G166" s="12">
        <v>0.99809999999999999</v>
      </c>
      <c r="H166" s="12">
        <v>0.81456291258251601</v>
      </c>
      <c r="I166" s="12">
        <v>0.90018003600720098</v>
      </c>
      <c r="J166" s="12">
        <v>0.95509101820364095</v>
      </c>
      <c r="K166" s="12">
        <v>0.99159831966393297</v>
      </c>
      <c r="L166" s="12">
        <v>0.77903371011303402</v>
      </c>
      <c r="M166" s="12">
        <v>0.893868160448134</v>
      </c>
      <c r="N166" s="12">
        <v>0.95318595578673604</v>
      </c>
      <c r="O166" s="12">
        <v>0.98939681904571397</v>
      </c>
      <c r="P166" s="12">
        <v>0.80319148936170204</v>
      </c>
      <c r="Q166" s="12">
        <v>0.88739462063428298</v>
      </c>
      <c r="R166" s="12">
        <v>0.95985547972701701</v>
      </c>
      <c r="S166" s="12">
        <v>0.991971095945403</v>
      </c>
      <c r="T166" s="12">
        <v>0.794428434197887</v>
      </c>
      <c r="U166" s="12">
        <v>0.88216458533461395</v>
      </c>
      <c r="V166" s="12">
        <v>0.92645960081118595</v>
      </c>
      <c r="W166" s="12">
        <v>0.99647774575728498</v>
      </c>
    </row>
    <row r="167" spans="1:23" ht="15" hidden="1" thickBot="1" x14ac:dyDescent="0.35">
      <c r="A167" t="s">
        <v>56</v>
      </c>
      <c r="B167">
        <v>50</v>
      </c>
      <c r="C167" t="s">
        <v>68</v>
      </c>
      <c r="D167" s="13">
        <v>0.8125</v>
      </c>
      <c r="E167" s="13">
        <v>0.91739999999999999</v>
      </c>
      <c r="F167" s="13">
        <v>0.95340000000000003</v>
      </c>
      <c r="G167" s="13">
        <v>0.9919</v>
      </c>
      <c r="H167" s="13">
        <v>0.81200000000000006</v>
      </c>
      <c r="I167" s="13">
        <v>0.90690000000000004</v>
      </c>
      <c r="J167" s="13">
        <v>0.9577</v>
      </c>
      <c r="K167" s="13">
        <v>0.99129999999999996</v>
      </c>
      <c r="L167" s="13">
        <v>0.80916183236647299</v>
      </c>
      <c r="M167" s="13">
        <v>0.90178035607121398</v>
      </c>
      <c r="N167" s="13">
        <v>0.95259051810362105</v>
      </c>
      <c r="O167" s="13">
        <v>0.99199839967993597</v>
      </c>
      <c r="P167" s="13">
        <v>0.80269999999999997</v>
      </c>
      <c r="Q167" s="13">
        <v>0.89829999999999999</v>
      </c>
      <c r="R167" s="13">
        <v>0.95020000000000004</v>
      </c>
      <c r="S167" s="13">
        <v>0.98580000000000001</v>
      </c>
      <c r="T167" s="13">
        <v>0.77137055837563495</v>
      </c>
      <c r="U167" s="13">
        <v>0.90974619289340097</v>
      </c>
      <c r="V167" s="13">
        <v>0.943959390862944</v>
      </c>
      <c r="W167" s="13">
        <v>0.99187817258883204</v>
      </c>
    </row>
    <row r="168" spans="1:23" ht="15" hidden="1" thickBot="1" x14ac:dyDescent="0.35">
      <c r="A168" t="s">
        <v>56</v>
      </c>
      <c r="B168">
        <v>100</v>
      </c>
      <c r="C168" t="s">
        <v>68</v>
      </c>
      <c r="D168" s="13">
        <v>0.80269999999999997</v>
      </c>
      <c r="E168" s="13">
        <v>0.90349999999999997</v>
      </c>
      <c r="F168" s="13">
        <v>0.95269999999999999</v>
      </c>
      <c r="G168" s="13">
        <v>0.98970000000000002</v>
      </c>
      <c r="H168" s="13">
        <v>0.80220000000000002</v>
      </c>
      <c r="I168" s="13">
        <v>0.90549999999999997</v>
      </c>
      <c r="J168" s="13">
        <v>0.95420000000000005</v>
      </c>
      <c r="K168" s="13">
        <v>0.99119999999999997</v>
      </c>
      <c r="L168" s="13">
        <v>0.80569999999999997</v>
      </c>
      <c r="M168" s="13">
        <v>0.90490000000000004</v>
      </c>
      <c r="N168" s="13">
        <v>0.94950000000000001</v>
      </c>
      <c r="O168" s="13">
        <v>0.99019999999999997</v>
      </c>
      <c r="P168" s="13">
        <v>0.79615731011708202</v>
      </c>
      <c r="Q168" s="13">
        <v>0.89262483738617004</v>
      </c>
      <c r="R168" s="13">
        <v>0.94696287401180801</v>
      </c>
      <c r="S168" s="13">
        <v>0.98899229460622395</v>
      </c>
      <c r="T168" s="13">
        <v>0.80672184093661703</v>
      </c>
      <c r="U168" s="13">
        <v>0.90371417036738</v>
      </c>
      <c r="V168" s="13">
        <v>0.95367379895034299</v>
      </c>
      <c r="W168" s="13">
        <v>0.98748486071861097</v>
      </c>
    </row>
    <row r="169" spans="1:23" ht="15" thickTop="1" x14ac:dyDescent="0.3">
      <c r="A169" s="1" t="s">
        <v>57</v>
      </c>
      <c r="B169" s="1">
        <v>20</v>
      </c>
      <c r="C169" s="1" t="s">
        <v>68</v>
      </c>
      <c r="D169" s="12">
        <v>0.92059999999999997</v>
      </c>
      <c r="E169" s="12">
        <v>0.97540000000000004</v>
      </c>
      <c r="F169" s="12">
        <v>0.995</v>
      </c>
      <c r="G169" s="12">
        <v>0.99950000000000006</v>
      </c>
      <c r="H169" s="12">
        <v>0.84889999999999999</v>
      </c>
      <c r="I169" s="12">
        <v>0.9355</v>
      </c>
      <c r="J169" s="12">
        <v>0.97489999999999999</v>
      </c>
      <c r="K169" s="12">
        <v>0.99650000000000005</v>
      </c>
      <c r="L169" s="12">
        <v>0.82320000000000004</v>
      </c>
      <c r="M169" s="12">
        <v>0.91739999999999999</v>
      </c>
      <c r="N169" s="12">
        <v>0.96240000000000003</v>
      </c>
      <c r="O169" s="12">
        <v>0.99319999999999997</v>
      </c>
      <c r="P169" s="12">
        <v>0.80966193238647699</v>
      </c>
      <c r="Q169" s="12">
        <v>0.90118023604720898</v>
      </c>
      <c r="R169" s="12">
        <v>0.95489097819563895</v>
      </c>
      <c r="S169" s="12">
        <v>0.99179835967193397</v>
      </c>
      <c r="T169" s="12">
        <v>0.78395061728395099</v>
      </c>
      <c r="U169" s="12">
        <v>0.86035215543412302</v>
      </c>
      <c r="V169" s="12">
        <v>0.91064561829589197</v>
      </c>
      <c r="W169" s="12">
        <v>0.99726775956284197</v>
      </c>
    </row>
    <row r="170" spans="1:23" x14ac:dyDescent="0.3">
      <c r="A170" t="s">
        <v>57</v>
      </c>
      <c r="B170">
        <v>50</v>
      </c>
      <c r="C170" t="s">
        <v>68</v>
      </c>
      <c r="D170" s="13">
        <v>0.86899999999999999</v>
      </c>
      <c r="E170" s="13">
        <v>0.9476</v>
      </c>
      <c r="F170" s="13">
        <v>0.97970000000000002</v>
      </c>
      <c r="G170" s="13">
        <v>0.99719999999999998</v>
      </c>
      <c r="H170" s="13">
        <v>0.82920000000000005</v>
      </c>
      <c r="I170" s="13">
        <v>0.91800000000000004</v>
      </c>
      <c r="J170" s="13">
        <v>0.96179999999999999</v>
      </c>
      <c r="K170" s="13">
        <v>0.99339999999999995</v>
      </c>
      <c r="L170" s="13">
        <v>0.80789999999999995</v>
      </c>
      <c r="M170" s="13">
        <v>0.90810000000000002</v>
      </c>
      <c r="N170" s="13">
        <v>0.95530000000000004</v>
      </c>
      <c r="O170" s="13">
        <v>0.99160000000000004</v>
      </c>
      <c r="P170" s="13">
        <v>0.80230000000000001</v>
      </c>
      <c r="Q170" s="13">
        <v>0.90449999999999997</v>
      </c>
      <c r="R170" s="13">
        <v>0.95399999999999996</v>
      </c>
      <c r="S170" s="13">
        <v>0.99070000000000003</v>
      </c>
      <c r="T170" s="13">
        <v>0.79467871485943797</v>
      </c>
      <c r="U170" s="13">
        <v>0.91485943775100398</v>
      </c>
      <c r="V170" s="13">
        <v>0.94819277108433697</v>
      </c>
      <c r="W170" s="13">
        <v>0.99076305220883498</v>
      </c>
    </row>
    <row r="171" spans="1:23" ht="15" thickBot="1" x14ac:dyDescent="0.35">
      <c r="A171" t="s">
        <v>57</v>
      </c>
      <c r="B171">
        <v>100</v>
      </c>
      <c r="C171" t="s">
        <v>68</v>
      </c>
      <c r="D171" s="13">
        <v>0.83679999999999999</v>
      </c>
      <c r="E171" s="13">
        <v>0.92420000000000002</v>
      </c>
      <c r="F171" s="13">
        <v>0.96630000000000005</v>
      </c>
      <c r="G171" s="13">
        <v>0.99490000000000001</v>
      </c>
      <c r="H171" s="13">
        <v>0.80859999999999999</v>
      </c>
      <c r="I171" s="13">
        <v>0.90910000000000002</v>
      </c>
      <c r="J171" s="13">
        <v>0.95299999999999996</v>
      </c>
      <c r="K171" s="13">
        <v>0.99139999999999995</v>
      </c>
      <c r="L171" s="13">
        <v>0.80959999999999999</v>
      </c>
      <c r="M171" s="13">
        <v>0.90800000000000003</v>
      </c>
      <c r="N171" s="13">
        <v>0.95289999999999997</v>
      </c>
      <c r="O171" s="13">
        <v>0.99019999999999997</v>
      </c>
      <c r="P171" s="13">
        <v>0.80759999999999998</v>
      </c>
      <c r="Q171" s="13">
        <v>0.90449999999999997</v>
      </c>
      <c r="R171" s="13">
        <v>0.95340000000000003</v>
      </c>
      <c r="S171" s="13">
        <v>0.99239999999999995</v>
      </c>
      <c r="T171" s="13">
        <v>0.80785413744740497</v>
      </c>
      <c r="U171" s="13">
        <v>0.90693247846123004</v>
      </c>
      <c r="V171" s="13">
        <v>0.95682228010418802</v>
      </c>
      <c r="W171" s="13">
        <v>0.98918052494490105</v>
      </c>
    </row>
    <row r="172" spans="1:23" ht="15.6" hidden="1" thickTop="1" thickBot="1" x14ac:dyDescent="0.35">
      <c r="A172" s="1" t="s">
        <v>31</v>
      </c>
      <c r="B172" s="1">
        <v>20</v>
      </c>
      <c r="C172" s="1" t="s">
        <v>68</v>
      </c>
      <c r="D172" s="12">
        <v>0.79837902741644995</v>
      </c>
      <c r="E172" s="12">
        <v>0.87672603562137297</v>
      </c>
      <c r="F172" s="12">
        <v>0.93516109665799496</v>
      </c>
      <c r="G172" s="12">
        <v>0.99669801881128695</v>
      </c>
      <c r="H172" s="12">
        <v>0.81348134813481399</v>
      </c>
      <c r="I172" s="12">
        <v>0.90589058905890596</v>
      </c>
      <c r="J172" s="12">
        <v>0.95779577957795803</v>
      </c>
      <c r="K172" s="12">
        <v>0.99239923992399204</v>
      </c>
      <c r="L172" s="12">
        <v>0.82030000000000003</v>
      </c>
      <c r="M172" s="12">
        <v>0.91290000000000004</v>
      </c>
      <c r="N172" s="12">
        <v>0.95689999999999997</v>
      </c>
      <c r="O172" s="12">
        <v>0.99050000000000005</v>
      </c>
      <c r="P172" s="12">
        <v>0.8216</v>
      </c>
      <c r="Q172" s="12">
        <v>0.90769999999999995</v>
      </c>
      <c r="R172" s="12">
        <v>0.9587</v>
      </c>
      <c r="S172" s="12">
        <v>0.99370000000000003</v>
      </c>
      <c r="T172" s="12">
        <v>0.80184239511364797</v>
      </c>
      <c r="U172" s="12">
        <v>0.87954340642835704</v>
      </c>
      <c r="V172" s="12">
        <v>0.93121057374587002</v>
      </c>
      <c r="W172" s="12">
        <v>0.99699609492340002</v>
      </c>
    </row>
    <row r="173" spans="1:23" ht="15" hidden="1" thickBot="1" x14ac:dyDescent="0.35">
      <c r="A173" t="s">
        <v>31</v>
      </c>
      <c r="B173">
        <v>50</v>
      </c>
      <c r="C173" t="s">
        <v>68</v>
      </c>
      <c r="D173" s="13">
        <v>0.79907944766860095</v>
      </c>
      <c r="E173" s="13">
        <v>0.90934560736441905</v>
      </c>
      <c r="F173" s="13">
        <v>0.95027016209725801</v>
      </c>
      <c r="G173" s="13">
        <v>0.98959375625375201</v>
      </c>
      <c r="H173" s="13">
        <v>0.81110000000000004</v>
      </c>
      <c r="I173" s="13">
        <v>0.90290000000000004</v>
      </c>
      <c r="J173" s="13">
        <v>0.9546</v>
      </c>
      <c r="K173" s="13">
        <v>0.99119999999999997</v>
      </c>
      <c r="L173" s="13">
        <v>0.80700000000000005</v>
      </c>
      <c r="M173" s="13">
        <v>0.90559999999999996</v>
      </c>
      <c r="N173" s="13">
        <v>0.95289999999999997</v>
      </c>
      <c r="O173" s="13">
        <v>0.98950000000000005</v>
      </c>
      <c r="P173" s="13">
        <v>0.81299999999999994</v>
      </c>
      <c r="Q173" s="13">
        <v>0.90690000000000004</v>
      </c>
      <c r="R173" s="13">
        <v>0.95440000000000003</v>
      </c>
      <c r="S173" s="13">
        <v>0.99080000000000001</v>
      </c>
      <c r="T173" s="13">
        <v>0.80552220888355297</v>
      </c>
      <c r="U173" s="13">
        <v>0.91156462585034004</v>
      </c>
      <c r="V173" s="13">
        <v>0.95138055222088802</v>
      </c>
      <c r="W173" s="13">
        <v>0.99239695878351297</v>
      </c>
    </row>
    <row r="174" spans="1:23" ht="15" hidden="1" thickBot="1" x14ac:dyDescent="0.35">
      <c r="A174" t="s">
        <v>31</v>
      </c>
      <c r="B174">
        <v>100</v>
      </c>
      <c r="C174" t="s">
        <v>68</v>
      </c>
      <c r="D174" s="13">
        <v>0.80686480536375504</v>
      </c>
      <c r="E174" s="13">
        <v>0.90463324327028904</v>
      </c>
      <c r="F174" s="13">
        <v>0.95306714700290196</v>
      </c>
      <c r="G174" s="13">
        <v>0.98919243470429297</v>
      </c>
      <c r="H174" s="13">
        <v>0.79890000000000005</v>
      </c>
      <c r="I174" s="13">
        <v>0.90180000000000005</v>
      </c>
      <c r="J174" s="13">
        <v>0.95050000000000001</v>
      </c>
      <c r="K174" s="13">
        <v>0.98839999999999995</v>
      </c>
      <c r="L174" s="13">
        <v>0.80759999999999998</v>
      </c>
      <c r="M174" s="13">
        <v>0.90810000000000002</v>
      </c>
      <c r="N174" s="13">
        <v>0.95530000000000004</v>
      </c>
      <c r="O174" s="13">
        <v>0.9909</v>
      </c>
      <c r="P174" s="13">
        <v>0.80700000000000005</v>
      </c>
      <c r="Q174" s="13">
        <v>0.90359999999999996</v>
      </c>
      <c r="R174" s="13">
        <v>0.95230000000000004</v>
      </c>
      <c r="S174" s="13">
        <v>0.99</v>
      </c>
      <c r="T174" s="13">
        <v>0.8085</v>
      </c>
      <c r="U174" s="13">
        <v>0.90500000000000003</v>
      </c>
      <c r="V174" s="13">
        <v>0.95699999999999996</v>
      </c>
      <c r="W174" s="13">
        <v>0.99070000000000003</v>
      </c>
    </row>
    <row r="175" spans="1:23" ht="15.6" hidden="1" thickTop="1" thickBot="1" x14ac:dyDescent="0.35">
      <c r="A175" s="1" t="s">
        <v>56</v>
      </c>
      <c r="B175" s="1">
        <v>20</v>
      </c>
      <c r="C175" s="1" t="s">
        <v>92</v>
      </c>
      <c r="D175" s="12">
        <v>0.78375378405650897</v>
      </c>
      <c r="E175" s="12">
        <v>0.85701311806256297</v>
      </c>
      <c r="F175" s="12">
        <v>0.90322906155398597</v>
      </c>
      <c r="G175" s="12">
        <v>0.99778002018163503</v>
      </c>
      <c r="H175" s="12">
        <v>0.81005025125628105</v>
      </c>
      <c r="I175" s="12">
        <v>0.88482412060301496</v>
      </c>
      <c r="J175" s="12">
        <v>0.95447236180904504</v>
      </c>
      <c r="K175" s="12">
        <v>0.99025125628140698</v>
      </c>
      <c r="L175" s="12">
        <v>0.75667001003009005</v>
      </c>
      <c r="M175" s="12">
        <v>0.88515546639919795</v>
      </c>
      <c r="N175" s="12">
        <v>0.95325977933801398</v>
      </c>
      <c r="O175" s="12">
        <v>0.98826479438314896</v>
      </c>
      <c r="P175" s="12">
        <v>0.80281405000506101</v>
      </c>
      <c r="Q175" s="12">
        <v>0.87863144042919294</v>
      </c>
      <c r="R175" s="12">
        <v>0.96264804129972703</v>
      </c>
      <c r="S175" s="12">
        <v>0.99261058811620595</v>
      </c>
      <c r="T175" s="12">
        <v>0.81376339335027104</v>
      </c>
      <c r="U175" s="12">
        <v>0.90666077543355805</v>
      </c>
      <c r="V175" s="12">
        <v>0.949519496299569</v>
      </c>
      <c r="W175" s="12">
        <v>0.99668618137633902</v>
      </c>
    </row>
    <row r="176" spans="1:23" ht="15" hidden="1" thickBot="1" x14ac:dyDescent="0.35">
      <c r="A176" t="s">
        <v>56</v>
      </c>
      <c r="B176">
        <v>50</v>
      </c>
      <c r="C176" t="s">
        <v>92</v>
      </c>
      <c r="D176" s="13">
        <v>0.79191042969537995</v>
      </c>
      <c r="E176" s="13">
        <v>0.91375832156546299</v>
      </c>
      <c r="F176" s="13">
        <v>0.94633851119628798</v>
      </c>
      <c r="G176" s="13">
        <v>0.99142626588662497</v>
      </c>
      <c r="H176" s="13">
        <v>0.81040000000000001</v>
      </c>
      <c r="I176" s="13">
        <v>0.90259999999999996</v>
      </c>
      <c r="J176" s="13">
        <v>0.95679999999999998</v>
      </c>
      <c r="K176" s="13">
        <v>0.98909999999999998</v>
      </c>
      <c r="L176" s="13">
        <v>0.80544708120556696</v>
      </c>
      <c r="M176" s="13">
        <v>0.89326123961149495</v>
      </c>
      <c r="N176" s="13">
        <v>0.94542905777510799</v>
      </c>
      <c r="O176" s="13">
        <v>0.99228997697006105</v>
      </c>
      <c r="P176" s="13">
        <v>0.80279999999999996</v>
      </c>
      <c r="Q176" s="13">
        <v>0.89670000000000005</v>
      </c>
      <c r="R176" s="13">
        <v>0.95020000000000004</v>
      </c>
      <c r="S176" s="13">
        <v>0.98499999999999999</v>
      </c>
      <c r="T176" s="13">
        <v>0.76641965282712399</v>
      </c>
      <c r="U176" s="13">
        <v>0.91137955537508897</v>
      </c>
      <c r="V176" s="13">
        <v>0.94518323012892103</v>
      </c>
      <c r="W176" s="13">
        <v>0.99431529793929596</v>
      </c>
    </row>
    <row r="177" spans="1:23" ht="15" hidden="1" thickBot="1" x14ac:dyDescent="0.35">
      <c r="A177" t="s">
        <v>56</v>
      </c>
      <c r="B177">
        <v>100</v>
      </c>
      <c r="C177" t="s">
        <v>92</v>
      </c>
      <c r="D177" s="13">
        <v>0.80088540094576899</v>
      </c>
      <c r="E177" s="13">
        <v>0.90019116611329097</v>
      </c>
      <c r="F177" s="13">
        <v>0.95210785793339403</v>
      </c>
      <c r="G177" s="13">
        <v>0.98742328202032403</v>
      </c>
      <c r="H177" s="13">
        <v>0.79857558431136499</v>
      </c>
      <c r="I177" s="13">
        <v>0.899287792155683</v>
      </c>
      <c r="J177" s="13">
        <v>0.953355401745411</v>
      </c>
      <c r="K177" s="13">
        <v>0.99026983649312905</v>
      </c>
      <c r="L177" s="13">
        <v>0.80796956347617099</v>
      </c>
      <c r="M177" s="13">
        <v>0.90839006808169798</v>
      </c>
      <c r="N177" s="13">
        <v>0.94743692430917104</v>
      </c>
      <c r="O177" s="13">
        <v>0.98908690428514201</v>
      </c>
      <c r="P177" s="13">
        <v>0.79184657094085797</v>
      </c>
      <c r="Q177" s="13">
        <v>0.89004920172708102</v>
      </c>
      <c r="R177" s="13">
        <v>0.94698262877799</v>
      </c>
      <c r="S177" s="13">
        <v>0.988753890952907</v>
      </c>
      <c r="T177" s="13">
        <v>0.80854063853358804</v>
      </c>
      <c r="U177" s="13">
        <v>0.905327827575788</v>
      </c>
      <c r="V177" s="13">
        <v>0.95437607009769398</v>
      </c>
      <c r="W177" s="13">
        <v>0.98690703998388596</v>
      </c>
    </row>
    <row r="178" spans="1:23" ht="15" thickTop="1" x14ac:dyDescent="0.3">
      <c r="A178" s="1" t="s">
        <v>57</v>
      </c>
      <c r="B178" s="1">
        <v>20</v>
      </c>
      <c r="C178" s="10" t="s">
        <v>92</v>
      </c>
      <c r="D178" s="12">
        <v>0.85309999999999997</v>
      </c>
      <c r="E178" s="12">
        <v>0.93100000000000005</v>
      </c>
      <c r="F178" s="12">
        <v>0.97130000000000005</v>
      </c>
      <c r="G178" s="12">
        <v>0.99870000000000003</v>
      </c>
      <c r="H178" s="12">
        <v>0.81879999999999997</v>
      </c>
      <c r="I178" s="12">
        <v>0.90880000000000005</v>
      </c>
      <c r="J178" s="12">
        <v>0.96009999999999995</v>
      </c>
      <c r="K178" s="12">
        <v>0.99429999999999996</v>
      </c>
      <c r="L178" s="12">
        <v>0.79700000000000004</v>
      </c>
      <c r="M178" s="12">
        <v>0.90439999999999998</v>
      </c>
      <c r="N178" s="12">
        <v>0.95669999999999999</v>
      </c>
      <c r="O178" s="12">
        <v>0.99039999999999995</v>
      </c>
      <c r="P178" s="12">
        <v>0.80339391505171198</v>
      </c>
      <c r="Q178" s="12">
        <v>0.88683602771362602</v>
      </c>
      <c r="R178" s="12">
        <v>0.95411185862034298</v>
      </c>
      <c r="S178" s="12">
        <v>0.99146500652675995</v>
      </c>
      <c r="T178" s="12">
        <v>0.79660477453580902</v>
      </c>
      <c r="U178" s="12">
        <v>0.87946949602122004</v>
      </c>
      <c r="V178" s="12">
        <v>0.92254641909814294</v>
      </c>
      <c r="W178" s="12">
        <v>0.99734748010610097</v>
      </c>
    </row>
    <row r="179" spans="1:23" x14ac:dyDescent="0.3">
      <c r="A179" t="s">
        <v>57</v>
      </c>
      <c r="B179">
        <v>50</v>
      </c>
      <c r="C179" s="11" t="s">
        <v>92</v>
      </c>
      <c r="D179" s="13">
        <v>0.82110000000000005</v>
      </c>
      <c r="E179" s="13">
        <v>0.91700000000000004</v>
      </c>
      <c r="F179" s="13">
        <v>0.95830000000000004</v>
      </c>
      <c r="G179" s="13">
        <v>0.99060000000000004</v>
      </c>
      <c r="H179" s="13">
        <v>0.81020000000000003</v>
      </c>
      <c r="I179" s="13">
        <v>0.90710000000000002</v>
      </c>
      <c r="J179" s="13">
        <v>0.95320000000000005</v>
      </c>
      <c r="K179" s="13">
        <v>0.99070000000000003</v>
      </c>
      <c r="L179" s="13">
        <v>0.79837983798379797</v>
      </c>
      <c r="M179" s="13">
        <v>0.89608960896089596</v>
      </c>
      <c r="N179" s="13">
        <v>0.94859485948594902</v>
      </c>
      <c r="O179" s="13">
        <v>0.99079907990799099</v>
      </c>
      <c r="P179" s="13">
        <v>0.80059999999999998</v>
      </c>
      <c r="Q179" s="13">
        <v>0.90129999999999999</v>
      </c>
      <c r="R179" s="13">
        <v>0.95230000000000004</v>
      </c>
      <c r="S179" s="13">
        <v>0.98860000000000003</v>
      </c>
      <c r="T179" s="13">
        <v>0.78326572008113604</v>
      </c>
      <c r="U179" s="13">
        <v>0.91470588235294104</v>
      </c>
      <c r="V179" s="13">
        <v>0.94736308316429996</v>
      </c>
      <c r="W179" s="13">
        <v>0.99310344827586206</v>
      </c>
    </row>
    <row r="180" spans="1:23" x14ac:dyDescent="0.3">
      <c r="A180" t="s">
        <v>57</v>
      </c>
      <c r="B180">
        <v>100</v>
      </c>
      <c r="C180" s="11" t="s">
        <v>92</v>
      </c>
      <c r="D180" s="13">
        <v>0.80769999999999997</v>
      </c>
      <c r="E180" s="13">
        <v>0.90429999999999999</v>
      </c>
      <c r="F180" s="13">
        <v>0.95099999999999996</v>
      </c>
      <c r="G180" s="13">
        <v>0.98919999999999997</v>
      </c>
      <c r="H180" s="13">
        <v>0.79920000000000002</v>
      </c>
      <c r="I180" s="13">
        <v>0.89870000000000005</v>
      </c>
      <c r="J180" s="13">
        <v>0.94710000000000005</v>
      </c>
      <c r="K180" s="13">
        <v>0.98950000000000005</v>
      </c>
      <c r="L180" s="13">
        <v>0.80700000000000005</v>
      </c>
      <c r="M180" s="13">
        <v>0.90720000000000001</v>
      </c>
      <c r="N180" s="13">
        <v>0.94989999999999997</v>
      </c>
      <c r="O180" s="13">
        <v>0.9889</v>
      </c>
      <c r="P180" s="13">
        <v>0.80270541082164304</v>
      </c>
      <c r="Q180" s="13">
        <v>0.898496993987976</v>
      </c>
      <c r="R180" s="13">
        <v>0.95240480961923801</v>
      </c>
      <c r="S180" s="13">
        <v>0.99148296593186402</v>
      </c>
      <c r="T180" s="13">
        <v>0.80986981531940705</v>
      </c>
      <c r="U180" s="13">
        <v>0.906246846301342</v>
      </c>
      <c r="V180" s="13">
        <v>0.95741245332526004</v>
      </c>
      <c r="W180" s="13">
        <v>0.98819255222525004</v>
      </c>
    </row>
    <row r="181" spans="1:23" ht="15" hidden="1" thickTop="1" x14ac:dyDescent="0.3">
      <c r="A181" s="1" t="s">
        <v>31</v>
      </c>
      <c r="B181" s="1">
        <v>20</v>
      </c>
      <c r="C181" s="1" t="s">
        <v>92</v>
      </c>
      <c r="D181" s="12">
        <v>0.77220352809217896</v>
      </c>
      <c r="E181" s="12">
        <v>0.850412970327317</v>
      </c>
      <c r="F181" s="12">
        <v>0.90047924951565195</v>
      </c>
      <c r="G181" s="12">
        <v>0.99622718466401505</v>
      </c>
      <c r="H181" s="12">
        <v>0.803585737179487</v>
      </c>
      <c r="I181" s="12">
        <v>0.88942307692307698</v>
      </c>
      <c r="J181" s="12">
        <v>0.95542868589743601</v>
      </c>
      <c r="K181" s="12">
        <v>0.99138621794871795</v>
      </c>
      <c r="L181" s="12">
        <v>0.79749874937468701</v>
      </c>
      <c r="M181" s="12">
        <v>0.90295147573786905</v>
      </c>
      <c r="N181" s="12">
        <v>0.95347673836918501</v>
      </c>
      <c r="O181" s="12">
        <v>0.98869434717358695</v>
      </c>
      <c r="P181" s="12">
        <v>0.80923755134756004</v>
      </c>
      <c r="Q181" s="12">
        <v>0.89049193467588394</v>
      </c>
      <c r="R181" s="12">
        <v>0.95531509868750597</v>
      </c>
      <c r="S181" s="12">
        <v>0.992585913235147</v>
      </c>
      <c r="T181" s="12">
        <v>0.79207003089598305</v>
      </c>
      <c r="U181" s="12">
        <v>0.86889804325437703</v>
      </c>
      <c r="V181" s="12">
        <v>0.91277033985581901</v>
      </c>
      <c r="W181" s="12">
        <v>0.99701338825952601</v>
      </c>
    </row>
    <row r="182" spans="1:23" hidden="1" x14ac:dyDescent="0.3">
      <c r="A182" t="s">
        <v>31</v>
      </c>
      <c r="B182">
        <v>50</v>
      </c>
      <c r="C182" t="s">
        <v>92</v>
      </c>
      <c r="D182" s="13">
        <v>0.78032454361054804</v>
      </c>
      <c r="E182" s="13">
        <v>0.90811359026369198</v>
      </c>
      <c r="F182" s="13">
        <v>0.94310344827586201</v>
      </c>
      <c r="G182" s="13">
        <v>0.989148073022312</v>
      </c>
      <c r="H182" s="13">
        <v>0.80830000000000002</v>
      </c>
      <c r="I182" s="13">
        <v>0.8992</v>
      </c>
      <c r="J182" s="13">
        <v>0.95189999999999997</v>
      </c>
      <c r="K182" s="13">
        <v>0.98950000000000005</v>
      </c>
      <c r="L182" s="13">
        <v>0.79937993799379903</v>
      </c>
      <c r="M182" s="13">
        <v>0.89588958895889603</v>
      </c>
      <c r="N182" s="13">
        <v>0.94649464946494599</v>
      </c>
      <c r="O182" s="13">
        <v>0.98929892989298895</v>
      </c>
      <c r="P182" s="13">
        <v>0.80910000000000004</v>
      </c>
      <c r="Q182" s="13">
        <v>0.90100000000000002</v>
      </c>
      <c r="R182" s="13">
        <v>0.95230000000000004</v>
      </c>
      <c r="S182" s="13">
        <v>0.98880000000000001</v>
      </c>
      <c r="T182" s="13">
        <v>0.78661552437670301</v>
      </c>
      <c r="U182" s="13">
        <v>0.90713636822448795</v>
      </c>
      <c r="V182" s="13">
        <v>0.94498839204602803</v>
      </c>
      <c r="W182" s="13">
        <v>0.99192490158473801</v>
      </c>
    </row>
    <row r="183" spans="1:23" hidden="1" x14ac:dyDescent="0.3">
      <c r="A183" t="s">
        <v>31</v>
      </c>
      <c r="B183">
        <v>100</v>
      </c>
      <c r="C183" t="s">
        <v>92</v>
      </c>
      <c r="D183" s="13">
        <v>0.80545179202423001</v>
      </c>
      <c r="E183" s="13">
        <v>0.90206966178697601</v>
      </c>
      <c r="F183" s="13">
        <v>0.952246340232206</v>
      </c>
      <c r="G183" s="13">
        <v>0.98738011105502299</v>
      </c>
      <c r="H183" s="13">
        <v>0.79402925265477897</v>
      </c>
      <c r="I183" s="13">
        <v>0.89591264275696303</v>
      </c>
      <c r="J183" s="13">
        <v>0.94940893608495303</v>
      </c>
      <c r="K183" s="13">
        <v>0.98717691845321598</v>
      </c>
      <c r="L183" s="13">
        <v>0.80504151245373601</v>
      </c>
      <c r="M183" s="13">
        <v>0.90867260178053399</v>
      </c>
      <c r="N183" s="13">
        <v>0.95148544563368997</v>
      </c>
      <c r="O183" s="13">
        <v>0.98929678903671103</v>
      </c>
      <c r="P183" s="13">
        <v>0.80298477564102599</v>
      </c>
      <c r="Q183" s="13">
        <v>0.89713541666666696</v>
      </c>
      <c r="R183" s="13">
        <v>0.95152243589743601</v>
      </c>
      <c r="S183" s="13">
        <v>0.98888221153846201</v>
      </c>
      <c r="T183" s="13">
        <v>0.80776581832813599</v>
      </c>
      <c r="U183" s="13">
        <v>0.90383261241323798</v>
      </c>
      <c r="V183" s="13">
        <v>0.95724776179458804</v>
      </c>
      <c r="W183" s="13">
        <v>0.98973946283070102</v>
      </c>
    </row>
  </sheetData>
  <autoFilter ref="A3:W183" xr:uid="{5711F564-02CF-4BD8-ADC2-CA475E7916B6}">
    <filterColumn colId="0">
      <filters>
        <filter val="exp1"/>
      </filters>
    </filterColumn>
  </autoFilter>
  <sortState xmlns:xlrd2="http://schemas.microsoft.com/office/spreadsheetml/2017/richdata2" ref="A4:W183">
    <sortCondition ref="C4:C183"/>
    <sortCondition ref="A4:A183"/>
    <sortCondition ref="B4:B183"/>
  </sortState>
  <conditionalFormatting sqref="D4:D183">
    <cfRule type="colorScale" priority="20">
      <colorScale>
        <cfvo type="min"/>
        <cfvo type="num" val="0.8"/>
        <cfvo type="max"/>
        <color theme="7" tint="0.59999389629810485"/>
        <color rgb="FF92D050"/>
        <color rgb="FFFF0000"/>
      </colorScale>
    </cfRule>
  </conditionalFormatting>
  <conditionalFormatting sqref="E4:E183">
    <cfRule type="colorScale" priority="19">
      <colorScale>
        <cfvo type="min"/>
        <cfvo type="num" val="0.9"/>
        <cfvo type="max"/>
        <color theme="7" tint="0.59999389629810485"/>
        <color rgb="FF92D050"/>
        <color rgb="FFFF0000"/>
      </colorScale>
    </cfRule>
  </conditionalFormatting>
  <conditionalFormatting sqref="F4:F183">
    <cfRule type="colorScale" priority="18">
      <colorScale>
        <cfvo type="min"/>
        <cfvo type="num" val="0.95"/>
        <cfvo type="max"/>
        <color theme="7" tint="0.59999389629810485"/>
        <color rgb="FF92D050"/>
        <color rgb="FFFF0000"/>
      </colorScale>
    </cfRule>
  </conditionalFormatting>
  <conditionalFormatting sqref="G4:G183">
    <cfRule type="colorScale" priority="17">
      <colorScale>
        <cfvo type="min"/>
        <cfvo type="num" val="0.99"/>
        <cfvo type="max"/>
        <color theme="7" tint="0.59999389629810485"/>
        <color rgb="FF92D050"/>
        <color rgb="FFFF0000"/>
      </colorScale>
    </cfRule>
  </conditionalFormatting>
  <conditionalFormatting sqref="H4:H183">
    <cfRule type="colorScale" priority="16">
      <colorScale>
        <cfvo type="min"/>
        <cfvo type="num" val="0.8"/>
        <cfvo type="max"/>
        <color theme="7" tint="0.59999389629810485"/>
        <color rgb="FF92D050"/>
        <color rgb="FFFF0000"/>
      </colorScale>
    </cfRule>
  </conditionalFormatting>
  <conditionalFormatting sqref="I4:I183">
    <cfRule type="colorScale" priority="15">
      <colorScale>
        <cfvo type="min"/>
        <cfvo type="num" val="0.9"/>
        <cfvo type="max"/>
        <color theme="7" tint="0.59999389629810485"/>
        <color rgb="FF92D050"/>
        <color rgb="FFFF0000"/>
      </colorScale>
    </cfRule>
  </conditionalFormatting>
  <conditionalFormatting sqref="J4:J183">
    <cfRule type="colorScale" priority="14">
      <colorScale>
        <cfvo type="min"/>
        <cfvo type="num" val="0.95"/>
        <cfvo type="max"/>
        <color theme="7" tint="0.59999389629810485"/>
        <color rgb="FF92D050"/>
        <color rgb="FFFF0000"/>
      </colorScale>
    </cfRule>
  </conditionalFormatting>
  <conditionalFormatting sqref="K4:K183">
    <cfRule type="colorScale" priority="13">
      <colorScale>
        <cfvo type="min"/>
        <cfvo type="num" val="0.99"/>
        <cfvo type="max"/>
        <color theme="7" tint="0.59999389629810485"/>
        <color rgb="FF92D050"/>
        <color rgb="FFFF0000"/>
      </colorScale>
    </cfRule>
  </conditionalFormatting>
  <conditionalFormatting sqref="L4:L183">
    <cfRule type="colorScale" priority="12">
      <colorScale>
        <cfvo type="min"/>
        <cfvo type="num" val="0.8"/>
        <cfvo type="max"/>
        <color theme="7" tint="0.59999389629810485"/>
        <color rgb="FF92D050"/>
        <color rgb="FFFF0000"/>
      </colorScale>
    </cfRule>
  </conditionalFormatting>
  <conditionalFormatting sqref="M4:M183">
    <cfRule type="colorScale" priority="11">
      <colorScale>
        <cfvo type="min"/>
        <cfvo type="num" val="0.9"/>
        <cfvo type="max"/>
        <color theme="7" tint="0.59999389629810485"/>
        <color rgb="FF92D050"/>
        <color rgb="FFFF0000"/>
      </colorScale>
    </cfRule>
  </conditionalFormatting>
  <conditionalFormatting sqref="N4:N183">
    <cfRule type="colorScale" priority="10">
      <colorScale>
        <cfvo type="min"/>
        <cfvo type="num" val="0.95"/>
        <cfvo type="max"/>
        <color theme="7" tint="0.59999389629810485"/>
        <color rgb="FF92D050"/>
        <color rgb="FFFF0000"/>
      </colorScale>
    </cfRule>
  </conditionalFormatting>
  <conditionalFormatting sqref="O4:O183">
    <cfRule type="colorScale" priority="9">
      <colorScale>
        <cfvo type="min"/>
        <cfvo type="num" val="0.99"/>
        <cfvo type="max"/>
        <color theme="7" tint="0.59999389629810485"/>
        <color rgb="FF92D050"/>
        <color rgb="FFFF0000"/>
      </colorScale>
    </cfRule>
  </conditionalFormatting>
  <conditionalFormatting sqref="P4:P183">
    <cfRule type="colorScale" priority="8">
      <colorScale>
        <cfvo type="min"/>
        <cfvo type="num" val="0.8"/>
        <cfvo type="max"/>
        <color theme="7" tint="0.59999389629810485"/>
        <color rgb="FF92D050"/>
        <color rgb="FFFF0000"/>
      </colorScale>
    </cfRule>
  </conditionalFormatting>
  <conditionalFormatting sqref="Q4:Q183">
    <cfRule type="colorScale" priority="7">
      <colorScale>
        <cfvo type="min"/>
        <cfvo type="num" val="0.9"/>
        <cfvo type="max"/>
        <color theme="7" tint="0.59999389629810485"/>
        <color rgb="FF92D050"/>
        <color rgb="FFFF0000"/>
      </colorScale>
    </cfRule>
  </conditionalFormatting>
  <conditionalFormatting sqref="R4:R183">
    <cfRule type="colorScale" priority="6">
      <colorScale>
        <cfvo type="min"/>
        <cfvo type="num" val="0.95"/>
        <cfvo type="max"/>
        <color theme="7" tint="0.59999389629810485"/>
        <color rgb="FF92D050"/>
        <color rgb="FFFF0000"/>
      </colorScale>
    </cfRule>
  </conditionalFormatting>
  <conditionalFormatting sqref="S4:S183">
    <cfRule type="colorScale" priority="5">
      <colorScale>
        <cfvo type="min"/>
        <cfvo type="num" val="0.99"/>
        <cfvo type="max"/>
        <color theme="7" tint="0.59999389629810485"/>
        <color rgb="FF92D050"/>
        <color rgb="FFFF0000"/>
      </colorScale>
    </cfRule>
  </conditionalFormatting>
  <conditionalFormatting sqref="T4:T183">
    <cfRule type="colorScale" priority="4">
      <colorScale>
        <cfvo type="min"/>
        <cfvo type="num" val="0.8"/>
        <cfvo type="max"/>
        <color theme="7" tint="0.59999389629810485"/>
        <color rgb="FF92D050"/>
        <color rgb="FFFF0000"/>
      </colorScale>
    </cfRule>
  </conditionalFormatting>
  <conditionalFormatting sqref="U4:U183">
    <cfRule type="colorScale" priority="3">
      <colorScale>
        <cfvo type="min"/>
        <cfvo type="num" val="0.9"/>
        <cfvo type="max"/>
        <color theme="7" tint="0.59999389629810485"/>
        <color rgb="FF92D050"/>
        <color rgb="FFFF0000"/>
      </colorScale>
    </cfRule>
  </conditionalFormatting>
  <conditionalFormatting sqref="V4:V183">
    <cfRule type="colorScale" priority="2">
      <colorScale>
        <cfvo type="min"/>
        <cfvo type="num" val="0.95"/>
        <cfvo type="max"/>
        <color theme="7" tint="0.59999389629810485"/>
        <color rgb="FF92D050"/>
        <color rgb="FFFF0000"/>
      </colorScale>
    </cfRule>
  </conditionalFormatting>
  <conditionalFormatting sqref="W4:W183">
    <cfRule type="colorScale" priority="1">
      <colorScale>
        <cfvo type="min"/>
        <cfvo type="num" val="0.99"/>
        <cfvo type="max"/>
        <color theme="7" tint="0.59999389629810485"/>
        <color rgb="FF92D050"/>
        <color rgb="FFFF0000"/>
      </colorScale>
    </cfRule>
  </conditionalFormatting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66A98-930C-44C4-8AB0-D7F002F59D78}">
  <dimension ref="A1:N93"/>
  <sheetViews>
    <sheetView zoomScaleNormal="100" workbookViewId="0">
      <selection activeCell="D1" sqref="D1:D2"/>
    </sheetView>
  </sheetViews>
  <sheetFormatPr defaultRowHeight="14.4" x14ac:dyDescent="0.3"/>
  <cols>
    <col min="1" max="1" width="6.6640625" bestFit="1" customWidth="1"/>
    <col min="2" max="2" width="4" bestFit="1" customWidth="1"/>
    <col min="3" max="3" width="19" bestFit="1" customWidth="1"/>
  </cols>
  <sheetData>
    <row r="1" spans="1:14" x14ac:dyDescent="0.3">
      <c r="C1" t="s">
        <v>60</v>
      </c>
      <c r="D1" t="str">
        <f>LEFT(D3,FIND("_",D3)-1)</f>
        <v>0.05</v>
      </c>
      <c r="E1" t="str">
        <f t="shared" ref="E1:H1" si="0">LEFT(E3,FIND("_",E3)-1)</f>
        <v>0.1</v>
      </c>
      <c r="F1" t="str">
        <f t="shared" si="0"/>
        <v>0.5</v>
      </c>
      <c r="G1" t="str">
        <f t="shared" si="0"/>
        <v>0.9</v>
      </c>
      <c r="H1" t="str">
        <f t="shared" si="0"/>
        <v>0.95</v>
      </c>
    </row>
    <row r="2" spans="1:14" x14ac:dyDescent="0.3">
      <c r="C2" t="s">
        <v>61</v>
      </c>
      <c r="D2" t="str">
        <f>RIGHT(D3,LEN(D3)-FIND("_",D3))</f>
        <v>0.95</v>
      </c>
      <c r="E2" t="str">
        <f t="shared" ref="E2:H2" si="1">RIGHT(E3,LEN(E3)-FIND("_",E3))</f>
        <v>0.95</v>
      </c>
      <c r="F2" t="str">
        <f t="shared" si="1"/>
        <v>0.95</v>
      </c>
      <c r="G2" t="str">
        <f t="shared" si="1"/>
        <v>0.95</v>
      </c>
      <c r="H2" t="str">
        <f t="shared" si="1"/>
        <v>0.95</v>
      </c>
    </row>
    <row r="3" spans="1:14" ht="15" thickBot="1" x14ac:dyDescent="0.35">
      <c r="A3" t="s">
        <v>0</v>
      </c>
      <c r="B3" t="s">
        <v>1</v>
      </c>
      <c r="C3" t="s">
        <v>2</v>
      </c>
      <c r="D3" t="s">
        <v>5</v>
      </c>
      <c r="E3" t="s">
        <v>9</v>
      </c>
      <c r="F3" t="s">
        <v>17</v>
      </c>
      <c r="G3" t="s">
        <v>25</v>
      </c>
      <c r="H3" t="s">
        <v>29</v>
      </c>
    </row>
    <row r="4" spans="1:14" ht="15" thickTop="1" x14ac:dyDescent="0.3">
      <c r="A4" s="1" t="s">
        <v>56</v>
      </c>
      <c r="B4" s="1">
        <v>20</v>
      </c>
      <c r="C4" s="1" t="s">
        <v>34</v>
      </c>
      <c r="D4" s="12">
        <v>0.97554092191909703</v>
      </c>
      <c r="E4" s="12">
        <v>0.98085202809879901</v>
      </c>
      <c r="F4" s="12">
        <v>0.94930000000000003</v>
      </c>
      <c r="G4" s="12">
        <v>0.977653631284916</v>
      </c>
      <c r="H4" s="12">
        <v>0.96902303415409097</v>
      </c>
      <c r="I4" s="13">
        <f>0.95-D4</f>
        <v>-2.554092191909707E-2</v>
      </c>
      <c r="J4" s="13">
        <f t="shared" ref="J4:M4" si="2">0.95-E4</f>
        <v>-3.0852028098799056E-2</v>
      </c>
      <c r="K4" s="13">
        <f t="shared" si="2"/>
        <v>6.9999999999992291E-4</v>
      </c>
      <c r="L4" s="13">
        <f t="shared" si="2"/>
        <v>-2.7653631284916047E-2</v>
      </c>
      <c r="M4" s="13">
        <f t="shared" si="2"/>
        <v>-1.9023034154091012E-2</v>
      </c>
      <c r="N4" s="13">
        <f>AVERAGE(I4:M4)</f>
        <v>-2.0473923091380651E-2</v>
      </c>
    </row>
    <row r="5" spans="1:14" x14ac:dyDescent="0.3">
      <c r="A5" t="s">
        <v>56</v>
      </c>
      <c r="B5">
        <v>50</v>
      </c>
      <c r="C5" t="s">
        <v>34</v>
      </c>
      <c r="D5" s="13">
        <v>0.97978596908442295</v>
      </c>
      <c r="E5" s="13">
        <v>0.95612799356007205</v>
      </c>
      <c r="F5" s="13">
        <v>0.95499999999999996</v>
      </c>
      <c r="G5" s="13">
        <v>0.95719883452225496</v>
      </c>
      <c r="H5" s="13">
        <v>0.98019266154345697</v>
      </c>
      <c r="I5" s="13">
        <f t="shared" ref="I5:I48" si="3">0.95-D5</f>
        <v>-2.9785969084422992E-2</v>
      </c>
      <c r="J5" s="13">
        <f t="shared" ref="J5:J48" si="4">0.95-E5</f>
        <v>-6.1279935600720981E-3</v>
      </c>
      <c r="K5" s="13">
        <f t="shared" ref="K5:K48" si="5">0.95-F5</f>
        <v>-5.0000000000000044E-3</v>
      </c>
      <c r="L5" s="13">
        <f t="shared" ref="L5:L48" si="6">0.95-G5</f>
        <v>-7.1988345222550043E-3</v>
      </c>
      <c r="M5" s="13">
        <f t="shared" ref="M5:M48" si="7">0.95-H5</f>
        <v>-3.0192661543457011E-2</v>
      </c>
      <c r="N5" s="13">
        <f t="shared" ref="N5:N48" si="8">AVERAGE(I5:M5)</f>
        <v>-1.5661091742041423E-2</v>
      </c>
    </row>
    <row r="6" spans="1:14" ht="15" thickBot="1" x14ac:dyDescent="0.35">
      <c r="A6" t="s">
        <v>56</v>
      </c>
      <c r="B6">
        <v>100</v>
      </c>
      <c r="C6" t="s">
        <v>34</v>
      </c>
      <c r="D6" s="13">
        <v>0.95855964594649001</v>
      </c>
      <c r="E6" s="13">
        <v>0.95209999999999995</v>
      </c>
      <c r="F6" s="13">
        <v>0.9506</v>
      </c>
      <c r="G6" s="13">
        <v>0.95009999999999994</v>
      </c>
      <c r="H6" s="13">
        <v>0.96185587761674696</v>
      </c>
      <c r="I6" s="13">
        <f t="shared" si="3"/>
        <v>-8.5596459464900576E-3</v>
      </c>
      <c r="J6" s="13">
        <f t="shared" si="4"/>
        <v>-2.0999999999999908E-3</v>
      </c>
      <c r="K6" s="13">
        <f t="shared" si="5"/>
        <v>-6.0000000000004494E-4</v>
      </c>
      <c r="L6" s="13">
        <f t="shared" si="6"/>
        <v>-9.9999999999988987E-5</v>
      </c>
      <c r="M6" s="13">
        <f t="shared" si="7"/>
        <v>-1.1855877616747001E-2</v>
      </c>
      <c r="N6" s="13">
        <f t="shared" si="8"/>
        <v>-4.6431047126474171E-3</v>
      </c>
    </row>
    <row r="7" spans="1:14" ht="15" thickTop="1" x14ac:dyDescent="0.3">
      <c r="A7" s="1" t="s">
        <v>57</v>
      </c>
      <c r="B7" s="1">
        <v>20</v>
      </c>
      <c r="C7" s="1" t="s">
        <v>34</v>
      </c>
      <c r="D7" s="12">
        <v>0.97523750194673697</v>
      </c>
      <c r="E7" s="12">
        <v>0.980136208853575</v>
      </c>
      <c r="F7" s="12">
        <v>0.95340000000000003</v>
      </c>
      <c r="G7" s="12">
        <v>0.97744874715261998</v>
      </c>
      <c r="H7" s="12">
        <v>0.97404027690371298</v>
      </c>
      <c r="I7" s="13">
        <f t="shared" si="3"/>
        <v>-2.5237501946737018E-2</v>
      </c>
      <c r="J7" s="13">
        <f t="shared" si="4"/>
        <v>-3.0136208853575042E-2</v>
      </c>
      <c r="K7" s="13">
        <f t="shared" si="5"/>
        <v>-3.4000000000000696E-3</v>
      </c>
      <c r="L7" s="13">
        <f t="shared" si="6"/>
        <v>-2.7448747152620023E-2</v>
      </c>
      <c r="M7" s="13">
        <f t="shared" si="7"/>
        <v>-2.404027690371302E-2</v>
      </c>
      <c r="N7" s="13">
        <f t="shared" si="8"/>
        <v>-2.2052546971329034E-2</v>
      </c>
    </row>
    <row r="8" spans="1:14" x14ac:dyDescent="0.3">
      <c r="A8" t="s">
        <v>57</v>
      </c>
      <c r="B8">
        <v>50</v>
      </c>
      <c r="C8" t="s">
        <v>34</v>
      </c>
      <c r="D8" s="13">
        <v>0.982764227642276</v>
      </c>
      <c r="E8" s="13">
        <v>0.95459111914808104</v>
      </c>
      <c r="F8" s="13">
        <v>0.95189999999999997</v>
      </c>
      <c r="G8" s="13">
        <v>0.95826629123089302</v>
      </c>
      <c r="H8" s="13">
        <v>0.97923650913809901</v>
      </c>
      <c r="I8" s="13">
        <f t="shared" si="3"/>
        <v>-3.2764227642276045E-2</v>
      </c>
      <c r="J8" s="13">
        <f t="shared" si="4"/>
        <v>-4.5911191480810798E-3</v>
      </c>
      <c r="K8" s="13">
        <f t="shared" si="5"/>
        <v>-1.9000000000000128E-3</v>
      </c>
      <c r="L8" s="13">
        <f t="shared" si="6"/>
        <v>-8.2662912308930636E-3</v>
      </c>
      <c r="M8" s="13">
        <f t="shared" si="7"/>
        <v>-2.9236509138099054E-2</v>
      </c>
      <c r="N8" s="13">
        <f t="shared" si="8"/>
        <v>-1.5351629431869851E-2</v>
      </c>
    </row>
    <row r="9" spans="1:14" ht="15" thickBot="1" x14ac:dyDescent="0.35">
      <c r="A9" t="s">
        <v>57</v>
      </c>
      <c r="B9">
        <v>100</v>
      </c>
      <c r="C9" t="s">
        <v>34</v>
      </c>
      <c r="D9" s="13">
        <v>0.95733977261293901</v>
      </c>
      <c r="E9" s="13">
        <v>0.95020000000000004</v>
      </c>
      <c r="F9" s="13">
        <v>0.95109999999999995</v>
      </c>
      <c r="G9" s="13">
        <v>0.95569999999999999</v>
      </c>
      <c r="H9" s="13">
        <v>0.96339869281045798</v>
      </c>
      <c r="I9" s="13">
        <f t="shared" si="3"/>
        <v>-7.339772612939055E-3</v>
      </c>
      <c r="J9" s="13">
        <f t="shared" si="4"/>
        <v>-2.00000000000089E-4</v>
      </c>
      <c r="K9" s="13">
        <f t="shared" si="5"/>
        <v>-1.0999999999999899E-3</v>
      </c>
      <c r="L9" s="13">
        <f t="shared" si="6"/>
        <v>-5.7000000000000384E-3</v>
      </c>
      <c r="M9" s="13">
        <f t="shared" si="7"/>
        <v>-1.3398692810458024E-2</v>
      </c>
      <c r="N9" s="13">
        <f t="shared" si="8"/>
        <v>-5.5476930846794391E-3</v>
      </c>
    </row>
    <row r="10" spans="1:14" ht="15" thickTop="1" x14ac:dyDescent="0.3">
      <c r="A10" s="1" t="s">
        <v>31</v>
      </c>
      <c r="B10" s="1">
        <v>20</v>
      </c>
      <c r="C10" s="1" t="s">
        <v>34</v>
      </c>
      <c r="D10" s="12">
        <v>0.97132726992446405</v>
      </c>
      <c r="E10" s="12">
        <v>0.980499486828601</v>
      </c>
      <c r="F10" s="12">
        <v>0.94969999999999999</v>
      </c>
      <c r="G10" s="12">
        <v>0.97889720898570498</v>
      </c>
      <c r="H10" s="12">
        <v>0.97058823529411797</v>
      </c>
      <c r="I10" s="13">
        <f t="shared" si="3"/>
        <v>-2.1327269924464098E-2</v>
      </c>
      <c r="J10" s="13">
        <f t="shared" si="4"/>
        <v>-3.0499486828601041E-2</v>
      </c>
      <c r="K10" s="13">
        <f t="shared" si="5"/>
        <v>2.9999999999996696E-4</v>
      </c>
      <c r="L10" s="13">
        <f t="shared" si="6"/>
        <v>-2.8897208985705025E-2</v>
      </c>
      <c r="M10" s="13">
        <f t="shared" si="7"/>
        <v>-2.0588235294118018E-2</v>
      </c>
      <c r="N10" s="13">
        <f t="shared" si="8"/>
        <v>-2.0202440206577642E-2</v>
      </c>
    </row>
    <row r="11" spans="1:14" x14ac:dyDescent="0.3">
      <c r="A11" t="s">
        <v>31</v>
      </c>
      <c r="B11">
        <v>50</v>
      </c>
      <c r="C11" t="s">
        <v>34</v>
      </c>
      <c r="D11" s="13">
        <v>0.97908085844352899</v>
      </c>
      <c r="E11" s="13">
        <v>0.95625502815768304</v>
      </c>
      <c r="F11" s="13">
        <v>0.95150000000000001</v>
      </c>
      <c r="G11" s="13">
        <v>0.95712851405622501</v>
      </c>
      <c r="H11" s="13">
        <v>0.97745013009540305</v>
      </c>
      <c r="I11" s="13">
        <f t="shared" si="3"/>
        <v>-2.9080858443529034E-2</v>
      </c>
      <c r="J11" s="13">
        <f t="shared" si="4"/>
        <v>-6.2550281576830846E-3</v>
      </c>
      <c r="K11" s="13">
        <f t="shared" si="5"/>
        <v>-1.5000000000000568E-3</v>
      </c>
      <c r="L11" s="13">
        <f t="shared" si="6"/>
        <v>-7.1285140562250549E-3</v>
      </c>
      <c r="M11" s="13">
        <f t="shared" si="7"/>
        <v>-2.7450130095403091E-2</v>
      </c>
      <c r="N11" s="13">
        <f t="shared" si="8"/>
        <v>-1.4282906150568065E-2</v>
      </c>
    </row>
    <row r="12" spans="1:14" ht="15" thickBot="1" x14ac:dyDescent="0.35">
      <c r="A12" t="s">
        <v>31</v>
      </c>
      <c r="B12">
        <v>100</v>
      </c>
      <c r="C12" t="s">
        <v>34</v>
      </c>
      <c r="D12" s="13">
        <v>0.96092023307213204</v>
      </c>
      <c r="E12" s="13">
        <v>0.94879999999999998</v>
      </c>
      <c r="F12" s="13">
        <v>0.95409999999999995</v>
      </c>
      <c r="G12" s="13">
        <v>0.95179999999999998</v>
      </c>
      <c r="H12" s="13">
        <v>0.96459108741575295</v>
      </c>
      <c r="I12" s="13">
        <f t="shared" si="3"/>
        <v>-1.0920233072132079E-2</v>
      </c>
      <c r="J12" s="13">
        <f t="shared" si="4"/>
        <v>1.1999999999999789E-3</v>
      </c>
      <c r="K12" s="13">
        <f t="shared" si="5"/>
        <v>-4.0999999999999925E-3</v>
      </c>
      <c r="L12" s="13">
        <f t="shared" si="6"/>
        <v>-1.8000000000000238E-3</v>
      </c>
      <c r="M12" s="13">
        <f t="shared" si="7"/>
        <v>-1.459108741575299E-2</v>
      </c>
      <c r="N12" s="13">
        <f t="shared" si="8"/>
        <v>-6.0422640975770214E-3</v>
      </c>
    </row>
    <row r="13" spans="1:14" ht="15" thickTop="1" x14ac:dyDescent="0.3">
      <c r="A13" s="1" t="s">
        <v>56</v>
      </c>
      <c r="B13" s="1">
        <v>20</v>
      </c>
      <c r="C13" s="1" t="s">
        <v>33</v>
      </c>
      <c r="D13" s="12">
        <v>0.39644401729937501</v>
      </c>
      <c r="E13" s="12">
        <v>0.82022156780255195</v>
      </c>
      <c r="F13" s="12">
        <v>0.95640000000000003</v>
      </c>
      <c r="G13" s="12">
        <v>0.86509999999999998</v>
      </c>
      <c r="H13" s="12">
        <v>0.389221556886228</v>
      </c>
      <c r="I13" s="13">
        <f t="shared" si="3"/>
        <v>0.55355598270062489</v>
      </c>
      <c r="J13" s="13">
        <f t="shared" si="4"/>
        <v>0.129778432197448</v>
      </c>
      <c r="K13" s="13">
        <f t="shared" si="5"/>
        <v>-6.4000000000000723E-3</v>
      </c>
      <c r="L13" s="13">
        <f t="shared" si="6"/>
        <v>8.4899999999999975E-2</v>
      </c>
      <c r="M13" s="13">
        <f t="shared" si="7"/>
        <v>0.5607784431137719</v>
      </c>
      <c r="N13" s="13">
        <f t="shared" si="8"/>
        <v>0.26452257160236892</v>
      </c>
    </row>
    <row r="14" spans="1:14" x14ac:dyDescent="0.3">
      <c r="A14" t="s">
        <v>56</v>
      </c>
      <c r="B14">
        <v>50</v>
      </c>
      <c r="C14" t="s">
        <v>33</v>
      </c>
      <c r="D14" s="13">
        <v>0.91349999999999998</v>
      </c>
      <c r="E14" s="13">
        <v>0.926835196888673</v>
      </c>
      <c r="F14" s="13">
        <v>0.97060000000000002</v>
      </c>
      <c r="G14" s="13">
        <v>0.9385</v>
      </c>
      <c r="H14" s="13">
        <v>0.91390000000000005</v>
      </c>
      <c r="I14" s="13">
        <f t="shared" si="3"/>
        <v>3.6499999999999977E-2</v>
      </c>
      <c r="J14" s="13">
        <f t="shared" si="4"/>
        <v>2.3164803111326959E-2</v>
      </c>
      <c r="K14" s="13">
        <f t="shared" si="5"/>
        <v>-2.0600000000000063E-2</v>
      </c>
      <c r="L14" s="13">
        <f t="shared" si="6"/>
        <v>1.1499999999999955E-2</v>
      </c>
      <c r="M14" s="13">
        <f t="shared" si="7"/>
        <v>3.609999999999991E-2</v>
      </c>
      <c r="N14" s="13">
        <f t="shared" si="8"/>
        <v>1.7332960622265348E-2</v>
      </c>
    </row>
    <row r="15" spans="1:14" ht="15" thickBot="1" x14ac:dyDescent="0.35">
      <c r="A15" t="s">
        <v>56</v>
      </c>
      <c r="B15">
        <v>100</v>
      </c>
      <c r="C15" t="s">
        <v>33</v>
      </c>
      <c r="D15" s="13">
        <v>0.91715399610136406</v>
      </c>
      <c r="E15" s="13">
        <v>0.95020126509488201</v>
      </c>
      <c r="F15" s="13">
        <v>0.96509999999999996</v>
      </c>
      <c r="G15" s="13">
        <v>0.95520000000000005</v>
      </c>
      <c r="H15" s="13">
        <v>0.92098192476795304</v>
      </c>
      <c r="I15" s="13">
        <f t="shared" si="3"/>
        <v>3.28460038986359E-2</v>
      </c>
      <c r="J15" s="13">
        <f t="shared" si="4"/>
        <v>-2.0126509488205269E-4</v>
      </c>
      <c r="K15" s="13">
        <f t="shared" si="5"/>
        <v>-1.5100000000000002E-2</v>
      </c>
      <c r="L15" s="13">
        <f t="shared" si="6"/>
        <v>-5.2000000000000934E-3</v>
      </c>
      <c r="M15" s="13">
        <f t="shared" si="7"/>
        <v>2.9018075232046914E-2</v>
      </c>
      <c r="N15" s="13">
        <f t="shared" si="8"/>
        <v>8.2725628071601328E-3</v>
      </c>
    </row>
    <row r="16" spans="1:14" ht="15" thickTop="1" x14ac:dyDescent="0.3">
      <c r="A16" s="1" t="s">
        <v>57</v>
      </c>
      <c r="B16" s="1">
        <v>20</v>
      </c>
      <c r="C16" s="1" t="s">
        <v>33</v>
      </c>
      <c r="D16" s="12">
        <v>0.401830149301654</v>
      </c>
      <c r="E16" s="12">
        <v>0.81424757622593802</v>
      </c>
      <c r="F16" s="12">
        <v>0.96020000000000005</v>
      </c>
      <c r="G16" s="12">
        <v>0.86599999999999999</v>
      </c>
      <c r="H16" s="12">
        <v>0.39534512992188697</v>
      </c>
      <c r="I16" s="13">
        <f t="shared" si="3"/>
        <v>0.5481698506983459</v>
      </c>
      <c r="J16" s="13">
        <f t="shared" si="4"/>
        <v>0.13575242377406194</v>
      </c>
      <c r="K16" s="13">
        <f t="shared" si="5"/>
        <v>-1.0200000000000098E-2</v>
      </c>
      <c r="L16" s="13">
        <f t="shared" si="6"/>
        <v>8.3999999999999964E-2</v>
      </c>
      <c r="M16" s="13">
        <f t="shared" si="7"/>
        <v>0.55465487007811298</v>
      </c>
      <c r="N16" s="13">
        <f t="shared" si="8"/>
        <v>0.26247542891010411</v>
      </c>
    </row>
    <row r="17" spans="1:14" x14ac:dyDescent="0.3">
      <c r="A17" t="s">
        <v>57</v>
      </c>
      <c r="B17">
        <v>50</v>
      </c>
      <c r="C17" t="s">
        <v>33</v>
      </c>
      <c r="D17" s="13">
        <v>0.91169999999999995</v>
      </c>
      <c r="E17" s="13">
        <v>0.92711656441717805</v>
      </c>
      <c r="F17" s="13">
        <v>0.96599999999999997</v>
      </c>
      <c r="G17" s="13">
        <v>0.94040000000000001</v>
      </c>
      <c r="H17" s="13">
        <v>0.91410000000000002</v>
      </c>
      <c r="I17" s="13">
        <f t="shared" si="3"/>
        <v>3.8300000000000001E-2</v>
      </c>
      <c r="J17" s="13">
        <f t="shared" si="4"/>
        <v>2.2883435582821909E-2</v>
      </c>
      <c r="K17" s="13">
        <f t="shared" si="5"/>
        <v>-1.6000000000000014E-2</v>
      </c>
      <c r="L17" s="13">
        <f t="shared" si="6"/>
        <v>9.5999999999999419E-3</v>
      </c>
      <c r="M17" s="13">
        <f t="shared" si="7"/>
        <v>3.5899999999999932E-2</v>
      </c>
      <c r="N17" s="13">
        <f t="shared" si="8"/>
        <v>1.8136687116564354E-2</v>
      </c>
    </row>
    <row r="18" spans="1:14" ht="15" thickBot="1" x14ac:dyDescent="0.35">
      <c r="A18" t="s">
        <v>57</v>
      </c>
      <c r="B18">
        <v>100</v>
      </c>
      <c r="C18" t="s">
        <v>33</v>
      </c>
      <c r="D18" s="13">
        <v>0.91982237572468195</v>
      </c>
      <c r="E18" s="13">
        <v>0.94703584558823495</v>
      </c>
      <c r="F18" s="13">
        <v>0.96279999999999999</v>
      </c>
      <c r="G18" s="13">
        <v>0.95950000000000002</v>
      </c>
      <c r="H18" s="13">
        <v>0.92166237587348299</v>
      </c>
      <c r="I18" s="13">
        <f t="shared" si="3"/>
        <v>3.0177624275318005E-2</v>
      </c>
      <c r="J18" s="13">
        <f t="shared" si="4"/>
        <v>2.9641544117650076E-3</v>
      </c>
      <c r="K18" s="13">
        <f t="shared" si="5"/>
        <v>-1.2800000000000034E-2</v>
      </c>
      <c r="L18" s="13">
        <f t="shared" si="6"/>
        <v>-9.5000000000000639E-3</v>
      </c>
      <c r="M18" s="13">
        <f t="shared" si="7"/>
        <v>2.8337624126516969E-2</v>
      </c>
      <c r="N18" s="13">
        <f t="shared" si="8"/>
        <v>7.8358805627199764E-3</v>
      </c>
    </row>
    <row r="19" spans="1:14" ht="15" thickTop="1" x14ac:dyDescent="0.3">
      <c r="A19" s="1" t="s">
        <v>31</v>
      </c>
      <c r="B19" s="1">
        <v>20</v>
      </c>
      <c r="C19" s="1" t="s">
        <v>33</v>
      </c>
      <c r="D19" s="12">
        <v>0.41204665281993902</v>
      </c>
      <c r="E19" s="12">
        <v>0.81599002355549399</v>
      </c>
      <c r="F19" s="12">
        <v>0.95609999999999995</v>
      </c>
      <c r="G19" s="12">
        <v>0.86950000000000005</v>
      </c>
      <c r="H19" s="12">
        <v>0.40034937271716697</v>
      </c>
      <c r="I19" s="13">
        <f t="shared" si="3"/>
        <v>0.53795334718006094</v>
      </c>
      <c r="J19" s="13">
        <f t="shared" si="4"/>
        <v>0.13400997644450596</v>
      </c>
      <c r="K19" s="13">
        <f t="shared" si="5"/>
        <v>-6.0999999999999943E-3</v>
      </c>
      <c r="L19" s="13">
        <f t="shared" si="6"/>
        <v>8.0499999999999905E-2</v>
      </c>
      <c r="M19" s="13">
        <f t="shared" si="7"/>
        <v>0.54965062728283298</v>
      </c>
      <c r="N19" s="13">
        <f t="shared" si="8"/>
        <v>0.25920279018147996</v>
      </c>
    </row>
    <row r="20" spans="1:14" x14ac:dyDescent="0.3">
      <c r="A20" t="s">
        <v>31</v>
      </c>
      <c r="B20">
        <v>50</v>
      </c>
      <c r="C20" t="s">
        <v>33</v>
      </c>
      <c r="D20" s="13">
        <v>0.91020000000000001</v>
      </c>
      <c r="E20" s="13">
        <v>0.92528311176760203</v>
      </c>
      <c r="F20" s="13">
        <v>0.96509999999999996</v>
      </c>
      <c r="G20" s="13">
        <v>0.94320000000000004</v>
      </c>
      <c r="H20" s="13">
        <v>0.91020000000000001</v>
      </c>
      <c r="I20" s="13">
        <f t="shared" si="3"/>
        <v>3.9799999999999947E-2</v>
      </c>
      <c r="J20" s="13">
        <f t="shared" si="4"/>
        <v>2.4716888232397927E-2</v>
      </c>
      <c r="K20" s="13">
        <f t="shared" si="5"/>
        <v>-1.5100000000000002E-2</v>
      </c>
      <c r="L20" s="13">
        <f t="shared" si="6"/>
        <v>6.7999999999999172E-3</v>
      </c>
      <c r="M20" s="13">
        <f t="shared" si="7"/>
        <v>3.9799999999999947E-2</v>
      </c>
      <c r="N20" s="13">
        <f t="shared" si="8"/>
        <v>1.9203377646479548E-2</v>
      </c>
    </row>
    <row r="21" spans="1:14" ht="15" thickBot="1" x14ac:dyDescent="0.35">
      <c r="A21" t="s">
        <v>31</v>
      </c>
      <c r="B21">
        <v>100</v>
      </c>
      <c r="C21" t="s">
        <v>33</v>
      </c>
      <c r="D21" s="13">
        <v>0.92106224875136999</v>
      </c>
      <c r="E21" s="13">
        <v>0.94663017447827602</v>
      </c>
      <c r="F21" s="13">
        <v>0.96619999999999995</v>
      </c>
      <c r="G21" s="13">
        <v>0.95609999999999995</v>
      </c>
      <c r="H21" s="13">
        <v>0.92446351931330495</v>
      </c>
      <c r="I21" s="13">
        <f t="shared" si="3"/>
        <v>2.8937751248629962E-2</v>
      </c>
      <c r="J21" s="13">
        <f t="shared" si="4"/>
        <v>3.3698255217239348E-3</v>
      </c>
      <c r="K21" s="13">
        <f t="shared" si="5"/>
        <v>-1.6199999999999992E-2</v>
      </c>
      <c r="L21" s="13">
        <f t="shared" si="6"/>
        <v>-6.0999999999999943E-3</v>
      </c>
      <c r="M21" s="13">
        <f t="shared" si="7"/>
        <v>2.5536480686695007E-2</v>
      </c>
      <c r="N21" s="13">
        <f t="shared" si="8"/>
        <v>7.1088114914097831E-3</v>
      </c>
    </row>
    <row r="22" spans="1:14" ht="15" thickTop="1" x14ac:dyDescent="0.3">
      <c r="A22" s="1" t="s">
        <v>56</v>
      </c>
      <c r="B22" s="1">
        <v>20</v>
      </c>
      <c r="C22" s="1" t="s">
        <v>83</v>
      </c>
      <c r="D22" s="12">
        <v>0.87016042780748704</v>
      </c>
      <c r="E22" s="12">
        <v>0.911049553708833</v>
      </c>
      <c r="F22" s="12">
        <v>0.94520000000000004</v>
      </c>
      <c r="G22" s="12">
        <v>0.949314915896179</v>
      </c>
      <c r="H22" s="12">
        <v>0.90725288831835704</v>
      </c>
      <c r="I22" s="13">
        <f t="shared" si="3"/>
        <v>7.983957219251292E-2</v>
      </c>
      <c r="J22" s="13">
        <f t="shared" si="4"/>
        <v>3.8950446291166951E-2</v>
      </c>
      <c r="K22" s="13">
        <f t="shared" si="5"/>
        <v>4.7999999999999154E-3</v>
      </c>
      <c r="L22" s="13">
        <f t="shared" si="6"/>
        <v>6.850841038209543E-4</v>
      </c>
      <c r="M22" s="13">
        <f t="shared" si="7"/>
        <v>4.2747111681642913E-2</v>
      </c>
      <c r="N22" s="13">
        <f t="shared" si="8"/>
        <v>3.3404442853828729E-2</v>
      </c>
    </row>
    <row r="23" spans="1:14" x14ac:dyDescent="0.3">
      <c r="A23" t="s">
        <v>56</v>
      </c>
      <c r="B23">
        <v>50</v>
      </c>
      <c r="C23" t="s">
        <v>83</v>
      </c>
      <c r="D23" s="13">
        <v>0.92199437072778401</v>
      </c>
      <c r="E23" s="13">
        <v>0.950080032012805</v>
      </c>
      <c r="F23" s="13">
        <v>0.95299999999999996</v>
      </c>
      <c r="G23" s="13">
        <v>0.94451703688812905</v>
      </c>
      <c r="H23" s="13">
        <v>0.96226815050344505</v>
      </c>
      <c r="I23" s="13">
        <f t="shared" si="3"/>
        <v>2.8005629272215948E-2</v>
      </c>
      <c r="J23" s="13">
        <f t="shared" si="4"/>
        <v>-8.0032012805042463E-5</v>
      </c>
      <c r="K23" s="13">
        <f t="shared" si="5"/>
        <v>-3.0000000000000027E-3</v>
      </c>
      <c r="L23" s="13">
        <f t="shared" si="6"/>
        <v>5.4829631118709088E-3</v>
      </c>
      <c r="M23" s="13">
        <f t="shared" si="7"/>
        <v>-1.2268150503445097E-2</v>
      </c>
      <c r="N23" s="13">
        <f t="shared" si="8"/>
        <v>3.6280819735673431E-3</v>
      </c>
    </row>
    <row r="24" spans="1:14" ht="15" thickBot="1" x14ac:dyDescent="0.35">
      <c r="A24" t="s">
        <v>56</v>
      </c>
      <c r="B24">
        <v>100</v>
      </c>
      <c r="C24" t="s">
        <v>83</v>
      </c>
      <c r="D24" s="13">
        <v>0.94778955791158204</v>
      </c>
      <c r="E24" s="13">
        <v>0.95179999999999998</v>
      </c>
      <c r="F24" s="13">
        <v>0.94830000000000003</v>
      </c>
      <c r="G24" s="13">
        <v>0.95046036829463598</v>
      </c>
      <c r="H24" s="13">
        <v>0.94584434058118305</v>
      </c>
      <c r="I24" s="13">
        <f t="shared" si="3"/>
        <v>2.2104420884179188E-3</v>
      </c>
      <c r="J24" s="13">
        <f t="shared" si="4"/>
        <v>-1.8000000000000238E-3</v>
      </c>
      <c r="K24" s="13">
        <f t="shared" si="5"/>
        <v>1.6999999999999238E-3</v>
      </c>
      <c r="L24" s="13">
        <f t="shared" si="6"/>
        <v>-4.6036829463602658E-4</v>
      </c>
      <c r="M24" s="13">
        <f t="shared" si="7"/>
        <v>4.1556594188169038E-3</v>
      </c>
      <c r="N24" s="13">
        <f t="shared" si="8"/>
        <v>1.1611466425197393E-3</v>
      </c>
    </row>
    <row r="25" spans="1:14" ht="15" thickTop="1" x14ac:dyDescent="0.3">
      <c r="A25" s="1" t="s">
        <v>57</v>
      </c>
      <c r="B25" s="1">
        <v>20</v>
      </c>
      <c r="C25" s="1" t="s">
        <v>83</v>
      </c>
      <c r="D25" s="12">
        <v>0.61502300460091996</v>
      </c>
      <c r="E25" s="12">
        <v>0.882753101240496</v>
      </c>
      <c r="F25" s="12">
        <v>0.94540000000000002</v>
      </c>
      <c r="G25" s="12">
        <v>0.91849962809478303</v>
      </c>
      <c r="H25" s="12">
        <v>0.87889048053131902</v>
      </c>
      <c r="I25" s="13">
        <f t="shared" si="3"/>
        <v>0.33497699539907999</v>
      </c>
      <c r="J25" s="13">
        <f t="shared" si="4"/>
        <v>6.7246898759503959E-2</v>
      </c>
      <c r="K25" s="13">
        <f t="shared" si="5"/>
        <v>4.5999999999999375E-3</v>
      </c>
      <c r="L25" s="13">
        <f t="shared" si="6"/>
        <v>3.1500371905216928E-2</v>
      </c>
      <c r="M25" s="13">
        <f t="shared" si="7"/>
        <v>7.1109519468680937E-2</v>
      </c>
      <c r="N25" s="13">
        <f t="shared" si="8"/>
        <v>0.10188675710649635</v>
      </c>
    </row>
    <row r="26" spans="1:14" x14ac:dyDescent="0.3">
      <c r="A26" t="s">
        <v>57</v>
      </c>
      <c r="B26">
        <v>50</v>
      </c>
      <c r="C26" t="s">
        <v>83</v>
      </c>
      <c r="D26" s="13">
        <v>0.69910000000000005</v>
      </c>
      <c r="E26" s="13">
        <v>0.93300000000000005</v>
      </c>
      <c r="F26" s="13">
        <v>0.94850000000000001</v>
      </c>
      <c r="G26" s="13">
        <v>0.94791144946408901</v>
      </c>
      <c r="H26" s="13">
        <v>0.93511608623548903</v>
      </c>
      <c r="I26" s="13">
        <f t="shared" si="3"/>
        <v>0.2508999999999999</v>
      </c>
      <c r="J26" s="13">
        <f t="shared" si="4"/>
        <v>1.6999999999999904E-2</v>
      </c>
      <c r="K26" s="13">
        <f t="shared" si="5"/>
        <v>1.4999999999999458E-3</v>
      </c>
      <c r="L26" s="13">
        <f t="shared" si="6"/>
        <v>2.0885505359109491E-3</v>
      </c>
      <c r="M26" s="13">
        <f t="shared" si="7"/>
        <v>1.4883913764510925E-2</v>
      </c>
      <c r="N26" s="13">
        <f t="shared" si="8"/>
        <v>5.7274492860084326E-2</v>
      </c>
    </row>
    <row r="27" spans="1:14" ht="15" thickBot="1" x14ac:dyDescent="0.35">
      <c r="A27" t="s">
        <v>57</v>
      </c>
      <c r="B27">
        <v>100</v>
      </c>
      <c r="C27" t="s">
        <v>83</v>
      </c>
      <c r="D27" s="13">
        <v>0.81340000000000001</v>
      </c>
      <c r="E27" s="13">
        <v>0.94379999999999997</v>
      </c>
      <c r="F27" s="13">
        <v>0.95030000000000003</v>
      </c>
      <c r="G27" s="13">
        <v>0.95469999999999999</v>
      </c>
      <c r="H27" s="13">
        <v>0.94989979959919801</v>
      </c>
      <c r="I27" s="13">
        <f t="shared" si="3"/>
        <v>0.13659999999999994</v>
      </c>
      <c r="J27" s="13">
        <f t="shared" si="4"/>
        <v>6.1999999999999833E-3</v>
      </c>
      <c r="K27" s="13">
        <f t="shared" si="5"/>
        <v>-3.0000000000007798E-4</v>
      </c>
      <c r="L27" s="13">
        <f t="shared" si="6"/>
        <v>-4.7000000000000375E-3</v>
      </c>
      <c r="M27" s="13">
        <f t="shared" si="7"/>
        <v>1.0020040080194192E-4</v>
      </c>
      <c r="N27" s="13">
        <f t="shared" si="8"/>
        <v>2.7580040080160351E-2</v>
      </c>
    </row>
    <row r="28" spans="1:14" ht="15" thickTop="1" x14ac:dyDescent="0.3">
      <c r="A28" s="1" t="s">
        <v>31</v>
      </c>
      <c r="B28" s="1">
        <v>20</v>
      </c>
      <c r="C28" s="1" t="s">
        <v>83</v>
      </c>
      <c r="D28" s="12">
        <v>0.84098620221669296</v>
      </c>
      <c r="E28" s="12">
        <v>0.90279929759322397</v>
      </c>
      <c r="F28" s="12">
        <v>0.95109999999999995</v>
      </c>
      <c r="G28" s="12">
        <v>0.90314270994332801</v>
      </c>
      <c r="H28" s="12">
        <v>0.84270809707416605</v>
      </c>
      <c r="I28" s="13">
        <f t="shared" si="3"/>
        <v>0.109013797783307</v>
      </c>
      <c r="J28" s="13">
        <f t="shared" si="4"/>
        <v>4.7200702406775985E-2</v>
      </c>
      <c r="K28" s="13">
        <f t="shared" si="5"/>
        <v>-1.0999999999999899E-3</v>
      </c>
      <c r="L28" s="13">
        <f t="shared" si="6"/>
        <v>4.6857290056671941E-2</v>
      </c>
      <c r="M28" s="13">
        <f t="shared" si="7"/>
        <v>0.1072919029258339</v>
      </c>
      <c r="N28" s="13">
        <f t="shared" si="8"/>
        <v>6.1852738634517769E-2</v>
      </c>
    </row>
    <row r="29" spans="1:14" x14ac:dyDescent="0.3">
      <c r="A29" t="s">
        <v>31</v>
      </c>
      <c r="B29">
        <v>50</v>
      </c>
      <c r="C29" t="s">
        <v>83</v>
      </c>
      <c r="D29" s="13">
        <v>0.916166446230542</v>
      </c>
      <c r="E29" s="13">
        <v>0.94715772618094496</v>
      </c>
      <c r="F29" s="13">
        <v>0.94820000000000004</v>
      </c>
      <c r="G29" s="13">
        <v>0.95036028823058405</v>
      </c>
      <c r="H29" s="13">
        <v>0.91249619327986997</v>
      </c>
      <c r="I29" s="13">
        <f t="shared" si="3"/>
        <v>3.3833553769457958E-2</v>
      </c>
      <c r="J29" s="13">
        <f t="shared" si="4"/>
        <v>2.8422738190549968E-3</v>
      </c>
      <c r="K29" s="13">
        <f t="shared" si="5"/>
        <v>1.7999999999999128E-3</v>
      </c>
      <c r="L29" s="13">
        <f t="shared" si="6"/>
        <v>-3.6028823058409376E-4</v>
      </c>
      <c r="M29" s="13">
        <f t="shared" si="7"/>
        <v>3.7503806720129984E-2</v>
      </c>
      <c r="N29" s="13">
        <f t="shared" si="8"/>
        <v>1.5123869215611752E-2</v>
      </c>
    </row>
    <row r="30" spans="1:14" ht="15" thickBot="1" x14ac:dyDescent="0.35">
      <c r="A30" t="s">
        <v>31</v>
      </c>
      <c r="B30">
        <v>100</v>
      </c>
      <c r="C30" t="s">
        <v>83</v>
      </c>
      <c r="D30" s="13">
        <v>0.95327663831915999</v>
      </c>
      <c r="E30" s="13">
        <v>0.94599999999999995</v>
      </c>
      <c r="F30" s="13">
        <v>0.95099999999999996</v>
      </c>
      <c r="G30" s="13">
        <v>0.95230000000000004</v>
      </c>
      <c r="H30" s="13">
        <v>0.95366293034427496</v>
      </c>
      <c r="I30" s="13">
        <f t="shared" si="3"/>
        <v>-3.2766383191600301E-3</v>
      </c>
      <c r="J30" s="13">
        <f t="shared" si="4"/>
        <v>4.0000000000000036E-3</v>
      </c>
      <c r="K30" s="13">
        <f t="shared" si="5"/>
        <v>-1.0000000000000009E-3</v>
      </c>
      <c r="L30" s="13">
        <f t="shared" si="6"/>
        <v>-2.3000000000000798E-3</v>
      </c>
      <c r="M30" s="13">
        <f t="shared" si="7"/>
        <v>-3.6629303442750061E-3</v>
      </c>
      <c r="N30" s="13">
        <f t="shared" si="8"/>
        <v>-1.2479137326870226E-3</v>
      </c>
    </row>
    <row r="31" spans="1:14" ht="15" thickTop="1" x14ac:dyDescent="0.3">
      <c r="A31" s="1" t="s">
        <v>56</v>
      </c>
      <c r="B31" s="1">
        <v>20</v>
      </c>
      <c r="C31" s="1" t="s">
        <v>85</v>
      </c>
      <c r="D31" s="12">
        <v>0.83379999999999999</v>
      </c>
      <c r="E31" s="12">
        <v>0.90569999999999995</v>
      </c>
      <c r="F31" s="12">
        <v>0.96360000000000001</v>
      </c>
      <c r="G31" s="12">
        <v>0.86846628247902102</v>
      </c>
      <c r="H31" s="12">
        <v>0.62814670138888895</v>
      </c>
      <c r="I31" s="13">
        <f t="shared" si="3"/>
        <v>0.11619999999999997</v>
      </c>
      <c r="J31" s="13">
        <f t="shared" si="4"/>
        <v>4.4300000000000006E-2</v>
      </c>
      <c r="K31" s="13">
        <f t="shared" si="5"/>
        <v>-1.3600000000000056E-2</v>
      </c>
      <c r="L31" s="13">
        <f t="shared" si="6"/>
        <v>8.1533717520978932E-2</v>
      </c>
      <c r="M31" s="13">
        <f t="shared" si="7"/>
        <v>0.32185329861111101</v>
      </c>
      <c r="N31" s="13">
        <f t="shared" si="8"/>
        <v>0.11005740322641797</v>
      </c>
    </row>
    <row r="32" spans="1:14" x14ac:dyDescent="0.3">
      <c r="A32" t="s">
        <v>56</v>
      </c>
      <c r="B32">
        <v>50</v>
      </c>
      <c r="C32" t="s">
        <v>85</v>
      </c>
      <c r="D32" s="13">
        <v>0.92549999999999999</v>
      </c>
      <c r="E32" s="13">
        <v>0.95940000000000003</v>
      </c>
      <c r="F32" s="13">
        <v>0.96220000000000006</v>
      </c>
      <c r="G32" s="13">
        <v>0.95013044350792697</v>
      </c>
      <c r="H32" s="13">
        <v>0.91090000000000004</v>
      </c>
      <c r="I32" s="13">
        <f t="shared" si="3"/>
        <v>2.4499999999999966E-2</v>
      </c>
      <c r="J32" s="13">
        <f t="shared" si="4"/>
        <v>-9.400000000000075E-3</v>
      </c>
      <c r="K32" s="13">
        <f t="shared" si="5"/>
        <v>-1.22000000000001E-2</v>
      </c>
      <c r="L32" s="13">
        <f t="shared" si="6"/>
        <v>-1.3044350792701387E-4</v>
      </c>
      <c r="M32" s="13">
        <f t="shared" si="7"/>
        <v>3.9099999999999913E-2</v>
      </c>
      <c r="N32" s="13">
        <f t="shared" si="8"/>
        <v>8.3739112984145374E-3</v>
      </c>
    </row>
    <row r="33" spans="1:14" ht="15" thickBot="1" x14ac:dyDescent="0.35">
      <c r="A33" t="s">
        <v>56</v>
      </c>
      <c r="B33">
        <v>100</v>
      </c>
      <c r="C33" t="s">
        <v>85</v>
      </c>
      <c r="D33" s="13">
        <v>0.95289999999999997</v>
      </c>
      <c r="E33" s="13">
        <v>0.95579999999999998</v>
      </c>
      <c r="F33" s="13">
        <v>0.95399999999999996</v>
      </c>
      <c r="G33" s="13">
        <v>0.95377688844422204</v>
      </c>
      <c r="H33" s="13">
        <v>0.95087435560497302</v>
      </c>
      <c r="I33" s="13">
        <f t="shared" si="3"/>
        <v>-2.9000000000000137E-3</v>
      </c>
      <c r="J33" s="13">
        <f t="shared" si="4"/>
        <v>-5.8000000000000274E-3</v>
      </c>
      <c r="K33" s="13">
        <f t="shared" si="5"/>
        <v>-4.0000000000000036E-3</v>
      </c>
      <c r="L33" s="13">
        <f t="shared" si="6"/>
        <v>-3.7768884442220818E-3</v>
      </c>
      <c r="M33" s="13">
        <f t="shared" si="7"/>
        <v>-8.7435560497306497E-4</v>
      </c>
      <c r="N33" s="13">
        <f t="shared" si="8"/>
        <v>-3.4702488098390383E-3</v>
      </c>
    </row>
    <row r="34" spans="1:14" ht="15" thickTop="1" x14ac:dyDescent="0.3">
      <c r="A34" s="1" t="s">
        <v>57</v>
      </c>
      <c r="B34" s="1">
        <v>20</v>
      </c>
      <c r="C34" s="1" t="s">
        <v>85</v>
      </c>
      <c r="D34" s="12">
        <v>0.71540000000000004</v>
      </c>
      <c r="E34" s="12">
        <v>0.92090000000000005</v>
      </c>
      <c r="F34" s="12">
        <v>0.96519999999999995</v>
      </c>
      <c r="G34" s="12">
        <v>0.87890000000000001</v>
      </c>
      <c r="H34" s="12">
        <v>0.69502762430939202</v>
      </c>
      <c r="I34" s="13">
        <f t="shared" si="3"/>
        <v>0.23459999999999992</v>
      </c>
      <c r="J34" s="13">
        <f t="shared" si="4"/>
        <v>2.9099999999999904E-2</v>
      </c>
      <c r="K34" s="13">
        <f t="shared" si="5"/>
        <v>-1.5199999999999991E-2</v>
      </c>
      <c r="L34" s="13">
        <f t="shared" si="6"/>
        <v>7.1099999999999941E-2</v>
      </c>
      <c r="M34" s="13">
        <f t="shared" si="7"/>
        <v>0.25497237569060793</v>
      </c>
      <c r="N34" s="13">
        <f t="shared" si="8"/>
        <v>0.11491447513812154</v>
      </c>
    </row>
    <row r="35" spans="1:14" x14ac:dyDescent="0.3">
      <c r="A35" t="s">
        <v>57</v>
      </c>
      <c r="B35">
        <v>50</v>
      </c>
      <c r="C35" t="s">
        <v>85</v>
      </c>
      <c r="D35" s="13">
        <v>0.73629999999999995</v>
      </c>
      <c r="E35" s="13">
        <v>0.94330000000000003</v>
      </c>
      <c r="F35" s="13">
        <v>0.95720000000000005</v>
      </c>
      <c r="G35" s="13">
        <v>0.95650000000000002</v>
      </c>
      <c r="H35" s="13">
        <v>0.9093</v>
      </c>
      <c r="I35" s="13">
        <f t="shared" si="3"/>
        <v>0.2137</v>
      </c>
      <c r="J35" s="13">
        <f t="shared" si="4"/>
        <v>6.6999999999999282E-3</v>
      </c>
      <c r="K35" s="13">
        <f t="shared" si="5"/>
        <v>-7.2000000000000952E-3</v>
      </c>
      <c r="L35" s="13">
        <f t="shared" si="6"/>
        <v>-6.5000000000000613E-3</v>
      </c>
      <c r="M35" s="13">
        <f t="shared" si="7"/>
        <v>4.0699999999999958E-2</v>
      </c>
      <c r="N35" s="13">
        <f t="shared" si="8"/>
        <v>4.9479999999999948E-2</v>
      </c>
    </row>
    <row r="36" spans="1:14" ht="15" thickBot="1" x14ac:dyDescent="0.35">
      <c r="A36" t="s">
        <v>57</v>
      </c>
      <c r="B36">
        <v>100</v>
      </c>
      <c r="C36" t="s">
        <v>85</v>
      </c>
      <c r="D36" s="13">
        <v>0.82699999999999996</v>
      </c>
      <c r="E36" s="13">
        <v>0.94930000000000003</v>
      </c>
      <c r="F36" s="13">
        <v>0.95609999999999995</v>
      </c>
      <c r="G36" s="13">
        <v>0.95960000000000001</v>
      </c>
      <c r="H36" s="13">
        <v>0.956295629562956</v>
      </c>
      <c r="I36" s="13">
        <f t="shared" si="3"/>
        <v>0.123</v>
      </c>
      <c r="J36" s="13">
        <f t="shared" si="4"/>
        <v>6.9999999999992291E-4</v>
      </c>
      <c r="K36" s="13">
        <f t="shared" si="5"/>
        <v>-6.0999999999999943E-3</v>
      </c>
      <c r="L36" s="13">
        <f t="shared" si="6"/>
        <v>-9.6000000000000529E-3</v>
      </c>
      <c r="M36" s="13">
        <f t="shared" si="7"/>
        <v>-6.2956295629560399E-3</v>
      </c>
      <c r="N36" s="13">
        <f t="shared" si="8"/>
        <v>2.0340874087408766E-2</v>
      </c>
    </row>
    <row r="37" spans="1:14" ht="15" thickTop="1" x14ac:dyDescent="0.3">
      <c r="A37" s="1" t="s">
        <v>31</v>
      </c>
      <c r="B37" s="1">
        <v>20</v>
      </c>
      <c r="C37" s="1" t="s">
        <v>85</v>
      </c>
      <c r="D37" s="12">
        <v>0.76629999999999998</v>
      </c>
      <c r="E37" s="12">
        <v>0.89359999999999995</v>
      </c>
      <c r="F37" s="12">
        <v>0.96819999999999995</v>
      </c>
      <c r="G37" s="12">
        <v>0.89559999999999995</v>
      </c>
      <c r="H37" s="12">
        <v>0.76659999999999995</v>
      </c>
      <c r="I37" s="13">
        <f t="shared" si="3"/>
        <v>0.18369999999999997</v>
      </c>
      <c r="J37" s="13">
        <f t="shared" si="4"/>
        <v>5.6400000000000006E-2</v>
      </c>
      <c r="K37" s="13">
        <f t="shared" si="5"/>
        <v>-1.8199999999999994E-2</v>
      </c>
      <c r="L37" s="13">
        <f t="shared" si="6"/>
        <v>5.4400000000000004E-2</v>
      </c>
      <c r="M37" s="13">
        <f t="shared" si="7"/>
        <v>0.18340000000000001</v>
      </c>
      <c r="N37" s="13">
        <f t="shared" si="8"/>
        <v>9.1939999999999994E-2</v>
      </c>
    </row>
    <row r="38" spans="1:14" x14ac:dyDescent="0.3">
      <c r="A38" t="s">
        <v>31</v>
      </c>
      <c r="B38">
        <v>50</v>
      </c>
      <c r="C38" t="s">
        <v>85</v>
      </c>
      <c r="D38" s="13">
        <v>0.91010000000000002</v>
      </c>
      <c r="E38" s="13">
        <v>0.95730000000000004</v>
      </c>
      <c r="F38" s="13">
        <v>0.95840000000000003</v>
      </c>
      <c r="G38" s="13">
        <v>0.95899999999999996</v>
      </c>
      <c r="H38" s="13">
        <v>0.90859999999999996</v>
      </c>
      <c r="I38" s="13">
        <f t="shared" si="3"/>
        <v>3.9899999999999936E-2</v>
      </c>
      <c r="J38" s="13">
        <f t="shared" si="4"/>
        <v>-7.3000000000000842E-3</v>
      </c>
      <c r="K38" s="13">
        <f t="shared" si="5"/>
        <v>-8.4000000000000741E-3</v>
      </c>
      <c r="L38" s="13">
        <f t="shared" si="6"/>
        <v>-9.000000000000008E-3</v>
      </c>
      <c r="M38" s="13">
        <f t="shared" si="7"/>
        <v>4.1399999999999992E-2</v>
      </c>
      <c r="N38" s="13">
        <f t="shared" si="8"/>
        <v>1.1319999999999952E-2</v>
      </c>
    </row>
    <row r="39" spans="1:14" ht="15" thickBot="1" x14ac:dyDescent="0.35">
      <c r="A39" t="s">
        <v>31</v>
      </c>
      <c r="B39">
        <v>100</v>
      </c>
      <c r="C39" t="s">
        <v>85</v>
      </c>
      <c r="D39" s="13">
        <v>0.95879999999999999</v>
      </c>
      <c r="E39" s="13">
        <v>0.95140000000000002</v>
      </c>
      <c r="F39" s="13">
        <v>0.95630000000000004</v>
      </c>
      <c r="G39" s="13">
        <v>0.95620000000000005</v>
      </c>
      <c r="H39" s="13">
        <v>0.95899999999999996</v>
      </c>
      <c r="I39" s="13">
        <f t="shared" si="3"/>
        <v>-8.80000000000003E-3</v>
      </c>
      <c r="J39" s="13">
        <f t="shared" si="4"/>
        <v>-1.4000000000000679E-3</v>
      </c>
      <c r="K39" s="13">
        <f t="shared" si="5"/>
        <v>-6.3000000000000833E-3</v>
      </c>
      <c r="L39" s="13">
        <f t="shared" si="6"/>
        <v>-6.2000000000000943E-3</v>
      </c>
      <c r="M39" s="13">
        <f t="shared" si="7"/>
        <v>-9.000000000000008E-3</v>
      </c>
      <c r="N39" s="13">
        <f t="shared" si="8"/>
        <v>-6.3400000000000565E-3</v>
      </c>
    </row>
    <row r="40" spans="1:14" ht="15" thickTop="1" x14ac:dyDescent="0.3">
      <c r="A40" s="1" t="s">
        <v>56</v>
      </c>
      <c r="B40" s="1">
        <v>20</v>
      </c>
      <c r="C40" s="1" t="s">
        <v>87</v>
      </c>
      <c r="D40" s="12">
        <v>0.86352941176470599</v>
      </c>
      <c r="E40" s="12">
        <v>0.90550938750384702</v>
      </c>
      <c r="F40" s="12">
        <v>0.94320000000000004</v>
      </c>
      <c r="G40" s="12">
        <v>0.94664141695443904</v>
      </c>
      <c r="H40" s="12">
        <v>0.90356225930680401</v>
      </c>
      <c r="I40" s="13">
        <f t="shared" si="3"/>
        <v>8.6470588235293966E-2</v>
      </c>
      <c r="J40" s="13">
        <f t="shared" si="4"/>
        <v>4.4490612496152937E-2</v>
      </c>
      <c r="K40" s="13">
        <f t="shared" si="5"/>
        <v>6.7999999999999172E-3</v>
      </c>
      <c r="L40" s="13">
        <f t="shared" si="6"/>
        <v>3.3585830455609145E-3</v>
      </c>
      <c r="M40" s="13">
        <f t="shared" si="7"/>
        <v>4.643774069319595E-2</v>
      </c>
      <c r="N40" s="13">
        <f t="shared" si="8"/>
        <v>3.7511504894040738E-2</v>
      </c>
    </row>
    <row r="41" spans="1:14" x14ac:dyDescent="0.3">
      <c r="A41" t="s">
        <v>56</v>
      </c>
      <c r="B41">
        <v>50</v>
      </c>
      <c r="C41" t="s">
        <v>87</v>
      </c>
      <c r="D41" s="13">
        <v>0.91596300763972704</v>
      </c>
      <c r="E41" s="13">
        <v>0.94247699079631897</v>
      </c>
      <c r="F41" s="13">
        <v>0.95130000000000003</v>
      </c>
      <c r="G41" s="13">
        <v>0.94140114584380297</v>
      </c>
      <c r="H41" s="13">
        <v>0.95887652358240605</v>
      </c>
      <c r="I41" s="13">
        <f t="shared" si="3"/>
        <v>3.4036992360272911E-2</v>
      </c>
      <c r="J41" s="13">
        <f t="shared" si="4"/>
        <v>7.5230092036809859E-3</v>
      </c>
      <c r="K41" s="13">
        <f t="shared" si="5"/>
        <v>-1.3000000000000789E-3</v>
      </c>
      <c r="L41" s="13">
        <f t="shared" si="6"/>
        <v>8.5988541561969889E-3</v>
      </c>
      <c r="M41" s="13">
        <f t="shared" si="7"/>
        <v>-8.8765235824060928E-3</v>
      </c>
      <c r="N41" s="13">
        <f t="shared" si="8"/>
        <v>7.9964664275489431E-3</v>
      </c>
    </row>
    <row r="42" spans="1:14" ht="15" thickBot="1" x14ac:dyDescent="0.35">
      <c r="A42" t="s">
        <v>56</v>
      </c>
      <c r="B42">
        <v>100</v>
      </c>
      <c r="C42" t="s">
        <v>87</v>
      </c>
      <c r="D42" s="13">
        <v>0.94018803760752101</v>
      </c>
      <c r="E42" s="13">
        <v>0.94750000000000001</v>
      </c>
      <c r="F42" s="13">
        <v>0.94810000000000005</v>
      </c>
      <c r="G42" s="13">
        <v>0.94865892714171296</v>
      </c>
      <c r="H42" s="13">
        <v>0.94167852062588897</v>
      </c>
      <c r="I42" s="13">
        <f t="shared" si="3"/>
        <v>9.8119623924789456E-3</v>
      </c>
      <c r="J42" s="13">
        <f t="shared" si="4"/>
        <v>2.4999999999999467E-3</v>
      </c>
      <c r="K42" s="13">
        <f t="shared" si="5"/>
        <v>1.8999999999999018E-3</v>
      </c>
      <c r="L42" s="13">
        <f t="shared" si="6"/>
        <v>1.3410728582869957E-3</v>
      </c>
      <c r="M42" s="13">
        <f t="shared" si="7"/>
        <v>8.3214793741109849E-3</v>
      </c>
      <c r="N42" s="13">
        <f t="shared" si="8"/>
        <v>4.7749029249753551E-3</v>
      </c>
    </row>
    <row r="43" spans="1:14" ht="15" thickTop="1" x14ac:dyDescent="0.3">
      <c r="A43" s="1" t="s">
        <v>57</v>
      </c>
      <c r="B43" s="1">
        <v>20</v>
      </c>
      <c r="C43" s="1" t="s">
        <v>87</v>
      </c>
      <c r="D43" s="12">
        <v>0.59801960392078402</v>
      </c>
      <c r="E43" s="12">
        <v>0.87414965986394599</v>
      </c>
      <c r="F43" s="12">
        <v>0.94269999999999998</v>
      </c>
      <c r="G43" s="12">
        <v>0.91403676548719603</v>
      </c>
      <c r="H43" s="12">
        <v>0.87276989191300902</v>
      </c>
      <c r="I43" s="13">
        <f t="shared" si="3"/>
        <v>0.35198039607921594</v>
      </c>
      <c r="J43" s="13">
        <f t="shared" si="4"/>
        <v>7.5850340136053962E-2</v>
      </c>
      <c r="K43" s="13">
        <f t="shared" si="5"/>
        <v>7.2999999999999732E-3</v>
      </c>
      <c r="L43" s="13">
        <f t="shared" si="6"/>
        <v>3.5963234512803921E-2</v>
      </c>
      <c r="M43" s="13">
        <f t="shared" si="7"/>
        <v>7.7230108086990934E-2</v>
      </c>
      <c r="N43" s="13">
        <f t="shared" si="8"/>
        <v>0.10966481576301294</v>
      </c>
    </row>
    <row r="44" spans="1:14" x14ac:dyDescent="0.3">
      <c r="A44" t="s">
        <v>57</v>
      </c>
      <c r="B44">
        <v>50</v>
      </c>
      <c r="C44" t="s">
        <v>87</v>
      </c>
      <c r="D44" s="13">
        <v>0.69240000000000002</v>
      </c>
      <c r="E44" s="13">
        <v>0.9294</v>
      </c>
      <c r="F44" s="13">
        <v>0.94730000000000003</v>
      </c>
      <c r="G44" s="13">
        <v>0.94170089151557601</v>
      </c>
      <c r="H44" s="13">
        <v>0.93159203980099503</v>
      </c>
      <c r="I44" s="13">
        <f t="shared" si="3"/>
        <v>0.25759999999999994</v>
      </c>
      <c r="J44" s="13">
        <f t="shared" si="4"/>
        <v>2.0599999999999952E-2</v>
      </c>
      <c r="K44" s="13">
        <f t="shared" si="5"/>
        <v>2.6999999999999247E-3</v>
      </c>
      <c r="L44" s="13">
        <f t="shared" si="6"/>
        <v>8.2991084844239449E-3</v>
      </c>
      <c r="M44" s="13">
        <f t="shared" si="7"/>
        <v>1.8407960199004925E-2</v>
      </c>
      <c r="N44" s="13">
        <f t="shared" si="8"/>
        <v>6.1521413736685737E-2</v>
      </c>
    </row>
    <row r="45" spans="1:14" ht="15" thickBot="1" x14ac:dyDescent="0.35">
      <c r="A45" t="s">
        <v>57</v>
      </c>
      <c r="B45">
        <v>100</v>
      </c>
      <c r="C45" t="s">
        <v>87</v>
      </c>
      <c r="D45" s="13">
        <v>0.80869999999999997</v>
      </c>
      <c r="E45" s="13">
        <v>0.94140000000000001</v>
      </c>
      <c r="F45" s="13">
        <v>0.95009999999999994</v>
      </c>
      <c r="G45" s="13">
        <v>0.95269999999999999</v>
      </c>
      <c r="H45" s="13">
        <v>0.94268537074148295</v>
      </c>
      <c r="I45" s="13">
        <f t="shared" si="3"/>
        <v>0.14129999999999998</v>
      </c>
      <c r="J45" s="13">
        <f t="shared" si="4"/>
        <v>8.599999999999941E-3</v>
      </c>
      <c r="K45" s="13">
        <f t="shared" si="5"/>
        <v>-9.9999999999988987E-5</v>
      </c>
      <c r="L45" s="13">
        <f t="shared" si="6"/>
        <v>-2.7000000000000357E-3</v>
      </c>
      <c r="M45" s="13">
        <f t="shared" si="7"/>
        <v>7.3146292585170025E-3</v>
      </c>
      <c r="N45" s="13">
        <f t="shared" si="8"/>
        <v>3.088292585170338E-2</v>
      </c>
    </row>
    <row r="46" spans="1:14" ht="15" thickTop="1" x14ac:dyDescent="0.3">
      <c r="A46" s="1" t="s">
        <v>31</v>
      </c>
      <c r="B46" s="1">
        <v>20</v>
      </c>
      <c r="C46" s="1" t="s">
        <v>87</v>
      </c>
      <c r="D46" s="12">
        <v>0.83453969690115404</v>
      </c>
      <c r="E46" s="12">
        <v>0.89639500051647603</v>
      </c>
      <c r="F46" s="12">
        <v>0.94750000000000001</v>
      </c>
      <c r="G46" s="12">
        <v>0.89850592478104097</v>
      </c>
      <c r="H46" s="12">
        <v>0.83374914946699896</v>
      </c>
      <c r="I46" s="13">
        <f t="shared" si="3"/>
        <v>0.11546030309884592</v>
      </c>
      <c r="J46" s="13">
        <f t="shared" si="4"/>
        <v>5.360499948352393E-2</v>
      </c>
      <c r="K46" s="13">
        <f t="shared" si="5"/>
        <v>2.4999999999999467E-3</v>
      </c>
      <c r="L46" s="13">
        <f t="shared" si="6"/>
        <v>5.149407521895899E-2</v>
      </c>
      <c r="M46" s="13">
        <f t="shared" si="7"/>
        <v>0.11625085053300099</v>
      </c>
      <c r="N46" s="13">
        <f t="shared" si="8"/>
        <v>6.7862045666865961E-2</v>
      </c>
    </row>
    <row r="47" spans="1:14" x14ac:dyDescent="0.3">
      <c r="A47" t="s">
        <v>31</v>
      </c>
      <c r="B47">
        <v>50</v>
      </c>
      <c r="C47" t="s">
        <v>87</v>
      </c>
      <c r="D47" s="13">
        <v>0.91016380099704997</v>
      </c>
      <c r="E47" s="13">
        <v>0.93915132105684596</v>
      </c>
      <c r="F47" s="13">
        <v>0.94730000000000003</v>
      </c>
      <c r="G47" s="13">
        <v>0.94365492393915096</v>
      </c>
      <c r="H47" s="13">
        <v>0.90782661658714803</v>
      </c>
      <c r="I47" s="13">
        <f t="shared" si="3"/>
        <v>3.983619900294999E-2</v>
      </c>
      <c r="J47" s="13">
        <f t="shared" si="4"/>
        <v>1.0848678943154E-2</v>
      </c>
      <c r="K47" s="13">
        <f t="shared" si="5"/>
        <v>2.6999999999999247E-3</v>
      </c>
      <c r="L47" s="13">
        <f t="shared" si="6"/>
        <v>6.3450760608489976E-3</v>
      </c>
      <c r="M47" s="13">
        <f t="shared" si="7"/>
        <v>4.2173383412851928E-2</v>
      </c>
      <c r="N47" s="13">
        <f t="shared" si="8"/>
        <v>2.0380667483960967E-2</v>
      </c>
    </row>
    <row r="48" spans="1:14" ht="15" thickBot="1" x14ac:dyDescent="0.35">
      <c r="A48" t="s">
        <v>31</v>
      </c>
      <c r="B48">
        <v>100</v>
      </c>
      <c r="C48" t="s">
        <v>87</v>
      </c>
      <c r="D48" s="13">
        <v>0.94247123561780899</v>
      </c>
      <c r="E48" s="13">
        <v>0.94330000000000003</v>
      </c>
      <c r="F48" s="13">
        <v>0.95069999999999999</v>
      </c>
      <c r="G48" s="13">
        <v>0.94930000000000003</v>
      </c>
      <c r="H48" s="13">
        <v>0.94565652522017596</v>
      </c>
      <c r="I48" s="13">
        <f t="shared" si="3"/>
        <v>7.5287643821909667E-3</v>
      </c>
      <c r="J48" s="13">
        <f t="shared" si="4"/>
        <v>6.6999999999999282E-3</v>
      </c>
      <c r="K48" s="13">
        <f t="shared" si="5"/>
        <v>-7.0000000000003393E-4</v>
      </c>
      <c r="L48" s="13">
        <f t="shared" si="6"/>
        <v>6.9999999999992291E-4</v>
      </c>
      <c r="M48" s="13">
        <f t="shared" si="7"/>
        <v>4.343474779823997E-3</v>
      </c>
      <c r="N48" s="13">
        <f t="shared" si="8"/>
        <v>3.7144478324029561E-3</v>
      </c>
    </row>
    <row r="49" spans="1:14" ht="15" thickTop="1" x14ac:dyDescent="0.3">
      <c r="A49" s="1" t="s">
        <v>56</v>
      </c>
      <c r="B49" s="1">
        <v>20</v>
      </c>
      <c r="C49" s="1" t="s">
        <v>89</v>
      </c>
      <c r="D49" s="12">
        <v>0.82879999999999998</v>
      </c>
      <c r="E49" s="12">
        <v>0.90180000000000005</v>
      </c>
      <c r="F49" s="12">
        <v>0.96150000000000002</v>
      </c>
      <c r="G49" s="12">
        <v>0.86694975230007099</v>
      </c>
      <c r="H49" s="12">
        <v>0.61881510416666696</v>
      </c>
      <c r="I49" s="13">
        <f t="shared" ref="I49:I87" si="9">0.95-D49</f>
        <v>0.12119999999999997</v>
      </c>
      <c r="J49" s="13">
        <f t="shared" ref="J49:J87" si="10">0.95-E49</f>
        <v>4.819999999999991E-2</v>
      </c>
      <c r="K49" s="13">
        <f t="shared" ref="K49:K87" si="11">0.95-F49</f>
        <v>-1.1500000000000066E-2</v>
      </c>
      <c r="L49" s="13">
        <f t="shared" ref="L49:L87" si="12">0.95-G49</f>
        <v>8.305024769992897E-2</v>
      </c>
      <c r="M49" s="13">
        <f t="shared" ref="M49:M87" si="13">0.95-H49</f>
        <v>0.33118489583333299</v>
      </c>
      <c r="N49" s="13">
        <f t="shared" ref="N49:N87" si="14">AVERAGE(I49:M49)</f>
        <v>0.11442702870665236</v>
      </c>
    </row>
    <row r="50" spans="1:14" x14ac:dyDescent="0.3">
      <c r="A50" t="s">
        <v>56</v>
      </c>
      <c r="B50">
        <v>50</v>
      </c>
      <c r="C50" t="s">
        <v>89</v>
      </c>
      <c r="D50" s="13">
        <v>0.9194</v>
      </c>
      <c r="E50" s="13">
        <v>0.95230000000000004</v>
      </c>
      <c r="F50" s="13">
        <v>0.96160000000000001</v>
      </c>
      <c r="G50" s="13">
        <v>0.94360826811157905</v>
      </c>
      <c r="H50" s="13">
        <v>0.90920000000000001</v>
      </c>
      <c r="I50" s="13">
        <f t="shared" si="9"/>
        <v>3.0599999999999961E-2</v>
      </c>
      <c r="J50" s="13">
        <f t="shared" si="10"/>
        <v>-2.3000000000000798E-3</v>
      </c>
      <c r="K50" s="13">
        <f t="shared" si="11"/>
        <v>-1.1600000000000055E-2</v>
      </c>
      <c r="L50" s="13">
        <f t="shared" si="12"/>
        <v>6.391731888420904E-3</v>
      </c>
      <c r="M50" s="13">
        <f t="shared" si="13"/>
        <v>4.0799999999999947E-2</v>
      </c>
      <c r="N50" s="13">
        <f t="shared" si="14"/>
        <v>1.2778346377684135E-2</v>
      </c>
    </row>
    <row r="51" spans="1:14" ht="15" thickBot="1" x14ac:dyDescent="0.35">
      <c r="A51" t="s">
        <v>56</v>
      </c>
      <c r="B51">
        <v>100</v>
      </c>
      <c r="C51" t="s">
        <v>89</v>
      </c>
      <c r="D51" s="13">
        <v>0.94489999999999996</v>
      </c>
      <c r="E51" s="13">
        <v>0.95379999999999998</v>
      </c>
      <c r="F51" s="13">
        <v>0.95320000000000005</v>
      </c>
      <c r="G51" s="13">
        <v>0.95277638819409705</v>
      </c>
      <c r="H51" s="13">
        <v>0.94167593247750903</v>
      </c>
      <c r="I51" s="13">
        <f t="shared" si="9"/>
        <v>5.0999999999999934E-3</v>
      </c>
      <c r="J51" s="13">
        <f t="shared" si="10"/>
        <v>-3.8000000000000256E-3</v>
      </c>
      <c r="K51" s="13">
        <f t="shared" si="11"/>
        <v>-3.2000000000000917E-3</v>
      </c>
      <c r="L51" s="13">
        <f t="shared" si="12"/>
        <v>-2.7763881940970903E-3</v>
      </c>
      <c r="M51" s="13">
        <f t="shared" si="13"/>
        <v>8.32406752249093E-3</v>
      </c>
      <c r="N51" s="13">
        <f t="shared" si="14"/>
        <v>7.2953586567874322E-4</v>
      </c>
    </row>
    <row r="52" spans="1:14" ht="15" thickTop="1" x14ac:dyDescent="0.3">
      <c r="A52" s="1" t="s">
        <v>57</v>
      </c>
      <c r="B52" s="1">
        <v>20</v>
      </c>
      <c r="C52" s="1" t="s">
        <v>89</v>
      </c>
      <c r="D52" s="12">
        <v>0.69440000000000002</v>
      </c>
      <c r="E52" s="12">
        <v>0.91590000000000005</v>
      </c>
      <c r="F52" s="12">
        <v>0.96289999999999998</v>
      </c>
      <c r="G52" s="12">
        <v>0.87539999999999996</v>
      </c>
      <c r="H52" s="12">
        <v>0.68930185836263203</v>
      </c>
      <c r="I52" s="13">
        <f t="shared" si="9"/>
        <v>0.25559999999999994</v>
      </c>
      <c r="J52" s="13">
        <f t="shared" si="10"/>
        <v>3.4099999999999908E-2</v>
      </c>
      <c r="K52" s="13">
        <f t="shared" si="11"/>
        <v>-1.2900000000000023E-2</v>
      </c>
      <c r="L52" s="13">
        <f t="shared" si="12"/>
        <v>7.46E-2</v>
      </c>
      <c r="M52" s="13">
        <f t="shared" si="13"/>
        <v>0.26069814163736793</v>
      </c>
      <c r="N52" s="13">
        <f t="shared" si="14"/>
        <v>0.12241962832747355</v>
      </c>
    </row>
    <row r="53" spans="1:14" x14ac:dyDescent="0.3">
      <c r="A53" t="s">
        <v>57</v>
      </c>
      <c r="B53">
        <v>50</v>
      </c>
      <c r="C53" t="s">
        <v>89</v>
      </c>
      <c r="D53" s="13">
        <v>0.72819999999999996</v>
      </c>
      <c r="E53" s="13">
        <v>0.9415</v>
      </c>
      <c r="F53" s="13">
        <v>0.95609999999999995</v>
      </c>
      <c r="G53" s="13">
        <v>0.95050000000000001</v>
      </c>
      <c r="H53" s="13">
        <v>0.90590000000000004</v>
      </c>
      <c r="I53" s="13">
        <f t="shared" si="9"/>
        <v>0.2218</v>
      </c>
      <c r="J53" s="13">
        <f t="shared" si="10"/>
        <v>8.499999999999952E-3</v>
      </c>
      <c r="K53" s="13">
        <f t="shared" si="11"/>
        <v>-6.0999999999999943E-3</v>
      </c>
      <c r="L53" s="13">
        <f t="shared" si="12"/>
        <v>-5.0000000000005596E-4</v>
      </c>
      <c r="M53" s="13">
        <f t="shared" si="13"/>
        <v>4.4099999999999917E-2</v>
      </c>
      <c r="N53" s="13">
        <f t="shared" si="14"/>
        <v>5.3559999999999962E-2</v>
      </c>
    </row>
    <row r="54" spans="1:14" ht="15" thickBot="1" x14ac:dyDescent="0.35">
      <c r="A54" t="s">
        <v>57</v>
      </c>
      <c r="B54">
        <v>100</v>
      </c>
      <c r="C54" t="s">
        <v>89</v>
      </c>
      <c r="D54" s="13">
        <v>0.82230000000000003</v>
      </c>
      <c r="E54" s="13">
        <v>0.94720000000000004</v>
      </c>
      <c r="F54" s="13">
        <v>0.9556</v>
      </c>
      <c r="G54" s="13">
        <v>0.95760000000000001</v>
      </c>
      <c r="H54" s="13">
        <v>0.94679467946794704</v>
      </c>
      <c r="I54" s="13">
        <f t="shared" si="9"/>
        <v>0.12769999999999992</v>
      </c>
      <c r="J54" s="13">
        <f t="shared" si="10"/>
        <v>2.7999999999999137E-3</v>
      </c>
      <c r="K54" s="13">
        <f t="shared" si="11"/>
        <v>-5.6000000000000494E-3</v>
      </c>
      <c r="L54" s="13">
        <f t="shared" si="12"/>
        <v>-7.6000000000000512E-3</v>
      </c>
      <c r="M54" s="13">
        <f t="shared" si="13"/>
        <v>3.2053205320529132E-3</v>
      </c>
      <c r="N54" s="13">
        <f t="shared" si="14"/>
        <v>2.4101064106410532E-2</v>
      </c>
    </row>
    <row r="55" spans="1:14" ht="15" thickTop="1" x14ac:dyDescent="0.3">
      <c r="A55" s="1" t="s">
        <v>31</v>
      </c>
      <c r="B55" s="1">
        <v>20</v>
      </c>
      <c r="C55" s="1" t="s">
        <v>89</v>
      </c>
      <c r="D55" s="12">
        <v>0.76119999999999999</v>
      </c>
      <c r="E55" s="12">
        <v>0.88990000000000002</v>
      </c>
      <c r="F55" s="12">
        <v>0.96609999999999996</v>
      </c>
      <c r="G55" s="12">
        <v>0.89090000000000003</v>
      </c>
      <c r="H55" s="12">
        <v>0.76</v>
      </c>
      <c r="I55" s="13">
        <f t="shared" si="9"/>
        <v>0.18879999999999997</v>
      </c>
      <c r="J55" s="13">
        <f t="shared" si="10"/>
        <v>6.0099999999999931E-2</v>
      </c>
      <c r="K55" s="13">
        <f t="shared" si="11"/>
        <v>-1.6100000000000003E-2</v>
      </c>
      <c r="L55" s="13">
        <f t="shared" si="12"/>
        <v>5.909999999999993E-2</v>
      </c>
      <c r="M55" s="13">
        <f t="shared" si="13"/>
        <v>0.18999999999999995</v>
      </c>
      <c r="N55" s="13">
        <f t="shared" si="14"/>
        <v>9.6379999999999952E-2</v>
      </c>
    </row>
    <row r="56" spans="1:14" x14ac:dyDescent="0.3">
      <c r="A56" t="s">
        <v>31</v>
      </c>
      <c r="B56">
        <v>50</v>
      </c>
      <c r="C56" t="s">
        <v>89</v>
      </c>
      <c r="D56" s="13">
        <v>0.90369999999999995</v>
      </c>
      <c r="E56" s="13">
        <v>0.94969999999999999</v>
      </c>
      <c r="F56" s="13">
        <v>0.95740000000000003</v>
      </c>
      <c r="G56" s="13">
        <v>0.95140000000000002</v>
      </c>
      <c r="H56" s="13">
        <v>0.90269999999999995</v>
      </c>
      <c r="I56" s="13">
        <f t="shared" si="9"/>
        <v>4.6300000000000008E-2</v>
      </c>
      <c r="J56" s="13">
        <f t="shared" si="10"/>
        <v>2.9999999999996696E-4</v>
      </c>
      <c r="K56" s="13">
        <f t="shared" si="11"/>
        <v>-7.4000000000000732E-3</v>
      </c>
      <c r="L56" s="13">
        <f t="shared" si="12"/>
        <v>-1.4000000000000679E-3</v>
      </c>
      <c r="M56" s="13">
        <f t="shared" si="13"/>
        <v>4.7300000000000009E-2</v>
      </c>
      <c r="N56" s="13">
        <f t="shared" si="14"/>
        <v>1.7019999999999969E-2</v>
      </c>
    </row>
    <row r="57" spans="1:14" ht="15" thickBot="1" x14ac:dyDescent="0.35">
      <c r="A57" t="s">
        <v>31</v>
      </c>
      <c r="B57">
        <v>100</v>
      </c>
      <c r="C57" t="s">
        <v>89</v>
      </c>
      <c r="D57" s="13">
        <v>0.94830000000000003</v>
      </c>
      <c r="E57" s="13">
        <v>0.94930000000000003</v>
      </c>
      <c r="F57" s="13">
        <v>0.95540000000000003</v>
      </c>
      <c r="G57" s="13">
        <v>0.95489999999999997</v>
      </c>
      <c r="H57" s="13">
        <v>0.95020000000000004</v>
      </c>
      <c r="I57" s="13">
        <f t="shared" si="9"/>
        <v>1.6999999999999238E-3</v>
      </c>
      <c r="J57" s="13">
        <f t="shared" si="10"/>
        <v>6.9999999999992291E-4</v>
      </c>
      <c r="K57" s="13">
        <f t="shared" si="11"/>
        <v>-5.4000000000000714E-3</v>
      </c>
      <c r="L57" s="13">
        <f t="shared" si="12"/>
        <v>-4.9000000000000155E-3</v>
      </c>
      <c r="M57" s="13">
        <f t="shared" si="13"/>
        <v>-2.00000000000089E-4</v>
      </c>
      <c r="N57" s="13">
        <f t="shared" si="14"/>
        <v>-1.6200000000000658E-3</v>
      </c>
    </row>
    <row r="58" spans="1:14" ht="15" thickTop="1" x14ac:dyDescent="0.3">
      <c r="A58" s="1" t="s">
        <v>56</v>
      </c>
      <c r="B58" s="1">
        <v>20</v>
      </c>
      <c r="C58" s="1" t="s">
        <v>55</v>
      </c>
      <c r="D58" s="12">
        <v>0.98540000000000005</v>
      </c>
      <c r="E58" s="12">
        <v>0.95709999999999995</v>
      </c>
      <c r="F58" s="12">
        <v>0.95640000000000003</v>
      </c>
      <c r="G58" s="12">
        <v>0.95409999999999995</v>
      </c>
      <c r="H58" s="12">
        <v>0.9829</v>
      </c>
      <c r="I58" s="13">
        <f t="shared" si="9"/>
        <v>-3.5400000000000098E-2</v>
      </c>
      <c r="J58" s="13">
        <f t="shared" si="10"/>
        <v>-7.0999999999999952E-3</v>
      </c>
      <c r="K58" s="13">
        <f t="shared" si="11"/>
        <v>-6.4000000000000723E-3</v>
      </c>
      <c r="L58" s="13">
        <f t="shared" si="12"/>
        <v>-4.0999999999999925E-3</v>
      </c>
      <c r="M58" s="13">
        <f t="shared" si="13"/>
        <v>-3.290000000000004E-2</v>
      </c>
      <c r="N58" s="13">
        <f t="shared" si="14"/>
        <v>-1.7180000000000039E-2</v>
      </c>
    </row>
    <row r="59" spans="1:14" x14ac:dyDescent="0.3">
      <c r="A59" t="s">
        <v>56</v>
      </c>
      <c r="B59">
        <v>50</v>
      </c>
      <c r="C59" t="s">
        <v>55</v>
      </c>
      <c r="D59" s="13">
        <v>0.96240000000000003</v>
      </c>
      <c r="E59" s="13">
        <v>0.96740000000000004</v>
      </c>
      <c r="F59" s="13">
        <v>0.97060000000000002</v>
      </c>
      <c r="G59" s="13">
        <v>0.97060000000000002</v>
      </c>
      <c r="H59" s="13">
        <v>0.96399999999999997</v>
      </c>
      <c r="I59" s="13">
        <f t="shared" si="9"/>
        <v>-1.2400000000000078E-2</v>
      </c>
      <c r="J59" s="13">
        <f t="shared" si="10"/>
        <v>-1.7400000000000082E-2</v>
      </c>
      <c r="K59" s="13">
        <f t="shared" si="11"/>
        <v>-2.0600000000000063E-2</v>
      </c>
      <c r="L59" s="13">
        <f t="shared" si="12"/>
        <v>-2.0600000000000063E-2</v>
      </c>
      <c r="M59" s="13">
        <f t="shared" si="13"/>
        <v>-1.4000000000000012E-2</v>
      </c>
      <c r="N59" s="13">
        <f t="shared" si="14"/>
        <v>-1.700000000000006E-2</v>
      </c>
    </row>
    <row r="60" spans="1:14" ht="15" thickBot="1" x14ac:dyDescent="0.35">
      <c r="A60" t="s">
        <v>56</v>
      </c>
      <c r="B60">
        <v>100</v>
      </c>
      <c r="C60" t="s">
        <v>55</v>
      </c>
      <c r="D60" s="13">
        <v>0.96440000000000003</v>
      </c>
      <c r="E60" s="13">
        <v>0.95669999999999999</v>
      </c>
      <c r="F60" s="13">
        <v>0.96509999999999996</v>
      </c>
      <c r="G60" s="13">
        <v>0.95520000000000005</v>
      </c>
      <c r="H60" s="13">
        <v>0.96489999999999998</v>
      </c>
      <c r="I60" s="13">
        <f t="shared" si="9"/>
        <v>-1.4400000000000079E-2</v>
      </c>
      <c r="J60" s="13">
        <f t="shared" si="10"/>
        <v>-6.7000000000000393E-3</v>
      </c>
      <c r="K60" s="13">
        <f t="shared" si="11"/>
        <v>-1.5100000000000002E-2</v>
      </c>
      <c r="L60" s="13">
        <f t="shared" si="12"/>
        <v>-5.2000000000000934E-3</v>
      </c>
      <c r="M60" s="13">
        <f t="shared" si="13"/>
        <v>-1.4900000000000024E-2</v>
      </c>
      <c r="N60" s="13">
        <f t="shared" si="14"/>
        <v>-1.1260000000000048E-2</v>
      </c>
    </row>
    <row r="61" spans="1:14" ht="15" thickTop="1" x14ac:dyDescent="0.3">
      <c r="A61" s="1" t="s">
        <v>57</v>
      </c>
      <c r="B61" s="1">
        <v>20</v>
      </c>
      <c r="C61" s="1" t="s">
        <v>55</v>
      </c>
      <c r="D61" s="12">
        <v>0.98529999999999995</v>
      </c>
      <c r="E61" s="12">
        <v>0.95669999999999999</v>
      </c>
      <c r="F61" s="12">
        <v>0.96020000000000005</v>
      </c>
      <c r="G61" s="12">
        <v>0.95409999999999995</v>
      </c>
      <c r="H61" s="12">
        <v>0.98509999999999998</v>
      </c>
      <c r="I61" s="13">
        <f t="shared" si="9"/>
        <v>-3.5299999999999998E-2</v>
      </c>
      <c r="J61" s="13">
        <f t="shared" si="10"/>
        <v>-6.7000000000000393E-3</v>
      </c>
      <c r="K61" s="13">
        <f t="shared" si="11"/>
        <v>-1.0200000000000098E-2</v>
      </c>
      <c r="L61" s="13">
        <f t="shared" si="12"/>
        <v>-4.0999999999999925E-3</v>
      </c>
      <c r="M61" s="13">
        <f t="shared" si="13"/>
        <v>-3.510000000000002E-2</v>
      </c>
      <c r="N61" s="13">
        <f t="shared" si="14"/>
        <v>-1.8280000000000029E-2</v>
      </c>
    </row>
    <row r="62" spans="1:14" x14ac:dyDescent="0.3">
      <c r="A62" t="s">
        <v>57</v>
      </c>
      <c r="B62">
        <v>50</v>
      </c>
      <c r="C62" t="s">
        <v>55</v>
      </c>
      <c r="D62" s="13">
        <v>0.96340000000000003</v>
      </c>
      <c r="E62" s="13">
        <v>0.9677</v>
      </c>
      <c r="F62" s="13">
        <v>0.96599999999999997</v>
      </c>
      <c r="G62" s="13">
        <v>0.96950000000000003</v>
      </c>
      <c r="H62" s="13">
        <v>0.96250000000000002</v>
      </c>
      <c r="I62" s="13">
        <f t="shared" si="9"/>
        <v>-1.3400000000000079E-2</v>
      </c>
      <c r="J62" s="13">
        <f t="shared" si="10"/>
        <v>-1.7700000000000049E-2</v>
      </c>
      <c r="K62" s="13">
        <f t="shared" si="11"/>
        <v>-1.6000000000000014E-2</v>
      </c>
      <c r="L62" s="13">
        <f t="shared" si="12"/>
        <v>-1.9500000000000073E-2</v>
      </c>
      <c r="M62" s="13">
        <f t="shared" si="13"/>
        <v>-1.2500000000000067E-2</v>
      </c>
      <c r="N62" s="13">
        <f t="shared" si="14"/>
        <v>-1.5820000000000056E-2</v>
      </c>
    </row>
    <row r="63" spans="1:14" ht="15" thickBot="1" x14ac:dyDescent="0.35">
      <c r="A63" t="s">
        <v>57</v>
      </c>
      <c r="B63">
        <v>100</v>
      </c>
      <c r="C63" t="s">
        <v>55</v>
      </c>
      <c r="D63" s="13">
        <v>0.96660000000000001</v>
      </c>
      <c r="E63" s="13">
        <v>0.95389999999999997</v>
      </c>
      <c r="F63" s="13">
        <v>0.96279999999999999</v>
      </c>
      <c r="G63" s="13">
        <v>0.95950000000000002</v>
      </c>
      <c r="H63" s="13">
        <v>0.96599999999999997</v>
      </c>
      <c r="I63" s="13">
        <f t="shared" si="9"/>
        <v>-1.6600000000000059E-2</v>
      </c>
      <c r="J63" s="13">
        <f t="shared" si="10"/>
        <v>-3.9000000000000146E-3</v>
      </c>
      <c r="K63" s="13">
        <f t="shared" si="11"/>
        <v>-1.2800000000000034E-2</v>
      </c>
      <c r="L63" s="13">
        <f t="shared" si="12"/>
        <v>-9.5000000000000639E-3</v>
      </c>
      <c r="M63" s="13">
        <f t="shared" si="13"/>
        <v>-1.6000000000000014E-2</v>
      </c>
      <c r="N63" s="13">
        <f t="shared" si="14"/>
        <v>-1.1760000000000038E-2</v>
      </c>
    </row>
    <row r="64" spans="1:14" ht="15" thickTop="1" x14ac:dyDescent="0.3">
      <c r="A64" s="1" t="s">
        <v>31</v>
      </c>
      <c r="B64" s="1">
        <v>20</v>
      </c>
      <c r="C64" s="1" t="s">
        <v>55</v>
      </c>
      <c r="D64" s="12">
        <v>0.98329999999999995</v>
      </c>
      <c r="E64" s="12">
        <v>0.95889999999999997</v>
      </c>
      <c r="F64" s="12">
        <v>0.95609999999999995</v>
      </c>
      <c r="G64" s="12">
        <v>0.9526</v>
      </c>
      <c r="H64" s="12">
        <v>0.98319999999999996</v>
      </c>
      <c r="I64" s="13">
        <f t="shared" si="9"/>
        <v>-3.3299999999999996E-2</v>
      </c>
      <c r="J64" s="13">
        <f t="shared" si="10"/>
        <v>-8.900000000000019E-3</v>
      </c>
      <c r="K64" s="13">
        <f t="shared" si="11"/>
        <v>-6.0999999999999943E-3</v>
      </c>
      <c r="L64" s="13">
        <f t="shared" si="12"/>
        <v>-2.6000000000000467E-3</v>
      </c>
      <c r="M64" s="13">
        <f t="shared" si="13"/>
        <v>-3.3200000000000007E-2</v>
      </c>
      <c r="N64" s="13">
        <f t="shared" si="14"/>
        <v>-1.6820000000000012E-2</v>
      </c>
    </row>
    <row r="65" spans="1:14" x14ac:dyDescent="0.3">
      <c r="A65" t="s">
        <v>31</v>
      </c>
      <c r="B65">
        <v>50</v>
      </c>
      <c r="C65" t="s">
        <v>55</v>
      </c>
      <c r="D65" s="13">
        <v>0.96140000000000003</v>
      </c>
      <c r="E65" s="13">
        <v>0.97030000000000005</v>
      </c>
      <c r="F65" s="13">
        <v>0.96509999999999996</v>
      </c>
      <c r="G65" s="13">
        <v>0.97089999999999999</v>
      </c>
      <c r="H65" s="13">
        <v>0.96020000000000005</v>
      </c>
      <c r="I65" s="13">
        <f t="shared" si="9"/>
        <v>-1.1400000000000077E-2</v>
      </c>
      <c r="J65" s="13">
        <f t="shared" si="10"/>
        <v>-2.0300000000000096E-2</v>
      </c>
      <c r="K65" s="13">
        <f t="shared" si="11"/>
        <v>-1.5100000000000002E-2</v>
      </c>
      <c r="L65" s="13">
        <f t="shared" si="12"/>
        <v>-2.090000000000003E-2</v>
      </c>
      <c r="M65" s="13">
        <f t="shared" si="13"/>
        <v>-1.0200000000000098E-2</v>
      </c>
      <c r="N65" s="13">
        <f t="shared" si="14"/>
        <v>-1.5580000000000061E-2</v>
      </c>
    </row>
    <row r="66" spans="1:14" ht="15" thickBot="1" x14ac:dyDescent="0.35">
      <c r="A66" t="s">
        <v>31</v>
      </c>
      <c r="B66">
        <v>100</v>
      </c>
      <c r="C66" t="s">
        <v>55</v>
      </c>
      <c r="D66" s="13">
        <v>0.96599999999999997</v>
      </c>
      <c r="E66" s="13">
        <v>0.95320000000000005</v>
      </c>
      <c r="F66" s="13">
        <v>0.96619999999999995</v>
      </c>
      <c r="G66" s="13">
        <v>0.95609999999999995</v>
      </c>
      <c r="H66" s="13">
        <v>0.96499999999999997</v>
      </c>
      <c r="I66" s="13">
        <f t="shared" si="9"/>
        <v>-1.6000000000000014E-2</v>
      </c>
      <c r="J66" s="13">
        <f t="shared" si="10"/>
        <v>-3.2000000000000917E-3</v>
      </c>
      <c r="K66" s="13">
        <f t="shared" si="11"/>
        <v>-1.6199999999999992E-2</v>
      </c>
      <c r="L66" s="13">
        <f t="shared" si="12"/>
        <v>-6.0999999999999943E-3</v>
      </c>
      <c r="M66" s="13">
        <f t="shared" si="13"/>
        <v>-1.5000000000000013E-2</v>
      </c>
      <c r="N66" s="13">
        <f t="shared" si="14"/>
        <v>-1.1300000000000022E-2</v>
      </c>
    </row>
    <row r="67" spans="1:14" ht="15" thickTop="1" x14ac:dyDescent="0.3">
      <c r="A67" s="1" t="s">
        <v>56</v>
      </c>
      <c r="B67" s="1">
        <v>20</v>
      </c>
      <c r="C67" s="1" t="s">
        <v>32</v>
      </c>
      <c r="D67" s="12">
        <v>0.94429607020221296</v>
      </c>
      <c r="E67" s="12">
        <v>0.981870068826591</v>
      </c>
      <c r="F67" s="12">
        <v>0.95640000000000003</v>
      </c>
      <c r="G67" s="12">
        <v>0.98631854976627498</v>
      </c>
      <c r="H67" s="12">
        <v>0.93525179856115104</v>
      </c>
      <c r="I67" s="13">
        <f t="shared" si="9"/>
        <v>5.7039297977869996E-3</v>
      </c>
      <c r="J67" s="13">
        <f t="shared" si="10"/>
        <v>-3.1870068826591047E-2</v>
      </c>
      <c r="K67" s="13">
        <f t="shared" si="11"/>
        <v>-6.4000000000000723E-3</v>
      </c>
      <c r="L67" s="13">
        <f t="shared" si="12"/>
        <v>-3.6318549766275021E-2</v>
      </c>
      <c r="M67" s="13">
        <f t="shared" si="13"/>
        <v>1.4748201438848918E-2</v>
      </c>
      <c r="N67" s="13">
        <f t="shared" si="14"/>
        <v>-1.0827297471246045E-2</v>
      </c>
    </row>
    <row r="68" spans="1:14" x14ac:dyDescent="0.3">
      <c r="A68" t="s">
        <v>56</v>
      </c>
      <c r="B68">
        <v>50</v>
      </c>
      <c r="C68" t="s">
        <v>32</v>
      </c>
      <c r="D68" s="13">
        <v>0.98746081504702199</v>
      </c>
      <c r="E68" s="13">
        <v>0.93387215282880198</v>
      </c>
      <c r="F68" s="13">
        <v>0.93789999999999996</v>
      </c>
      <c r="G68" s="13">
        <v>0.94293177936300598</v>
      </c>
      <c r="H68" s="13">
        <v>0.98917631778331006</v>
      </c>
      <c r="I68" s="13">
        <f t="shared" si="9"/>
        <v>-3.7460815047022034E-2</v>
      </c>
      <c r="J68" s="13">
        <f t="shared" si="10"/>
        <v>1.6127847171197973E-2</v>
      </c>
      <c r="K68" s="13">
        <f t="shared" si="11"/>
        <v>1.21E-2</v>
      </c>
      <c r="L68" s="13">
        <f t="shared" si="12"/>
        <v>7.0682206369939715E-3</v>
      </c>
      <c r="M68" s="13">
        <f t="shared" si="13"/>
        <v>-3.91763177833101E-2</v>
      </c>
      <c r="N68" s="13">
        <f t="shared" si="14"/>
        <v>-8.2682130044280377E-3</v>
      </c>
    </row>
    <row r="69" spans="1:14" ht="15" thickBot="1" x14ac:dyDescent="0.35">
      <c r="A69" t="s">
        <v>56</v>
      </c>
      <c r="B69">
        <v>100</v>
      </c>
      <c r="C69" t="s">
        <v>32</v>
      </c>
      <c r="D69" s="13">
        <v>0.92368098159509204</v>
      </c>
      <c r="E69" s="13">
        <v>0.95020126509488201</v>
      </c>
      <c r="F69" s="13">
        <v>0.94399999999999995</v>
      </c>
      <c r="G69" s="13">
        <v>0.95520000000000005</v>
      </c>
      <c r="H69" s="13">
        <v>0.92823732151649396</v>
      </c>
      <c r="I69" s="13">
        <f t="shared" si="9"/>
        <v>2.6319018404907912E-2</v>
      </c>
      <c r="J69" s="13">
        <f t="shared" si="10"/>
        <v>-2.0126509488205269E-4</v>
      </c>
      <c r="K69" s="13">
        <f t="shared" si="11"/>
        <v>6.0000000000000053E-3</v>
      </c>
      <c r="L69" s="13">
        <f t="shared" si="12"/>
        <v>-5.2000000000000934E-3</v>
      </c>
      <c r="M69" s="13">
        <f t="shared" si="13"/>
        <v>2.1762678483505993E-2</v>
      </c>
      <c r="N69" s="13">
        <f t="shared" si="14"/>
        <v>9.7360863587063525E-3</v>
      </c>
    </row>
    <row r="70" spans="1:14" ht="15" thickTop="1" x14ac:dyDescent="0.3">
      <c r="A70" s="1" t="s">
        <v>57</v>
      </c>
      <c r="B70" s="1">
        <v>20</v>
      </c>
      <c r="C70" s="1" t="s">
        <v>32</v>
      </c>
      <c r="D70" s="12">
        <v>0.94452830188679204</v>
      </c>
      <c r="E70" s="12">
        <v>0.97772903661211397</v>
      </c>
      <c r="F70" s="12">
        <v>0.96020000000000005</v>
      </c>
      <c r="G70" s="12">
        <v>0.98633257403189101</v>
      </c>
      <c r="H70" s="12">
        <v>0.94332445796880904</v>
      </c>
      <c r="I70" s="13">
        <f t="shared" si="9"/>
        <v>5.4716981132079123E-3</v>
      </c>
      <c r="J70" s="13">
        <f t="shared" si="10"/>
        <v>-2.7729036612114011E-2</v>
      </c>
      <c r="K70" s="13">
        <f t="shared" si="11"/>
        <v>-1.0200000000000098E-2</v>
      </c>
      <c r="L70" s="13">
        <f t="shared" si="12"/>
        <v>-3.6332574031891052E-2</v>
      </c>
      <c r="M70" s="13">
        <f t="shared" si="13"/>
        <v>6.6755420311909175E-3</v>
      </c>
      <c r="N70" s="13">
        <f t="shared" si="14"/>
        <v>-1.2422874099921266E-2</v>
      </c>
    </row>
    <row r="71" spans="1:14" x14ac:dyDescent="0.3">
      <c r="A71" t="s">
        <v>57</v>
      </c>
      <c r="B71">
        <v>50</v>
      </c>
      <c r="C71" t="s">
        <v>32</v>
      </c>
      <c r="D71" s="13">
        <v>0.98829268292682904</v>
      </c>
      <c r="E71" s="13">
        <v>0.93237907206317905</v>
      </c>
      <c r="F71" s="13">
        <v>0.93559999999999999</v>
      </c>
      <c r="G71" s="13">
        <v>0.94569589702333101</v>
      </c>
      <c r="H71" s="13">
        <v>0.988536822753325</v>
      </c>
      <c r="I71" s="13">
        <f t="shared" si="9"/>
        <v>-3.829268292682908E-2</v>
      </c>
      <c r="J71" s="13">
        <f t="shared" si="10"/>
        <v>1.7620927936820907E-2</v>
      </c>
      <c r="K71" s="13">
        <f t="shared" si="11"/>
        <v>1.4399999999999968E-2</v>
      </c>
      <c r="L71" s="13">
        <f t="shared" si="12"/>
        <v>4.3041029766689443E-3</v>
      </c>
      <c r="M71" s="13">
        <f t="shared" si="13"/>
        <v>-3.853682275332504E-2</v>
      </c>
      <c r="N71" s="13">
        <f t="shared" si="14"/>
        <v>-8.1008949533328597E-3</v>
      </c>
    </row>
    <row r="72" spans="1:14" ht="15" thickBot="1" x14ac:dyDescent="0.35">
      <c r="A72" t="s">
        <v>57</v>
      </c>
      <c r="B72">
        <v>100</v>
      </c>
      <c r="C72" t="s">
        <v>32</v>
      </c>
      <c r="D72" s="13">
        <v>0.92679592344021899</v>
      </c>
      <c r="E72" s="13">
        <v>0.94703584558823495</v>
      </c>
      <c r="F72" s="13">
        <v>0.94550000000000001</v>
      </c>
      <c r="G72" s="13">
        <v>0.95950000000000002</v>
      </c>
      <c r="H72" s="13">
        <v>0.92791903233769402</v>
      </c>
      <c r="I72" s="13">
        <f t="shared" si="9"/>
        <v>2.3204076559780962E-2</v>
      </c>
      <c r="J72" s="13">
        <f t="shared" si="10"/>
        <v>2.9641544117650076E-3</v>
      </c>
      <c r="K72" s="13">
        <f t="shared" si="11"/>
        <v>4.4999999999999485E-3</v>
      </c>
      <c r="L72" s="13">
        <f t="shared" si="12"/>
        <v>-9.5000000000000639E-3</v>
      </c>
      <c r="M72" s="13">
        <f t="shared" si="13"/>
        <v>2.2080967662305939E-2</v>
      </c>
      <c r="N72" s="13">
        <f t="shared" si="14"/>
        <v>8.6498397267703586E-3</v>
      </c>
    </row>
    <row r="73" spans="1:14" ht="15" thickTop="1" x14ac:dyDescent="0.3">
      <c r="A73" s="1" t="s">
        <v>31</v>
      </c>
      <c r="B73" s="1">
        <v>20</v>
      </c>
      <c r="C73" s="1" t="s">
        <v>32</v>
      </c>
      <c r="D73" s="12">
        <v>0.93918426802622001</v>
      </c>
      <c r="E73" s="12">
        <v>0.983795522886736</v>
      </c>
      <c r="F73" s="12">
        <v>0.95609999999999995</v>
      </c>
      <c r="G73" s="12">
        <v>0.98649875198547798</v>
      </c>
      <c r="H73" s="12">
        <v>0.93752324284120503</v>
      </c>
      <c r="I73" s="13">
        <f t="shared" si="9"/>
        <v>1.0815731973779941E-2</v>
      </c>
      <c r="J73" s="13">
        <f t="shared" si="10"/>
        <v>-3.379552288673604E-2</v>
      </c>
      <c r="K73" s="13">
        <f t="shared" si="11"/>
        <v>-6.0999999999999943E-3</v>
      </c>
      <c r="L73" s="13">
        <f t="shared" si="12"/>
        <v>-3.6498751985478028E-2</v>
      </c>
      <c r="M73" s="13">
        <f t="shared" si="13"/>
        <v>1.2476757158794927E-2</v>
      </c>
      <c r="N73" s="13">
        <f t="shared" si="14"/>
        <v>-1.0620357147927839E-2</v>
      </c>
    </row>
    <row r="74" spans="1:14" x14ac:dyDescent="0.3">
      <c r="A74" t="s">
        <v>31</v>
      </c>
      <c r="B74">
        <v>50</v>
      </c>
      <c r="C74" t="s">
        <v>32</v>
      </c>
      <c r="D74" s="13">
        <v>0.98655972252330404</v>
      </c>
      <c r="E74" s="13">
        <v>0.93170550322260803</v>
      </c>
      <c r="F74" s="13">
        <v>0.93489999999999995</v>
      </c>
      <c r="G74" s="13">
        <v>0.94698795180722894</v>
      </c>
      <c r="H74" s="13">
        <v>0.98677363399826501</v>
      </c>
      <c r="I74" s="13">
        <f t="shared" si="9"/>
        <v>-3.6559722523304083E-2</v>
      </c>
      <c r="J74" s="13">
        <f t="shared" si="10"/>
        <v>1.8294496777391922E-2</v>
      </c>
      <c r="K74" s="13">
        <f t="shared" si="11"/>
        <v>1.5100000000000002E-2</v>
      </c>
      <c r="L74" s="13">
        <f t="shared" si="12"/>
        <v>3.0120481927710108E-3</v>
      </c>
      <c r="M74" s="13">
        <f t="shared" si="13"/>
        <v>-3.6773633998265054E-2</v>
      </c>
      <c r="N74" s="13">
        <f t="shared" si="14"/>
        <v>-7.3853623102812403E-3</v>
      </c>
    </row>
    <row r="75" spans="1:14" ht="15" thickBot="1" x14ac:dyDescent="0.35">
      <c r="A75" t="s">
        <v>31</v>
      </c>
      <c r="B75">
        <v>100</v>
      </c>
      <c r="C75" t="s">
        <v>32</v>
      </c>
      <c r="D75" s="13">
        <v>0.92625260320960401</v>
      </c>
      <c r="E75" s="13">
        <v>0.94663017447827602</v>
      </c>
      <c r="F75" s="13">
        <v>0.94610000000000005</v>
      </c>
      <c r="G75" s="13">
        <v>0.95609999999999995</v>
      </c>
      <c r="H75" s="13">
        <v>0.93120059288537504</v>
      </c>
      <c r="I75" s="13">
        <f t="shared" si="9"/>
        <v>2.3747396790395947E-2</v>
      </c>
      <c r="J75" s="13">
        <f t="shared" si="10"/>
        <v>3.3698255217239348E-3</v>
      </c>
      <c r="K75" s="13">
        <f t="shared" si="11"/>
        <v>3.8999999999999035E-3</v>
      </c>
      <c r="L75" s="13">
        <f t="shared" si="12"/>
        <v>-6.0999999999999943E-3</v>
      </c>
      <c r="M75" s="13">
        <f t="shared" si="13"/>
        <v>1.8799407114624911E-2</v>
      </c>
      <c r="N75" s="13">
        <f t="shared" si="14"/>
        <v>8.7433258853489397E-3</v>
      </c>
    </row>
    <row r="76" spans="1:14" ht="15" thickTop="1" x14ac:dyDescent="0.3">
      <c r="A76" s="1" t="s">
        <v>56</v>
      </c>
      <c r="B76" s="1">
        <v>20</v>
      </c>
      <c r="C76" s="1" t="s">
        <v>58</v>
      </c>
      <c r="D76" s="12" t="s">
        <v>59</v>
      </c>
      <c r="E76" s="12" t="s">
        <v>59</v>
      </c>
      <c r="F76" s="12">
        <v>0.91539999999999999</v>
      </c>
      <c r="G76" s="12" t="s">
        <v>59</v>
      </c>
      <c r="H76" s="12" t="s">
        <v>59</v>
      </c>
      <c r="I76" s="13" t="e">
        <f t="shared" si="9"/>
        <v>#VALUE!</v>
      </c>
      <c r="J76" s="13" t="e">
        <f t="shared" si="10"/>
        <v>#VALUE!</v>
      </c>
      <c r="K76" s="13">
        <f t="shared" si="11"/>
        <v>3.4599999999999964E-2</v>
      </c>
      <c r="L76" s="13" t="e">
        <f t="shared" si="12"/>
        <v>#VALUE!</v>
      </c>
      <c r="M76" s="13" t="e">
        <f t="shared" si="13"/>
        <v>#VALUE!</v>
      </c>
      <c r="N76" s="13" t="e">
        <f t="shared" si="14"/>
        <v>#VALUE!</v>
      </c>
    </row>
    <row r="77" spans="1:14" x14ac:dyDescent="0.3">
      <c r="A77" t="s">
        <v>56</v>
      </c>
      <c r="B77">
        <v>50</v>
      </c>
      <c r="C77" t="s">
        <v>58</v>
      </c>
      <c r="D77" s="13" t="s">
        <v>59</v>
      </c>
      <c r="E77" s="13" t="s">
        <v>59</v>
      </c>
      <c r="F77" s="13">
        <v>0.84970000000000001</v>
      </c>
      <c r="G77" s="13" t="s">
        <v>59</v>
      </c>
      <c r="H77" s="13" t="s">
        <v>59</v>
      </c>
      <c r="I77" s="13" t="e">
        <f t="shared" si="9"/>
        <v>#VALUE!</v>
      </c>
      <c r="J77" s="13" t="e">
        <f t="shared" si="10"/>
        <v>#VALUE!</v>
      </c>
      <c r="K77" s="13">
        <f t="shared" si="11"/>
        <v>0.10029999999999994</v>
      </c>
      <c r="L77" s="13" t="e">
        <f t="shared" si="12"/>
        <v>#VALUE!</v>
      </c>
      <c r="M77" s="13" t="e">
        <f t="shared" si="13"/>
        <v>#VALUE!</v>
      </c>
      <c r="N77" s="13" t="e">
        <f t="shared" si="14"/>
        <v>#VALUE!</v>
      </c>
    </row>
    <row r="78" spans="1:14" ht="15" thickBot="1" x14ac:dyDescent="0.35">
      <c r="A78" t="s">
        <v>56</v>
      </c>
      <c r="B78">
        <v>100</v>
      </c>
      <c r="C78" t="s">
        <v>58</v>
      </c>
      <c r="D78" s="13" t="s">
        <v>59</v>
      </c>
      <c r="E78" s="13" t="s">
        <v>59</v>
      </c>
      <c r="F78" s="13">
        <v>0.73270000000000002</v>
      </c>
      <c r="G78" s="13" t="s">
        <v>59</v>
      </c>
      <c r="H78" s="13" t="s">
        <v>59</v>
      </c>
      <c r="I78" s="13" t="e">
        <f t="shared" si="9"/>
        <v>#VALUE!</v>
      </c>
      <c r="J78" s="13" t="e">
        <f t="shared" si="10"/>
        <v>#VALUE!</v>
      </c>
      <c r="K78" s="13">
        <f t="shared" si="11"/>
        <v>0.21729999999999994</v>
      </c>
      <c r="L78" s="13" t="e">
        <f t="shared" si="12"/>
        <v>#VALUE!</v>
      </c>
      <c r="M78" s="13" t="e">
        <f t="shared" si="13"/>
        <v>#VALUE!</v>
      </c>
      <c r="N78" s="13" t="e">
        <f t="shared" si="14"/>
        <v>#VALUE!</v>
      </c>
    </row>
    <row r="79" spans="1:14" ht="15" thickTop="1" x14ac:dyDescent="0.3">
      <c r="A79" s="1" t="s">
        <v>57</v>
      </c>
      <c r="B79" s="1">
        <v>20</v>
      </c>
      <c r="C79" s="1" t="s">
        <v>58</v>
      </c>
      <c r="D79" s="12" t="s">
        <v>59</v>
      </c>
      <c r="E79" s="12" t="s">
        <v>59</v>
      </c>
      <c r="F79" s="12">
        <v>0.90149999999999997</v>
      </c>
      <c r="G79" s="12" t="s">
        <v>59</v>
      </c>
      <c r="H79" s="12" t="s">
        <v>59</v>
      </c>
      <c r="I79" s="13" t="e">
        <f t="shared" si="9"/>
        <v>#VALUE!</v>
      </c>
      <c r="J79" s="13" t="e">
        <f t="shared" si="10"/>
        <v>#VALUE!</v>
      </c>
      <c r="K79" s="13">
        <f t="shared" si="11"/>
        <v>4.8499999999999988E-2</v>
      </c>
      <c r="L79" s="13" t="e">
        <f t="shared" si="12"/>
        <v>#VALUE!</v>
      </c>
      <c r="M79" s="13" t="e">
        <f t="shared" si="13"/>
        <v>#VALUE!</v>
      </c>
      <c r="N79" s="13" t="e">
        <f t="shared" si="14"/>
        <v>#VALUE!</v>
      </c>
    </row>
    <row r="80" spans="1:14" x14ac:dyDescent="0.3">
      <c r="A80" t="s">
        <v>57</v>
      </c>
      <c r="B80">
        <v>50</v>
      </c>
      <c r="C80" t="s">
        <v>58</v>
      </c>
      <c r="D80" s="13" t="s">
        <v>59</v>
      </c>
      <c r="E80" s="13" t="s">
        <v>59</v>
      </c>
      <c r="F80" s="13">
        <v>0.78920000000000001</v>
      </c>
      <c r="G80" s="13" t="s">
        <v>59</v>
      </c>
      <c r="H80" s="13" t="s">
        <v>59</v>
      </c>
      <c r="I80" s="13" t="e">
        <f t="shared" si="9"/>
        <v>#VALUE!</v>
      </c>
      <c r="J80" s="13" t="e">
        <f t="shared" si="10"/>
        <v>#VALUE!</v>
      </c>
      <c r="K80" s="13">
        <f t="shared" si="11"/>
        <v>0.16079999999999994</v>
      </c>
      <c r="L80" s="13" t="e">
        <f t="shared" si="12"/>
        <v>#VALUE!</v>
      </c>
      <c r="M80" s="13" t="e">
        <f t="shared" si="13"/>
        <v>#VALUE!</v>
      </c>
      <c r="N80" s="13" t="e">
        <f t="shared" si="14"/>
        <v>#VALUE!</v>
      </c>
    </row>
    <row r="81" spans="1:14" ht="15" thickBot="1" x14ac:dyDescent="0.35">
      <c r="A81" t="s">
        <v>57</v>
      </c>
      <c r="B81">
        <v>100</v>
      </c>
      <c r="C81" t="s">
        <v>58</v>
      </c>
      <c r="D81" s="13" t="s">
        <v>59</v>
      </c>
      <c r="E81" s="13" t="s">
        <v>59</v>
      </c>
      <c r="F81" s="13">
        <v>0.61809999999999998</v>
      </c>
      <c r="G81" s="13" t="s">
        <v>59</v>
      </c>
      <c r="H81" s="13" t="s">
        <v>59</v>
      </c>
      <c r="I81" s="13" t="e">
        <f t="shared" si="9"/>
        <v>#VALUE!</v>
      </c>
      <c r="J81" s="13" t="e">
        <f t="shared" si="10"/>
        <v>#VALUE!</v>
      </c>
      <c r="K81" s="13">
        <f t="shared" si="11"/>
        <v>0.33189999999999997</v>
      </c>
      <c r="L81" s="13" t="e">
        <f t="shared" si="12"/>
        <v>#VALUE!</v>
      </c>
      <c r="M81" s="13" t="e">
        <f t="shared" si="13"/>
        <v>#VALUE!</v>
      </c>
      <c r="N81" s="13" t="e">
        <f t="shared" si="14"/>
        <v>#VALUE!</v>
      </c>
    </row>
    <row r="82" spans="1:14" ht="15" thickTop="1" x14ac:dyDescent="0.3">
      <c r="A82" s="1" t="s">
        <v>31</v>
      </c>
      <c r="B82" s="1">
        <v>20</v>
      </c>
      <c r="C82" s="1" t="s">
        <v>58</v>
      </c>
      <c r="D82" s="12" t="s">
        <v>59</v>
      </c>
      <c r="E82" s="12" t="s">
        <v>59</v>
      </c>
      <c r="F82" s="12">
        <v>0.95430000000000004</v>
      </c>
      <c r="G82" s="12" t="s">
        <v>59</v>
      </c>
      <c r="H82" s="12" t="s">
        <v>59</v>
      </c>
      <c r="I82" s="13" t="e">
        <f t="shared" si="9"/>
        <v>#VALUE!</v>
      </c>
      <c r="J82" s="13" t="e">
        <f t="shared" si="10"/>
        <v>#VALUE!</v>
      </c>
      <c r="K82" s="13">
        <f t="shared" si="11"/>
        <v>-4.3000000000000815E-3</v>
      </c>
      <c r="L82" s="13" t="e">
        <f t="shared" si="12"/>
        <v>#VALUE!</v>
      </c>
      <c r="M82" s="13" t="e">
        <f t="shared" si="13"/>
        <v>#VALUE!</v>
      </c>
      <c r="N82" s="13" t="e">
        <f t="shared" si="14"/>
        <v>#VALUE!</v>
      </c>
    </row>
    <row r="83" spans="1:14" x14ac:dyDescent="0.3">
      <c r="A83" t="s">
        <v>31</v>
      </c>
      <c r="B83">
        <v>50</v>
      </c>
      <c r="C83" t="s">
        <v>58</v>
      </c>
      <c r="D83" s="13" t="s">
        <v>59</v>
      </c>
      <c r="E83" s="13" t="s">
        <v>59</v>
      </c>
      <c r="F83" s="13">
        <v>0.95020000000000004</v>
      </c>
      <c r="G83" s="13" t="s">
        <v>59</v>
      </c>
      <c r="H83" s="13" t="s">
        <v>59</v>
      </c>
      <c r="I83" s="13" t="e">
        <f t="shared" si="9"/>
        <v>#VALUE!</v>
      </c>
      <c r="J83" s="13" t="e">
        <f t="shared" si="10"/>
        <v>#VALUE!</v>
      </c>
      <c r="K83" s="13">
        <f t="shared" si="11"/>
        <v>-2.00000000000089E-4</v>
      </c>
      <c r="L83" s="13" t="e">
        <f t="shared" si="12"/>
        <v>#VALUE!</v>
      </c>
      <c r="M83" s="13" t="e">
        <f t="shared" si="13"/>
        <v>#VALUE!</v>
      </c>
      <c r="N83" s="13" t="e">
        <f t="shared" si="14"/>
        <v>#VALUE!</v>
      </c>
    </row>
    <row r="84" spans="1:14" ht="15" thickBot="1" x14ac:dyDescent="0.35">
      <c r="A84" t="s">
        <v>31</v>
      </c>
      <c r="B84">
        <v>100</v>
      </c>
      <c r="C84" t="s">
        <v>58</v>
      </c>
      <c r="D84" s="13" t="s">
        <v>59</v>
      </c>
      <c r="E84" s="13" t="s">
        <v>59</v>
      </c>
      <c r="F84" s="13">
        <v>0.94779999999999998</v>
      </c>
      <c r="G84" s="13" t="s">
        <v>59</v>
      </c>
      <c r="H84" s="13" t="s">
        <v>59</v>
      </c>
      <c r="I84" s="13" t="e">
        <f t="shared" si="9"/>
        <v>#VALUE!</v>
      </c>
      <c r="J84" s="13" t="e">
        <f t="shared" si="10"/>
        <v>#VALUE!</v>
      </c>
      <c r="K84" s="13">
        <f t="shared" si="11"/>
        <v>2.1999999999999797E-3</v>
      </c>
      <c r="L84" s="13" t="e">
        <f t="shared" si="12"/>
        <v>#VALUE!</v>
      </c>
      <c r="M84" s="13" t="e">
        <f t="shared" si="13"/>
        <v>#VALUE!</v>
      </c>
      <c r="N84" s="13" t="e">
        <f t="shared" si="14"/>
        <v>#VALUE!</v>
      </c>
    </row>
    <row r="85" spans="1:14" ht="15" thickTop="1" x14ac:dyDescent="0.3">
      <c r="A85" s="1" t="s">
        <v>56</v>
      </c>
      <c r="B85" s="1">
        <v>20</v>
      </c>
      <c r="C85" s="10" t="s">
        <v>92</v>
      </c>
      <c r="D85" s="12">
        <v>0.98595787362086296</v>
      </c>
      <c r="E85" s="12">
        <v>0.91096305269533595</v>
      </c>
      <c r="F85" s="12">
        <v>0.95325977933801398</v>
      </c>
      <c r="G85" s="12">
        <v>0.951281766729553</v>
      </c>
      <c r="H85" s="12">
        <v>0.97434402332361503</v>
      </c>
      <c r="I85" s="13">
        <f t="shared" si="9"/>
        <v>-3.5957873620863001E-2</v>
      </c>
      <c r="J85" s="13">
        <f t="shared" si="10"/>
        <v>3.9036947304664005E-2</v>
      </c>
      <c r="K85" s="13">
        <f t="shared" si="11"/>
        <v>-3.2597793380140239E-3</v>
      </c>
      <c r="L85" s="13">
        <f t="shared" si="12"/>
        <v>-1.2817667295530466E-3</v>
      </c>
      <c r="M85" s="13">
        <f t="shared" si="13"/>
        <v>-2.4344023323615072E-2</v>
      </c>
      <c r="N85" s="13">
        <f t="shared" si="14"/>
        <v>-5.1612991414762277E-3</v>
      </c>
    </row>
    <row r="86" spans="1:14" x14ac:dyDescent="0.3">
      <c r="A86" t="s">
        <v>56</v>
      </c>
      <c r="B86">
        <v>50</v>
      </c>
      <c r="C86" s="11" t="s">
        <v>92</v>
      </c>
      <c r="D86" s="13">
        <v>0.9244</v>
      </c>
      <c r="E86" s="13">
        <v>0.94447803305118905</v>
      </c>
      <c r="F86" s="13">
        <v>0.94542905777510799</v>
      </c>
      <c r="G86" s="13">
        <v>0.94095604618189199</v>
      </c>
      <c r="H86" s="13">
        <v>0.975695554844899</v>
      </c>
      <c r="I86" s="13">
        <f t="shared" si="9"/>
        <v>2.5599999999999956E-2</v>
      </c>
      <c r="J86" s="13">
        <f t="shared" si="10"/>
        <v>5.521966948810908E-3</v>
      </c>
      <c r="K86" s="13">
        <f t="shared" si="11"/>
        <v>4.5709422248919607E-3</v>
      </c>
      <c r="L86" s="13">
        <f t="shared" si="12"/>
        <v>9.0439538181079637E-3</v>
      </c>
      <c r="M86" s="13">
        <f t="shared" si="13"/>
        <v>-2.5695554844899049E-2</v>
      </c>
      <c r="N86" s="13">
        <f t="shared" si="14"/>
        <v>3.8082616293823477E-3</v>
      </c>
    </row>
    <row r="87" spans="1:14" ht="15" thickBot="1" x14ac:dyDescent="0.35">
      <c r="A87" t="s">
        <v>56</v>
      </c>
      <c r="B87">
        <v>100</v>
      </c>
      <c r="C87" s="11" t="s">
        <v>92</v>
      </c>
      <c r="D87" s="13">
        <v>0.94013058764440005</v>
      </c>
      <c r="E87" s="13">
        <v>0.95436687821094002</v>
      </c>
      <c r="F87" s="13">
        <v>0.94743692430917104</v>
      </c>
      <c r="G87" s="13">
        <v>0.95456839979808195</v>
      </c>
      <c r="H87" s="13">
        <v>0.94084877949964596</v>
      </c>
      <c r="I87" s="13">
        <f t="shared" si="9"/>
        <v>9.8694123555999047E-3</v>
      </c>
      <c r="J87" s="13">
        <f t="shared" si="10"/>
        <v>-4.3668782109400617E-3</v>
      </c>
      <c r="K87" s="13">
        <f t="shared" si="11"/>
        <v>2.5630756908289198E-3</v>
      </c>
      <c r="L87" s="13">
        <f t="shared" si="12"/>
        <v>-4.5683997980819901E-3</v>
      </c>
      <c r="M87" s="13">
        <f t="shared" si="13"/>
        <v>9.1512205003539959E-3</v>
      </c>
      <c r="N87" s="13">
        <f t="shared" si="14"/>
        <v>2.5296861075521536E-3</v>
      </c>
    </row>
    <row r="88" spans="1:14" ht="15" thickTop="1" x14ac:dyDescent="0.3">
      <c r="A88" s="1" t="s">
        <v>57</v>
      </c>
      <c r="B88" s="1">
        <v>20</v>
      </c>
      <c r="C88" s="10" t="s">
        <v>92</v>
      </c>
      <c r="D88" s="12">
        <v>0.99529999999999996</v>
      </c>
      <c r="E88" s="12">
        <v>0.97099999999999997</v>
      </c>
      <c r="F88" s="12">
        <v>0.95669999999999999</v>
      </c>
      <c r="G88" s="12">
        <v>0.922970822281167</v>
      </c>
      <c r="H88" s="12">
        <v>0.97991598844841199</v>
      </c>
      <c r="I88" s="13">
        <f t="shared" ref="I88:I93" si="15">0.95-D88</f>
        <v>-4.5300000000000007E-2</v>
      </c>
      <c r="J88" s="13">
        <f t="shared" ref="J88:J93" si="16">0.95-E88</f>
        <v>-2.1000000000000019E-2</v>
      </c>
      <c r="K88" s="13">
        <f t="shared" ref="K88:K93" si="17">0.95-F88</f>
        <v>-6.7000000000000393E-3</v>
      </c>
      <c r="L88" s="13">
        <f t="shared" ref="L88:L93" si="18">0.95-G88</f>
        <v>2.7029177718832953E-2</v>
      </c>
      <c r="M88" s="13">
        <f t="shared" ref="M88:M93" si="19">0.95-H88</f>
        <v>-2.9915988448412034E-2</v>
      </c>
      <c r="N88" s="13">
        <f t="shared" ref="N88:N93" si="20">AVERAGE(I88:M88)</f>
        <v>-1.517736214591583E-2</v>
      </c>
    </row>
    <row r="89" spans="1:14" x14ac:dyDescent="0.3">
      <c r="A89" t="s">
        <v>57</v>
      </c>
      <c r="B89">
        <v>50</v>
      </c>
      <c r="C89" s="11" t="s">
        <v>92</v>
      </c>
      <c r="D89" s="13">
        <v>0.96330000000000005</v>
      </c>
      <c r="E89" s="13">
        <v>0.95689999999999997</v>
      </c>
      <c r="F89" s="13">
        <v>0.94859485948594902</v>
      </c>
      <c r="G89" s="13">
        <v>0.943965079687341</v>
      </c>
      <c r="H89" s="13">
        <v>0.960578737680856</v>
      </c>
      <c r="I89" s="13">
        <f t="shared" si="15"/>
        <v>-1.330000000000009E-2</v>
      </c>
      <c r="J89" s="13">
        <f t="shared" si="16"/>
        <v>-6.9000000000000172E-3</v>
      </c>
      <c r="K89" s="13">
        <f t="shared" si="17"/>
        <v>1.4051405140509399E-3</v>
      </c>
      <c r="L89" s="13">
        <f t="shared" si="18"/>
        <v>6.0349203126589535E-3</v>
      </c>
      <c r="M89" s="13">
        <f t="shared" si="19"/>
        <v>-1.0578737680856043E-2</v>
      </c>
      <c r="N89" s="13">
        <f t="shared" si="20"/>
        <v>-4.6677353708292511E-3</v>
      </c>
    </row>
    <row r="90" spans="1:14" ht="15" thickBot="1" x14ac:dyDescent="0.35">
      <c r="A90" t="s">
        <v>57</v>
      </c>
      <c r="B90">
        <v>100</v>
      </c>
      <c r="C90" s="11" t="s">
        <v>92</v>
      </c>
      <c r="D90" s="13">
        <v>0.95699999999999996</v>
      </c>
      <c r="E90" s="13">
        <v>0.95420000000000005</v>
      </c>
      <c r="F90" s="13">
        <v>0.94989999999999997</v>
      </c>
      <c r="G90" s="13">
        <v>0.95826192156467405</v>
      </c>
      <c r="H90" s="13">
        <v>0.94042293615290795</v>
      </c>
      <c r="I90" s="13">
        <f t="shared" si="15"/>
        <v>-7.0000000000000062E-3</v>
      </c>
      <c r="J90" s="13">
        <f t="shared" si="16"/>
        <v>-4.2000000000000925E-3</v>
      </c>
      <c r="K90" s="13">
        <f t="shared" si="17"/>
        <v>9.9999999999988987E-5</v>
      </c>
      <c r="L90" s="13">
        <f t="shared" si="18"/>
        <v>-8.2619215646740907E-3</v>
      </c>
      <c r="M90" s="13">
        <f t="shared" si="19"/>
        <v>9.5770638470920044E-3</v>
      </c>
      <c r="N90" s="13">
        <f t="shared" si="20"/>
        <v>-1.9569715435164394E-3</v>
      </c>
    </row>
    <row r="91" spans="1:14" ht="15" thickTop="1" x14ac:dyDescent="0.3">
      <c r="A91" s="1" t="s">
        <v>31</v>
      </c>
      <c r="B91" s="1">
        <v>20</v>
      </c>
      <c r="C91" s="10" t="s">
        <v>92</v>
      </c>
      <c r="D91" s="12">
        <v>0.982688803401498</v>
      </c>
      <c r="E91" s="12">
        <v>0.90015282730514501</v>
      </c>
      <c r="F91" s="12">
        <v>0.95347673836918501</v>
      </c>
      <c r="G91" s="12">
        <v>0.91488052507435103</v>
      </c>
      <c r="H91" s="12">
        <v>0.98011494252873599</v>
      </c>
      <c r="I91" s="13">
        <f t="shared" si="15"/>
        <v>-3.2688803401498046E-2</v>
      </c>
      <c r="J91" s="13">
        <f t="shared" si="16"/>
        <v>4.9847172694854947E-2</v>
      </c>
      <c r="K91" s="13">
        <f t="shared" si="17"/>
        <v>-3.4767383691850506E-3</v>
      </c>
      <c r="L91" s="13">
        <f t="shared" si="18"/>
        <v>3.511947492564893E-2</v>
      </c>
      <c r="M91" s="13">
        <f t="shared" si="19"/>
        <v>-3.0114942528736033E-2</v>
      </c>
      <c r="N91" s="13">
        <f t="shared" si="20"/>
        <v>3.7372326642169497E-3</v>
      </c>
    </row>
    <row r="92" spans="1:14" x14ac:dyDescent="0.3">
      <c r="A92" t="s">
        <v>31</v>
      </c>
      <c r="B92">
        <v>50</v>
      </c>
      <c r="C92" s="11" t="s">
        <v>92</v>
      </c>
      <c r="D92" s="13">
        <v>0.91520000000000001</v>
      </c>
      <c r="E92" s="13">
        <v>0.94152165115337905</v>
      </c>
      <c r="F92" s="13">
        <v>0.94649464946494599</v>
      </c>
      <c r="G92" s="13">
        <v>0.94604679306171802</v>
      </c>
      <c r="H92" s="13">
        <v>0.942133443163097</v>
      </c>
      <c r="I92" s="13">
        <f t="shared" si="15"/>
        <v>3.4799999999999942E-2</v>
      </c>
      <c r="J92" s="13">
        <f t="shared" si="16"/>
        <v>8.4783488466209089E-3</v>
      </c>
      <c r="K92" s="13">
        <f t="shared" si="17"/>
        <v>3.5053505350539638E-3</v>
      </c>
      <c r="L92" s="13">
        <f t="shared" si="18"/>
        <v>3.953206938281939E-3</v>
      </c>
      <c r="M92" s="13">
        <f t="shared" si="19"/>
        <v>7.8665568369029604E-3</v>
      </c>
      <c r="N92" s="13">
        <f t="shared" si="20"/>
        <v>1.1720692631371942E-2</v>
      </c>
    </row>
    <row r="93" spans="1:14" x14ac:dyDescent="0.3">
      <c r="A93" t="s">
        <v>31</v>
      </c>
      <c r="B93">
        <v>100</v>
      </c>
      <c r="C93" s="11" t="s">
        <v>92</v>
      </c>
      <c r="D93" s="13">
        <v>0.93867258422432898</v>
      </c>
      <c r="E93" s="13">
        <v>0.95121212121212095</v>
      </c>
      <c r="F93" s="13">
        <v>0.95148544563368997</v>
      </c>
      <c r="G93" s="13">
        <v>0.95405649944706905</v>
      </c>
      <c r="H93" s="13">
        <v>0.94448391352887495</v>
      </c>
      <c r="I93" s="13">
        <f t="shared" si="15"/>
        <v>1.1327415775670979E-2</v>
      </c>
      <c r="J93" s="13">
        <f t="shared" si="16"/>
        <v>-1.2121212121209979E-3</v>
      </c>
      <c r="K93" s="13">
        <f t="shared" si="17"/>
        <v>-1.485445633690019E-3</v>
      </c>
      <c r="L93" s="13">
        <f t="shared" si="18"/>
        <v>-4.0564994470690952E-3</v>
      </c>
      <c r="M93" s="13">
        <f t="shared" si="19"/>
        <v>5.5160864711250035E-3</v>
      </c>
      <c r="N93" s="13">
        <f t="shared" si="20"/>
        <v>2.0178871907831743E-3</v>
      </c>
    </row>
  </sheetData>
  <sortState xmlns:xlrd2="http://schemas.microsoft.com/office/spreadsheetml/2017/richdata2" ref="A4:H93">
    <sortCondition ref="C4:C93"/>
    <sortCondition ref="A4:A93"/>
    <sortCondition ref="B4:B93"/>
  </sortState>
  <conditionalFormatting sqref="D4:H93">
    <cfRule type="colorScale" priority="156">
      <colorScale>
        <cfvo type="min"/>
        <cfvo type="num" val="0.95"/>
        <cfvo type="max"/>
        <color theme="7" tint="0.59999389629810485"/>
        <color rgb="FF92D050"/>
        <color rgb="FFFF0000"/>
      </colorScale>
    </cfRule>
  </conditionalFormatting>
  <conditionalFormatting sqref="N4:N93">
    <cfRule type="colorScale" priority="158">
      <colorScale>
        <cfvo type="min"/>
        <cfvo type="num" val="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9E049-BE47-4155-9EC9-E08F71E5618E}">
  <dimension ref="A1:Q27"/>
  <sheetViews>
    <sheetView workbookViewId="0">
      <selection activeCell="G2" sqref="G2"/>
    </sheetView>
  </sheetViews>
  <sheetFormatPr defaultRowHeight="14.4" x14ac:dyDescent="0.3"/>
  <cols>
    <col min="1" max="1" width="6.6640625" bestFit="1" customWidth="1"/>
    <col min="2" max="2" width="19" bestFit="1" customWidth="1"/>
    <col min="3" max="4" width="7.33203125" bestFit="1" customWidth="1"/>
    <col min="5" max="5" width="8.33203125" bestFit="1" customWidth="1"/>
    <col min="6" max="7" width="6.33203125" bestFit="1" customWidth="1"/>
    <col min="8" max="8" width="7.33203125" bestFit="1" customWidth="1"/>
    <col min="9" max="10" width="6.33203125" bestFit="1" customWidth="1"/>
    <col min="11" max="11" width="7.33203125" bestFit="1" customWidth="1"/>
    <col min="12" max="13" width="6.33203125" bestFit="1" customWidth="1"/>
    <col min="14" max="16" width="7.33203125" bestFit="1" customWidth="1"/>
    <col min="17" max="17" width="8.33203125" bestFit="1" customWidth="1"/>
  </cols>
  <sheetData>
    <row r="1" spans="1:17" x14ac:dyDescent="0.3">
      <c r="B1" t="s">
        <v>116</v>
      </c>
      <c r="C1" s="42" t="str">
        <f>LEFT(C3,FIND("_",C3)-1)</f>
        <v>0.05</v>
      </c>
      <c r="D1" s="43"/>
      <c r="E1" s="44"/>
      <c r="F1" s="43" t="str">
        <f t="shared" ref="F1:Q1" si="0">LEFT(F3,FIND("_",F3)-1)</f>
        <v>0.1</v>
      </c>
      <c r="G1" s="43" t="str">
        <f t="shared" si="0"/>
        <v>0.1</v>
      </c>
      <c r="H1" s="44" t="str">
        <f t="shared" si="0"/>
        <v>0.1</v>
      </c>
      <c r="I1" s="43" t="str">
        <f t="shared" si="0"/>
        <v>0.5</v>
      </c>
      <c r="J1" s="43" t="str">
        <f t="shared" si="0"/>
        <v>0.5</v>
      </c>
      <c r="K1" s="44" t="str">
        <f t="shared" si="0"/>
        <v>0.5</v>
      </c>
      <c r="L1" s="43" t="str">
        <f t="shared" si="0"/>
        <v>0.9</v>
      </c>
      <c r="M1" s="43" t="str">
        <f t="shared" si="0"/>
        <v>0.9</v>
      </c>
      <c r="N1" s="44" t="str">
        <f t="shared" si="0"/>
        <v>0.9</v>
      </c>
      <c r="O1" s="43" t="str">
        <f t="shared" si="0"/>
        <v>0.95</v>
      </c>
      <c r="P1" s="43" t="str">
        <f t="shared" si="0"/>
        <v>0.95</v>
      </c>
      <c r="Q1" s="44" t="str">
        <f t="shared" si="0"/>
        <v>0.95</v>
      </c>
    </row>
    <row r="2" spans="1:17" x14ac:dyDescent="0.3">
      <c r="B2" t="s">
        <v>1</v>
      </c>
      <c r="C2" s="18" t="str">
        <f t="shared" ref="C2:Q2" si="1">RIGHT(C3,LEN(C3)-FIND("_",C3))</f>
        <v>20</v>
      </c>
      <c r="D2" t="str">
        <f t="shared" si="1"/>
        <v>50</v>
      </c>
      <c r="E2" s="19" t="str">
        <f t="shared" si="1"/>
        <v>100</v>
      </c>
      <c r="F2" t="str">
        <f t="shared" si="1"/>
        <v>20</v>
      </c>
      <c r="G2" t="str">
        <f t="shared" si="1"/>
        <v>50</v>
      </c>
      <c r="H2" s="19" t="str">
        <f t="shared" si="1"/>
        <v>100</v>
      </c>
      <c r="I2" t="str">
        <f t="shared" si="1"/>
        <v>20</v>
      </c>
      <c r="J2" t="str">
        <f t="shared" si="1"/>
        <v>50</v>
      </c>
      <c r="K2" s="19" t="str">
        <f t="shared" si="1"/>
        <v>100</v>
      </c>
      <c r="L2" t="str">
        <f t="shared" si="1"/>
        <v>20</v>
      </c>
      <c r="M2" t="str">
        <f t="shared" si="1"/>
        <v>50</v>
      </c>
      <c r="N2" s="19" t="str">
        <f t="shared" si="1"/>
        <v>100</v>
      </c>
      <c r="O2" t="str">
        <f t="shared" si="1"/>
        <v>20</v>
      </c>
      <c r="P2" t="str">
        <f t="shared" si="1"/>
        <v>50</v>
      </c>
      <c r="Q2" s="19" t="str">
        <f t="shared" si="1"/>
        <v>100</v>
      </c>
    </row>
    <row r="3" spans="1:17" ht="15" thickBot="1" x14ac:dyDescent="0.35">
      <c r="A3" t="s">
        <v>0</v>
      </c>
      <c r="B3" t="s">
        <v>117</v>
      </c>
      <c r="C3" s="18" t="s">
        <v>101</v>
      </c>
      <c r="D3" t="s">
        <v>102</v>
      </c>
      <c r="E3" s="19" t="s">
        <v>103</v>
      </c>
      <c r="F3" t="s">
        <v>104</v>
      </c>
      <c r="G3" t="s">
        <v>105</v>
      </c>
      <c r="H3" s="19" t="s">
        <v>106</v>
      </c>
      <c r="I3" t="s">
        <v>107</v>
      </c>
      <c r="J3" t="s">
        <v>108</v>
      </c>
      <c r="K3" s="19" t="s">
        <v>109</v>
      </c>
      <c r="L3" t="s">
        <v>110</v>
      </c>
      <c r="M3" t="s">
        <v>111</v>
      </c>
      <c r="N3" s="19" t="s">
        <v>112</v>
      </c>
      <c r="O3" t="s">
        <v>113</v>
      </c>
      <c r="P3" t="s">
        <v>114</v>
      </c>
      <c r="Q3" s="19" t="s">
        <v>115</v>
      </c>
    </row>
    <row r="4" spans="1:17" x14ac:dyDescent="0.3">
      <c r="A4" s="16" t="s">
        <v>56</v>
      </c>
      <c r="B4" s="16" t="s">
        <v>34</v>
      </c>
      <c r="C4" s="20">
        <v>0.97554092191909703</v>
      </c>
      <c r="D4" s="17">
        <v>0.97978596908442295</v>
      </c>
      <c r="E4" s="21">
        <v>0.95855964594649001</v>
      </c>
      <c r="F4" s="17">
        <v>0.98085202809879901</v>
      </c>
      <c r="G4" s="17">
        <v>0.95612799356007205</v>
      </c>
      <c r="H4" s="21">
        <v>0.95209999999999995</v>
      </c>
      <c r="I4" s="17">
        <v>0.94930000000000003</v>
      </c>
      <c r="J4" s="17">
        <v>0.95499999999999996</v>
      </c>
      <c r="K4" s="21">
        <v>0.9506</v>
      </c>
      <c r="L4" s="17">
        <v>0.977653631284916</v>
      </c>
      <c r="M4" s="17">
        <v>0.95719883452225496</v>
      </c>
      <c r="N4" s="21">
        <v>0.95009999999999994</v>
      </c>
      <c r="O4" s="17">
        <v>0.96902303415409097</v>
      </c>
      <c r="P4" s="17">
        <v>0.98019266154345697</v>
      </c>
      <c r="Q4" s="21">
        <v>0.96185587761674696</v>
      </c>
    </row>
    <row r="5" spans="1:17" x14ac:dyDescent="0.3">
      <c r="A5" t="s">
        <v>56</v>
      </c>
      <c r="B5" t="s">
        <v>33</v>
      </c>
      <c r="C5" s="22">
        <v>0.39644401729937501</v>
      </c>
      <c r="D5" s="15">
        <v>0.91349999999999998</v>
      </c>
      <c r="E5" s="23">
        <v>0.91715399610136406</v>
      </c>
      <c r="F5" s="15">
        <v>0.82022156780255195</v>
      </c>
      <c r="G5" s="15">
        <v>0.926835196888673</v>
      </c>
      <c r="H5" s="23">
        <v>0.95020126509488201</v>
      </c>
      <c r="I5" s="15">
        <v>0.95640000000000003</v>
      </c>
      <c r="J5" s="15">
        <v>0.97060000000000002</v>
      </c>
      <c r="K5" s="23">
        <v>0.96509999999999996</v>
      </c>
      <c r="L5" s="15">
        <v>0.86509999999999998</v>
      </c>
      <c r="M5" s="15">
        <v>0.9385</v>
      </c>
      <c r="N5" s="23">
        <v>0.95520000000000005</v>
      </c>
      <c r="O5" s="15">
        <v>0.389221556886228</v>
      </c>
      <c r="P5" s="15">
        <v>0.91390000000000005</v>
      </c>
      <c r="Q5" s="23">
        <v>0.92098192476795304</v>
      </c>
    </row>
    <row r="6" spans="1:17" ht="15" thickBot="1" x14ac:dyDescent="0.35">
      <c r="A6" t="s">
        <v>56</v>
      </c>
      <c r="B6" t="s">
        <v>83</v>
      </c>
      <c r="C6" s="22">
        <v>0.87016042780748704</v>
      </c>
      <c r="D6" s="15">
        <v>0.92199437072778401</v>
      </c>
      <c r="E6" s="23">
        <v>0.94778955791158204</v>
      </c>
      <c r="F6" s="15">
        <v>0.911049553708833</v>
      </c>
      <c r="G6" s="15">
        <v>0.950080032012805</v>
      </c>
      <c r="H6" s="23">
        <v>0.95179999999999998</v>
      </c>
      <c r="I6" s="15">
        <v>0.94520000000000004</v>
      </c>
      <c r="J6" s="15">
        <v>0.95299999999999996</v>
      </c>
      <c r="K6" s="23">
        <v>0.94830000000000003</v>
      </c>
      <c r="L6" s="15">
        <v>0.949314915896179</v>
      </c>
      <c r="M6" s="15">
        <v>0.94451703688812905</v>
      </c>
      <c r="N6" s="23">
        <v>0.95046036829463598</v>
      </c>
      <c r="O6" s="15">
        <v>0.90725288831835704</v>
      </c>
      <c r="P6" s="15">
        <v>0.96226815050344505</v>
      </c>
      <c r="Q6" s="23">
        <v>0.94584434058118305</v>
      </c>
    </row>
    <row r="7" spans="1:17" x14ac:dyDescent="0.3">
      <c r="A7" s="16" t="s">
        <v>56</v>
      </c>
      <c r="B7" s="16" t="s">
        <v>87</v>
      </c>
      <c r="C7" s="20">
        <v>0.86352941176470599</v>
      </c>
      <c r="D7" s="17">
        <v>0.91596300763972704</v>
      </c>
      <c r="E7" s="21">
        <v>0.94018803760752101</v>
      </c>
      <c r="F7" s="17">
        <v>0.90550938750384702</v>
      </c>
      <c r="G7" s="17">
        <v>0.94247699079631897</v>
      </c>
      <c r="H7" s="21">
        <v>0.94750000000000001</v>
      </c>
      <c r="I7" s="17">
        <v>0.94320000000000004</v>
      </c>
      <c r="J7" s="17">
        <v>0.95130000000000003</v>
      </c>
      <c r="K7" s="21">
        <v>0.94810000000000005</v>
      </c>
      <c r="L7" s="17">
        <v>0.94664141695443904</v>
      </c>
      <c r="M7" s="17">
        <v>0.94140114584380297</v>
      </c>
      <c r="N7" s="21">
        <v>0.94865892714171296</v>
      </c>
      <c r="O7" s="17">
        <v>0.90356225930680401</v>
      </c>
      <c r="P7" s="17">
        <v>0.95887652358240605</v>
      </c>
      <c r="Q7" s="21">
        <v>0.94167852062588897</v>
      </c>
    </row>
    <row r="8" spans="1:17" x14ac:dyDescent="0.3">
      <c r="A8" t="s">
        <v>56</v>
      </c>
      <c r="B8" t="s">
        <v>55</v>
      </c>
      <c r="C8" s="22">
        <v>0.98540000000000005</v>
      </c>
      <c r="D8" s="15">
        <v>0.96240000000000003</v>
      </c>
      <c r="E8" s="23">
        <v>0.96440000000000003</v>
      </c>
      <c r="F8" s="15">
        <v>0.95709999999999995</v>
      </c>
      <c r="G8" s="15">
        <v>0.96740000000000004</v>
      </c>
      <c r="H8" s="23">
        <v>0.95669999999999999</v>
      </c>
      <c r="I8" s="15">
        <v>0.95640000000000003</v>
      </c>
      <c r="J8" s="15">
        <v>0.97060000000000002</v>
      </c>
      <c r="K8" s="23">
        <v>0.96509999999999996</v>
      </c>
      <c r="L8" s="15">
        <v>0.95409999999999995</v>
      </c>
      <c r="M8" s="15">
        <v>0.97060000000000002</v>
      </c>
      <c r="N8" s="23">
        <v>0.95520000000000005</v>
      </c>
      <c r="O8" s="15">
        <v>0.9829</v>
      </c>
      <c r="P8" s="15">
        <v>0.96399999999999997</v>
      </c>
      <c r="Q8" s="23">
        <v>0.96489999999999998</v>
      </c>
    </row>
    <row r="9" spans="1:17" ht="15" thickBot="1" x14ac:dyDescent="0.35">
      <c r="A9" t="s">
        <v>56</v>
      </c>
      <c r="B9" t="s">
        <v>32</v>
      </c>
      <c r="C9" s="22">
        <v>0.94429607020221296</v>
      </c>
      <c r="D9" s="15">
        <v>0.98746081504702199</v>
      </c>
      <c r="E9" s="23">
        <v>0.92368098159509204</v>
      </c>
      <c r="F9" s="15">
        <v>0.981870068826591</v>
      </c>
      <c r="G9" s="15">
        <v>0.93387215282880198</v>
      </c>
      <c r="H9" s="23">
        <v>0.95020126509488201</v>
      </c>
      <c r="I9" s="15">
        <v>0.95640000000000003</v>
      </c>
      <c r="J9" s="15">
        <v>0.93789999999999996</v>
      </c>
      <c r="K9" s="23">
        <v>0.94399999999999995</v>
      </c>
      <c r="L9" s="15">
        <v>0.98631854976627498</v>
      </c>
      <c r="M9" s="15">
        <v>0.94293177936300598</v>
      </c>
      <c r="N9" s="23">
        <v>0.95520000000000005</v>
      </c>
      <c r="O9" s="15">
        <v>0.93525179856115104</v>
      </c>
      <c r="P9" s="15">
        <v>0.98917631778331006</v>
      </c>
      <c r="Q9" s="23">
        <v>0.92823732151649396</v>
      </c>
    </row>
    <row r="10" spans="1:17" x14ac:dyDescent="0.3">
      <c r="A10" s="16" t="s">
        <v>56</v>
      </c>
      <c r="B10" s="16" t="s">
        <v>58</v>
      </c>
      <c r="C10" s="20" t="s">
        <v>59</v>
      </c>
      <c r="D10" s="17" t="s">
        <v>59</v>
      </c>
      <c r="E10" s="21" t="s">
        <v>59</v>
      </c>
      <c r="F10" s="17" t="s">
        <v>59</v>
      </c>
      <c r="G10" s="17" t="s">
        <v>59</v>
      </c>
      <c r="H10" s="21" t="s">
        <v>59</v>
      </c>
      <c r="I10" s="17">
        <v>0.91539999999999999</v>
      </c>
      <c r="J10" s="17">
        <v>0.84970000000000001</v>
      </c>
      <c r="K10" s="21">
        <v>0.73270000000000002</v>
      </c>
      <c r="L10" s="17" t="s">
        <v>59</v>
      </c>
      <c r="M10" s="17" t="s">
        <v>59</v>
      </c>
      <c r="N10" s="21" t="s">
        <v>59</v>
      </c>
      <c r="O10" s="17" t="s">
        <v>59</v>
      </c>
      <c r="P10" s="17" t="s">
        <v>59</v>
      </c>
      <c r="Q10" s="21" t="s">
        <v>59</v>
      </c>
    </row>
    <row r="11" spans="1:17" x14ac:dyDescent="0.3">
      <c r="A11" t="s">
        <v>56</v>
      </c>
      <c r="B11" t="s">
        <v>92</v>
      </c>
      <c r="C11" s="22">
        <v>0.98595787362086296</v>
      </c>
      <c r="D11" s="15">
        <v>0.9244</v>
      </c>
      <c r="E11" s="23">
        <v>0.94013058764440005</v>
      </c>
      <c r="F11" s="15">
        <v>0.91096305269533595</v>
      </c>
      <c r="G11" s="15">
        <v>0.94447803305118905</v>
      </c>
      <c r="H11" s="23">
        <v>0.95436687821094002</v>
      </c>
      <c r="I11" s="15">
        <v>0.95325977933801398</v>
      </c>
      <c r="J11" s="15">
        <v>0.94542905777510799</v>
      </c>
      <c r="K11" s="23">
        <v>0.94743692430917104</v>
      </c>
      <c r="L11" s="15">
        <v>0.951281766729553</v>
      </c>
      <c r="M11" s="15">
        <v>0.94095604618189199</v>
      </c>
      <c r="N11" s="23">
        <v>0.95456839979808195</v>
      </c>
      <c r="O11" s="15">
        <v>0.97434402332361503</v>
      </c>
      <c r="P11" s="15">
        <v>0.975695554844899</v>
      </c>
      <c r="Q11" s="23">
        <v>0.94084877949964596</v>
      </c>
    </row>
    <row r="12" spans="1:17" ht="15" thickBot="1" x14ac:dyDescent="0.35">
      <c r="A12" t="s">
        <v>57</v>
      </c>
      <c r="B12" t="s">
        <v>34</v>
      </c>
      <c r="C12" s="22">
        <v>0.97523750194673697</v>
      </c>
      <c r="D12" s="15">
        <v>0.982764227642276</v>
      </c>
      <c r="E12" s="23">
        <v>0.95733977261293901</v>
      </c>
      <c r="F12" s="15">
        <v>0.980136208853575</v>
      </c>
      <c r="G12" s="15">
        <v>0.95459111914808104</v>
      </c>
      <c r="H12" s="23">
        <v>0.95020000000000004</v>
      </c>
      <c r="I12" s="15">
        <v>0.95340000000000003</v>
      </c>
      <c r="J12" s="15">
        <v>0.95189999999999997</v>
      </c>
      <c r="K12" s="23">
        <v>0.95109999999999995</v>
      </c>
      <c r="L12" s="15">
        <v>0.97744874715261998</v>
      </c>
      <c r="M12" s="15">
        <v>0.95826629123089302</v>
      </c>
      <c r="N12" s="23">
        <v>0.95569999999999999</v>
      </c>
      <c r="O12" s="15">
        <v>0.97404027690371298</v>
      </c>
      <c r="P12" s="15">
        <v>0.97923650913809901</v>
      </c>
      <c r="Q12" s="23">
        <v>0.96339869281045798</v>
      </c>
    </row>
    <row r="13" spans="1:17" x14ac:dyDescent="0.3">
      <c r="A13" s="16" t="s">
        <v>57</v>
      </c>
      <c r="B13" s="16" t="s">
        <v>33</v>
      </c>
      <c r="C13" s="20">
        <v>0.401830149301654</v>
      </c>
      <c r="D13" s="17">
        <v>0.91169999999999995</v>
      </c>
      <c r="E13" s="21">
        <v>0.91982237572468195</v>
      </c>
      <c r="F13" s="17">
        <v>0.81424757622593802</v>
      </c>
      <c r="G13" s="17">
        <v>0.92711656441717805</v>
      </c>
      <c r="H13" s="21">
        <v>0.94703584558823495</v>
      </c>
      <c r="I13" s="17">
        <v>0.96020000000000005</v>
      </c>
      <c r="J13" s="17">
        <v>0.96599999999999997</v>
      </c>
      <c r="K13" s="21">
        <v>0.96279999999999999</v>
      </c>
      <c r="L13" s="17">
        <v>0.86599999999999999</v>
      </c>
      <c r="M13" s="17">
        <v>0.94040000000000001</v>
      </c>
      <c r="N13" s="21">
        <v>0.95950000000000002</v>
      </c>
      <c r="O13" s="17">
        <v>0.39534512992188697</v>
      </c>
      <c r="P13" s="17">
        <v>0.91410000000000002</v>
      </c>
      <c r="Q13" s="21">
        <v>0.92166237587348299</v>
      </c>
    </row>
    <row r="14" spans="1:17" x14ac:dyDescent="0.3">
      <c r="A14" t="s">
        <v>57</v>
      </c>
      <c r="B14" t="s">
        <v>83</v>
      </c>
      <c r="C14" s="22">
        <v>0.61502300460091996</v>
      </c>
      <c r="D14" s="15">
        <v>0.69910000000000005</v>
      </c>
      <c r="E14" s="23">
        <v>0.81340000000000001</v>
      </c>
      <c r="F14" s="15">
        <v>0.882753101240496</v>
      </c>
      <c r="G14" s="15">
        <v>0.93300000000000005</v>
      </c>
      <c r="H14" s="23">
        <v>0.94379999999999997</v>
      </c>
      <c r="I14" s="15">
        <v>0.94540000000000002</v>
      </c>
      <c r="J14" s="15">
        <v>0.94850000000000001</v>
      </c>
      <c r="K14" s="23">
        <v>0.95030000000000003</v>
      </c>
      <c r="L14" s="15">
        <v>0.91849962809478303</v>
      </c>
      <c r="M14" s="15">
        <v>0.94791144946408901</v>
      </c>
      <c r="N14" s="23">
        <v>0.95469999999999999</v>
      </c>
      <c r="O14" s="15">
        <v>0.87889048053131902</v>
      </c>
      <c r="P14" s="15">
        <v>0.93511608623548903</v>
      </c>
      <c r="Q14" s="23">
        <v>0.94989979959919801</v>
      </c>
    </row>
    <row r="15" spans="1:17" ht="15" thickBot="1" x14ac:dyDescent="0.35">
      <c r="A15" t="s">
        <v>57</v>
      </c>
      <c r="B15" t="s">
        <v>87</v>
      </c>
      <c r="C15" s="22">
        <v>0.59801960392078402</v>
      </c>
      <c r="D15" s="15">
        <v>0.69240000000000002</v>
      </c>
      <c r="E15" s="23">
        <v>0.80869999999999997</v>
      </c>
      <c r="F15" s="15">
        <v>0.87414965986394599</v>
      </c>
      <c r="G15" s="15">
        <v>0.9294</v>
      </c>
      <c r="H15" s="23">
        <v>0.94140000000000001</v>
      </c>
      <c r="I15" s="15">
        <v>0.94269999999999998</v>
      </c>
      <c r="J15" s="15">
        <v>0.94730000000000003</v>
      </c>
      <c r="K15" s="23">
        <v>0.95009999999999994</v>
      </c>
      <c r="L15" s="15">
        <v>0.91403676548719603</v>
      </c>
      <c r="M15" s="15">
        <v>0.94170089151557601</v>
      </c>
      <c r="N15" s="23">
        <v>0.95269999999999999</v>
      </c>
      <c r="O15" s="15">
        <v>0.87276989191300902</v>
      </c>
      <c r="P15" s="15">
        <v>0.93159203980099503</v>
      </c>
      <c r="Q15" s="23">
        <v>0.94268537074148295</v>
      </c>
    </row>
    <row r="16" spans="1:17" x14ac:dyDescent="0.3">
      <c r="A16" s="16" t="s">
        <v>57</v>
      </c>
      <c r="B16" s="16" t="s">
        <v>55</v>
      </c>
      <c r="C16" s="20">
        <v>0.98529999999999995</v>
      </c>
      <c r="D16" s="17">
        <v>0.96340000000000003</v>
      </c>
      <c r="E16" s="21">
        <v>0.96660000000000001</v>
      </c>
      <c r="F16" s="17">
        <v>0.95669999999999999</v>
      </c>
      <c r="G16" s="17">
        <v>0.9677</v>
      </c>
      <c r="H16" s="21">
        <v>0.95389999999999997</v>
      </c>
      <c r="I16" s="17">
        <v>0.96020000000000005</v>
      </c>
      <c r="J16" s="17">
        <v>0.96599999999999997</v>
      </c>
      <c r="K16" s="21">
        <v>0.96279999999999999</v>
      </c>
      <c r="L16" s="17">
        <v>0.95409999999999995</v>
      </c>
      <c r="M16" s="17">
        <v>0.96950000000000003</v>
      </c>
      <c r="N16" s="21">
        <v>0.95950000000000002</v>
      </c>
      <c r="O16" s="17">
        <v>0.98509999999999998</v>
      </c>
      <c r="P16" s="17">
        <v>0.96250000000000002</v>
      </c>
      <c r="Q16" s="21">
        <v>0.96599999999999997</v>
      </c>
    </row>
    <row r="17" spans="1:17" x14ac:dyDescent="0.3">
      <c r="A17" t="s">
        <v>57</v>
      </c>
      <c r="B17" t="s">
        <v>32</v>
      </c>
      <c r="C17" s="22">
        <v>0.94452830188679204</v>
      </c>
      <c r="D17" s="15">
        <v>0.98829268292682904</v>
      </c>
      <c r="E17" s="23">
        <v>0.92679592344021899</v>
      </c>
      <c r="F17" s="15">
        <v>0.97772903661211397</v>
      </c>
      <c r="G17" s="15">
        <v>0.93237907206317905</v>
      </c>
      <c r="H17" s="23">
        <v>0.94703584558823495</v>
      </c>
      <c r="I17" s="15">
        <v>0.96020000000000005</v>
      </c>
      <c r="J17" s="15">
        <v>0.93559999999999999</v>
      </c>
      <c r="K17" s="23">
        <v>0.94550000000000001</v>
      </c>
      <c r="L17" s="15">
        <v>0.98633257403189101</v>
      </c>
      <c r="M17" s="15">
        <v>0.94569589702333101</v>
      </c>
      <c r="N17" s="23">
        <v>0.95950000000000002</v>
      </c>
      <c r="O17" s="15">
        <v>0.94332445796880904</v>
      </c>
      <c r="P17" s="15">
        <v>0.988536822753325</v>
      </c>
      <c r="Q17" s="23">
        <v>0.92791903233769402</v>
      </c>
    </row>
    <row r="18" spans="1:17" ht="15" thickBot="1" x14ac:dyDescent="0.35">
      <c r="A18" t="s">
        <v>57</v>
      </c>
      <c r="B18" t="s">
        <v>58</v>
      </c>
      <c r="C18" s="22" t="s">
        <v>59</v>
      </c>
      <c r="D18" s="15" t="s">
        <v>59</v>
      </c>
      <c r="E18" s="23" t="s">
        <v>59</v>
      </c>
      <c r="F18" s="15" t="s">
        <v>59</v>
      </c>
      <c r="G18" s="15" t="s">
        <v>59</v>
      </c>
      <c r="H18" s="23" t="s">
        <v>59</v>
      </c>
      <c r="I18" s="15">
        <v>0.90149999999999997</v>
      </c>
      <c r="J18" s="15">
        <v>0.78920000000000001</v>
      </c>
      <c r="K18" s="23">
        <v>0.61809999999999998</v>
      </c>
      <c r="L18" s="15" t="s">
        <v>59</v>
      </c>
      <c r="M18" s="15" t="s">
        <v>59</v>
      </c>
      <c r="N18" s="23" t="s">
        <v>59</v>
      </c>
      <c r="O18" s="15" t="s">
        <v>59</v>
      </c>
      <c r="P18" s="15" t="s">
        <v>59</v>
      </c>
      <c r="Q18" s="23" t="s">
        <v>59</v>
      </c>
    </row>
    <row r="19" spans="1:17" x14ac:dyDescent="0.3">
      <c r="A19" s="16" t="s">
        <v>57</v>
      </c>
      <c r="B19" s="16" t="s">
        <v>92</v>
      </c>
      <c r="C19" s="20">
        <v>0.99529999999999996</v>
      </c>
      <c r="D19" s="17">
        <v>0.96330000000000005</v>
      </c>
      <c r="E19" s="21">
        <v>0.95699999999999996</v>
      </c>
      <c r="F19" s="17">
        <v>0.97099999999999997</v>
      </c>
      <c r="G19" s="17">
        <v>0.95689999999999997</v>
      </c>
      <c r="H19" s="21">
        <v>0.95420000000000005</v>
      </c>
      <c r="I19" s="17">
        <v>0.95669999999999999</v>
      </c>
      <c r="J19" s="17">
        <v>0.94859485948594902</v>
      </c>
      <c r="K19" s="21">
        <v>0.94989999999999997</v>
      </c>
      <c r="L19" s="17">
        <v>0.922970822281167</v>
      </c>
      <c r="M19" s="17">
        <v>0.943965079687341</v>
      </c>
      <c r="N19" s="21">
        <v>0.95826192156467405</v>
      </c>
      <c r="O19" s="17">
        <v>0.97991598844841199</v>
      </c>
      <c r="P19" s="17">
        <v>0.960578737680856</v>
      </c>
      <c r="Q19" s="21">
        <v>0.94042293615290795</v>
      </c>
    </row>
    <row r="20" spans="1:17" x14ac:dyDescent="0.3">
      <c r="A20" t="s">
        <v>31</v>
      </c>
      <c r="B20" t="s">
        <v>34</v>
      </c>
      <c r="C20" s="22">
        <v>0.97132726992446405</v>
      </c>
      <c r="D20" s="15">
        <v>0.97908085844352899</v>
      </c>
      <c r="E20" s="23">
        <v>0.96092023307213204</v>
      </c>
      <c r="F20" s="15">
        <v>0.980499486828601</v>
      </c>
      <c r="G20" s="15">
        <v>0.95625502815768304</v>
      </c>
      <c r="H20" s="23">
        <v>0.94879999999999998</v>
      </c>
      <c r="I20" s="15">
        <v>0.94969999999999999</v>
      </c>
      <c r="J20" s="15">
        <v>0.95150000000000001</v>
      </c>
      <c r="K20" s="23">
        <v>0.95409999999999995</v>
      </c>
      <c r="L20" s="15">
        <v>0.97889720898570498</v>
      </c>
      <c r="M20" s="15">
        <v>0.95712851405622501</v>
      </c>
      <c r="N20" s="23">
        <v>0.95179999999999998</v>
      </c>
      <c r="O20" s="15">
        <v>0.97058823529411797</v>
      </c>
      <c r="P20" s="15">
        <v>0.97745013009540305</v>
      </c>
      <c r="Q20" s="23">
        <v>0.96459108741575295</v>
      </c>
    </row>
    <row r="21" spans="1:17" ht="15" thickBot="1" x14ac:dyDescent="0.35">
      <c r="A21" t="s">
        <v>31</v>
      </c>
      <c r="B21" t="s">
        <v>33</v>
      </c>
      <c r="C21" s="22">
        <v>0.41204665281993902</v>
      </c>
      <c r="D21" s="15">
        <v>0.91020000000000001</v>
      </c>
      <c r="E21" s="23">
        <v>0.92106224875136999</v>
      </c>
      <c r="F21" s="15">
        <v>0.81599002355549399</v>
      </c>
      <c r="G21" s="15">
        <v>0.92528311176760203</v>
      </c>
      <c r="H21" s="23">
        <v>0.94663017447827602</v>
      </c>
      <c r="I21" s="15">
        <v>0.95609999999999995</v>
      </c>
      <c r="J21" s="15">
        <v>0.96509999999999996</v>
      </c>
      <c r="K21" s="23">
        <v>0.96619999999999995</v>
      </c>
      <c r="L21" s="15">
        <v>0.86950000000000005</v>
      </c>
      <c r="M21" s="15">
        <v>0.94320000000000004</v>
      </c>
      <c r="N21" s="23">
        <v>0.95609999999999995</v>
      </c>
      <c r="O21" s="15">
        <v>0.40034937271716697</v>
      </c>
      <c r="P21" s="15">
        <v>0.91020000000000001</v>
      </c>
      <c r="Q21" s="23">
        <v>0.92446351931330495</v>
      </c>
    </row>
    <row r="22" spans="1:17" x14ac:dyDescent="0.3">
      <c r="A22" s="16" t="s">
        <v>31</v>
      </c>
      <c r="B22" s="16" t="s">
        <v>83</v>
      </c>
      <c r="C22" s="20">
        <v>0.84098620221669296</v>
      </c>
      <c r="D22" s="17">
        <v>0.916166446230542</v>
      </c>
      <c r="E22" s="21">
        <v>0.95327663831915999</v>
      </c>
      <c r="F22" s="17">
        <v>0.90279929759322397</v>
      </c>
      <c r="G22" s="17">
        <v>0.94715772618094496</v>
      </c>
      <c r="H22" s="21">
        <v>0.94599999999999995</v>
      </c>
      <c r="I22" s="17">
        <v>0.95109999999999995</v>
      </c>
      <c r="J22" s="17">
        <v>0.94820000000000004</v>
      </c>
      <c r="K22" s="21">
        <v>0.95099999999999996</v>
      </c>
      <c r="L22" s="17">
        <v>0.90314270994332801</v>
      </c>
      <c r="M22" s="17">
        <v>0.95036028823058405</v>
      </c>
      <c r="N22" s="21">
        <v>0.95230000000000004</v>
      </c>
      <c r="O22" s="17">
        <v>0.84270809707416605</v>
      </c>
      <c r="P22" s="17">
        <v>0.91249619327986997</v>
      </c>
      <c r="Q22" s="21">
        <v>0.95366293034427496</v>
      </c>
    </row>
    <row r="23" spans="1:17" x14ac:dyDescent="0.3">
      <c r="A23" t="s">
        <v>31</v>
      </c>
      <c r="B23" t="s">
        <v>87</v>
      </c>
      <c r="C23" s="22">
        <v>0.83453969690115404</v>
      </c>
      <c r="D23" s="15">
        <v>0.91016380099704997</v>
      </c>
      <c r="E23" s="23">
        <v>0.94247123561780899</v>
      </c>
      <c r="F23" s="15">
        <v>0.89639500051647603</v>
      </c>
      <c r="G23" s="15">
        <v>0.93915132105684596</v>
      </c>
      <c r="H23" s="23">
        <v>0.94330000000000003</v>
      </c>
      <c r="I23" s="15">
        <v>0.94750000000000001</v>
      </c>
      <c r="J23" s="15">
        <v>0.94730000000000003</v>
      </c>
      <c r="K23" s="23">
        <v>0.95069999999999999</v>
      </c>
      <c r="L23" s="15">
        <v>0.89850592478104097</v>
      </c>
      <c r="M23" s="15">
        <v>0.94365492393915096</v>
      </c>
      <c r="N23" s="23">
        <v>0.94930000000000003</v>
      </c>
      <c r="O23" s="15">
        <v>0.83374914946699896</v>
      </c>
      <c r="P23" s="15">
        <v>0.90782661658714803</v>
      </c>
      <c r="Q23" s="23">
        <v>0.94565652522017596</v>
      </c>
    </row>
    <row r="24" spans="1:17" ht="15" thickBot="1" x14ac:dyDescent="0.35">
      <c r="A24" t="s">
        <v>31</v>
      </c>
      <c r="B24" t="s">
        <v>55</v>
      </c>
      <c r="C24" s="22">
        <v>0.98329999999999995</v>
      </c>
      <c r="D24" s="15">
        <v>0.96140000000000003</v>
      </c>
      <c r="E24" s="23">
        <v>0.96599999999999997</v>
      </c>
      <c r="F24" s="15">
        <v>0.95889999999999997</v>
      </c>
      <c r="G24" s="15">
        <v>0.97030000000000005</v>
      </c>
      <c r="H24" s="23">
        <v>0.95320000000000005</v>
      </c>
      <c r="I24" s="15">
        <v>0.95609999999999995</v>
      </c>
      <c r="J24" s="15">
        <v>0.96509999999999996</v>
      </c>
      <c r="K24" s="23">
        <v>0.96619999999999995</v>
      </c>
      <c r="L24" s="15">
        <v>0.9526</v>
      </c>
      <c r="M24" s="15">
        <v>0.97089999999999999</v>
      </c>
      <c r="N24" s="23">
        <v>0.95609999999999995</v>
      </c>
      <c r="O24" s="15">
        <v>0.98319999999999996</v>
      </c>
      <c r="P24" s="15">
        <v>0.96020000000000005</v>
      </c>
      <c r="Q24" s="23">
        <v>0.96499999999999997</v>
      </c>
    </row>
    <row r="25" spans="1:17" x14ac:dyDescent="0.3">
      <c r="A25" s="16" t="s">
        <v>31</v>
      </c>
      <c r="B25" s="16" t="s">
        <v>32</v>
      </c>
      <c r="C25" s="20">
        <v>0.93918426802622001</v>
      </c>
      <c r="D25" s="17">
        <v>0.98655972252330404</v>
      </c>
      <c r="E25" s="21">
        <v>0.92625260320960401</v>
      </c>
      <c r="F25" s="17">
        <v>0.983795522886736</v>
      </c>
      <c r="G25" s="17">
        <v>0.93170550322260803</v>
      </c>
      <c r="H25" s="21">
        <v>0.94663017447827602</v>
      </c>
      <c r="I25" s="17">
        <v>0.95609999999999995</v>
      </c>
      <c r="J25" s="17">
        <v>0.93489999999999995</v>
      </c>
      <c r="K25" s="21">
        <v>0.94610000000000005</v>
      </c>
      <c r="L25" s="17">
        <v>0.98649875198547798</v>
      </c>
      <c r="M25" s="17">
        <v>0.94698795180722894</v>
      </c>
      <c r="N25" s="21">
        <v>0.95609999999999995</v>
      </c>
      <c r="O25" s="17">
        <v>0.93752324284120503</v>
      </c>
      <c r="P25" s="17">
        <v>0.98677363399826501</v>
      </c>
      <c r="Q25" s="21">
        <v>0.93120059288537504</v>
      </c>
    </row>
    <row r="26" spans="1:17" x14ac:dyDescent="0.3">
      <c r="A26" t="s">
        <v>31</v>
      </c>
      <c r="B26" t="s">
        <v>58</v>
      </c>
      <c r="C26" s="22" t="s">
        <v>59</v>
      </c>
      <c r="D26" s="15" t="s">
        <v>59</v>
      </c>
      <c r="E26" s="23" t="s">
        <v>59</v>
      </c>
      <c r="F26" s="15" t="s">
        <v>59</v>
      </c>
      <c r="G26" s="15" t="s">
        <v>59</v>
      </c>
      <c r="H26" s="23" t="s">
        <v>59</v>
      </c>
      <c r="I26" s="15">
        <v>0.95430000000000004</v>
      </c>
      <c r="J26" s="15">
        <v>0.95020000000000004</v>
      </c>
      <c r="K26" s="23">
        <v>0.94779999999999998</v>
      </c>
      <c r="L26" s="15" t="s">
        <v>59</v>
      </c>
      <c r="M26" s="15" t="s">
        <v>59</v>
      </c>
      <c r="N26" s="23" t="s">
        <v>59</v>
      </c>
      <c r="O26" s="15" t="s">
        <v>59</v>
      </c>
      <c r="P26" s="15" t="s">
        <v>59</v>
      </c>
      <c r="Q26" s="23" t="s">
        <v>59</v>
      </c>
    </row>
    <row r="27" spans="1:17" ht="15" thickBot="1" x14ac:dyDescent="0.35">
      <c r="A27" t="s">
        <v>31</v>
      </c>
      <c r="B27" t="s">
        <v>92</v>
      </c>
      <c r="C27" s="24">
        <v>0.982688803401498</v>
      </c>
      <c r="D27" s="25">
        <v>0.91520000000000001</v>
      </c>
      <c r="E27" s="26">
        <v>0.93867258422432898</v>
      </c>
      <c r="F27" s="25">
        <v>0.90015282730514501</v>
      </c>
      <c r="G27" s="25">
        <v>0.94152165115337905</v>
      </c>
      <c r="H27" s="26">
        <v>0.95121212121212095</v>
      </c>
      <c r="I27" s="25">
        <v>0.95347673836918501</v>
      </c>
      <c r="J27" s="25">
        <v>0.94649464946494599</v>
      </c>
      <c r="K27" s="26">
        <v>0.95148544563368997</v>
      </c>
      <c r="L27" s="25">
        <v>0.91488052507435103</v>
      </c>
      <c r="M27" s="25">
        <v>0.94604679306171802</v>
      </c>
      <c r="N27" s="26">
        <v>0.95405649944706905</v>
      </c>
      <c r="O27" s="25">
        <v>0.98011494252873599</v>
      </c>
      <c r="P27" s="25">
        <v>0.942133443163097</v>
      </c>
      <c r="Q27" s="26">
        <v>0.94448391352887495</v>
      </c>
    </row>
  </sheetData>
  <sortState xmlns:xlrd2="http://schemas.microsoft.com/office/spreadsheetml/2017/richdata2" ref="A4:Q27">
    <sortCondition ref="A4:A27"/>
    <sortCondition ref="B4:B27"/>
  </sortState>
  <mergeCells count="5">
    <mergeCell ref="C1:E1"/>
    <mergeCell ref="F1:H1"/>
    <mergeCell ref="I1:K1"/>
    <mergeCell ref="L1:N1"/>
    <mergeCell ref="O1:Q1"/>
  </mergeCells>
  <conditionalFormatting sqref="C4:Q27">
    <cfRule type="colorScale" priority="164">
      <colorScale>
        <cfvo type="min"/>
        <cfvo type="num" val="0.95"/>
        <cfvo type="max"/>
        <color rgb="FF5A8AC6"/>
        <color rgb="FF92D050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0D13A-B8CF-4216-AF7F-FC23EB0304EF}">
  <sheetPr filterMode="1"/>
  <dimension ref="A2:Q27"/>
  <sheetViews>
    <sheetView workbookViewId="0">
      <selection activeCell="C2" sqref="C2:E2"/>
    </sheetView>
  </sheetViews>
  <sheetFormatPr defaultRowHeight="14.4" x14ac:dyDescent="0.3"/>
  <sheetData>
    <row r="2" spans="1:17" x14ac:dyDescent="0.3">
      <c r="B2" t="s">
        <v>116</v>
      </c>
      <c r="C2" s="45" t="s">
        <v>118</v>
      </c>
      <c r="D2" s="45"/>
      <c r="E2" s="45"/>
      <c r="F2" s="45" t="s">
        <v>95</v>
      </c>
      <c r="G2" s="45" t="s">
        <v>95</v>
      </c>
      <c r="H2" s="45" t="s">
        <v>95</v>
      </c>
      <c r="I2" s="45" t="s">
        <v>97</v>
      </c>
      <c r="J2" s="45" t="s">
        <v>97</v>
      </c>
      <c r="K2" s="45" t="s">
        <v>97</v>
      </c>
      <c r="L2" s="45" t="s">
        <v>99</v>
      </c>
      <c r="M2" s="45" t="s">
        <v>99</v>
      </c>
      <c r="N2" s="45" t="s">
        <v>99</v>
      </c>
      <c r="O2" s="45" t="s">
        <v>100</v>
      </c>
      <c r="P2" s="45" t="s">
        <v>100</v>
      </c>
      <c r="Q2" s="45" t="s">
        <v>100</v>
      </c>
    </row>
    <row r="3" spans="1:17" x14ac:dyDescent="0.3">
      <c r="B3" t="s">
        <v>1</v>
      </c>
      <c r="C3" t="s">
        <v>119</v>
      </c>
      <c r="D3" t="s">
        <v>120</v>
      </c>
      <c r="E3" t="s">
        <v>121</v>
      </c>
      <c r="F3" t="s">
        <v>119</v>
      </c>
      <c r="G3" t="s">
        <v>120</v>
      </c>
      <c r="H3" t="s">
        <v>121</v>
      </c>
      <c r="I3" t="s">
        <v>119</v>
      </c>
      <c r="J3" t="s">
        <v>120</v>
      </c>
      <c r="K3" t="s">
        <v>121</v>
      </c>
      <c r="L3" t="s">
        <v>119</v>
      </c>
      <c r="M3" t="s">
        <v>120</v>
      </c>
      <c r="N3" t="s">
        <v>121</v>
      </c>
      <c r="O3" t="s">
        <v>119</v>
      </c>
      <c r="P3" t="s">
        <v>120</v>
      </c>
      <c r="Q3" t="s">
        <v>121</v>
      </c>
    </row>
    <row r="4" spans="1:17" hidden="1" x14ac:dyDescent="0.3">
      <c r="A4" t="s">
        <v>56</v>
      </c>
      <c r="B4" t="s">
        <v>34</v>
      </c>
      <c r="C4">
        <v>0.97554092191909703</v>
      </c>
      <c r="D4">
        <v>0.97978596908442295</v>
      </c>
      <c r="E4">
        <v>0.95855964594649001</v>
      </c>
      <c r="F4">
        <v>0.98085202809879901</v>
      </c>
      <c r="G4">
        <v>0.95612799356007205</v>
      </c>
      <c r="H4">
        <v>0.95209999999999995</v>
      </c>
      <c r="I4">
        <v>0.94930000000000003</v>
      </c>
      <c r="J4">
        <v>0.95499999999999996</v>
      </c>
      <c r="K4">
        <v>0.9506</v>
      </c>
      <c r="L4">
        <v>0.977653631284916</v>
      </c>
      <c r="M4">
        <v>0.95719883452225496</v>
      </c>
      <c r="N4">
        <v>0.95009999999999994</v>
      </c>
      <c r="O4">
        <v>0.96902303415409097</v>
      </c>
      <c r="P4">
        <v>0.98019266154345697</v>
      </c>
      <c r="Q4">
        <v>0.96185587761674696</v>
      </c>
    </row>
    <row r="5" spans="1:17" hidden="1" x14ac:dyDescent="0.3">
      <c r="A5" t="s">
        <v>57</v>
      </c>
      <c r="B5" t="s">
        <v>34</v>
      </c>
      <c r="C5">
        <v>0.97523750194673697</v>
      </c>
      <c r="D5">
        <v>0.982764227642276</v>
      </c>
      <c r="E5">
        <v>0.95733977261293901</v>
      </c>
      <c r="F5">
        <v>0.980136208853575</v>
      </c>
      <c r="G5">
        <v>0.95459111914808104</v>
      </c>
      <c r="H5">
        <v>0.95020000000000004</v>
      </c>
      <c r="I5">
        <v>0.95340000000000003</v>
      </c>
      <c r="J5">
        <v>0.95189999999999997</v>
      </c>
      <c r="K5">
        <v>0.95109999999999995</v>
      </c>
      <c r="L5">
        <v>0.97744874715261998</v>
      </c>
      <c r="M5">
        <v>0.95826629123089302</v>
      </c>
      <c r="N5">
        <v>0.95569999999999999</v>
      </c>
      <c r="O5">
        <v>0.97404027690371298</v>
      </c>
      <c r="P5">
        <v>0.97923650913809901</v>
      </c>
      <c r="Q5">
        <v>0.96339869281045798</v>
      </c>
    </row>
    <row r="6" spans="1:17" x14ac:dyDescent="0.3">
      <c r="A6" t="s">
        <v>31</v>
      </c>
      <c r="B6" t="s">
        <v>34</v>
      </c>
      <c r="C6">
        <v>0.97132726992446405</v>
      </c>
      <c r="D6">
        <v>0.97908085844352899</v>
      </c>
      <c r="E6">
        <v>0.96092023307213204</v>
      </c>
      <c r="F6">
        <v>0.980499486828601</v>
      </c>
      <c r="G6">
        <v>0.95625502815768304</v>
      </c>
      <c r="H6">
        <v>0.94879999999999998</v>
      </c>
      <c r="I6">
        <v>0.94969999999999999</v>
      </c>
      <c r="J6">
        <v>0.95150000000000001</v>
      </c>
      <c r="K6">
        <v>0.95409999999999995</v>
      </c>
      <c r="L6">
        <v>0.97889720898570498</v>
      </c>
      <c r="M6">
        <v>0.95712851405622501</v>
      </c>
      <c r="N6">
        <v>0.95179999999999998</v>
      </c>
      <c r="O6">
        <v>0.97058823529411797</v>
      </c>
      <c r="P6">
        <v>0.97745013009540305</v>
      </c>
      <c r="Q6">
        <v>0.96459108741575295</v>
      </c>
    </row>
    <row r="7" spans="1:17" hidden="1" x14ac:dyDescent="0.3">
      <c r="A7" t="s">
        <v>56</v>
      </c>
      <c r="B7" t="s">
        <v>33</v>
      </c>
      <c r="C7">
        <v>0.39644401729937501</v>
      </c>
      <c r="D7">
        <v>0.91349999999999998</v>
      </c>
      <c r="E7">
        <v>0.91715399610136406</v>
      </c>
      <c r="F7">
        <v>0.82022156780255195</v>
      </c>
      <c r="G7">
        <v>0.926835196888673</v>
      </c>
      <c r="H7">
        <v>0.95020126509488201</v>
      </c>
      <c r="I7">
        <v>0.95640000000000003</v>
      </c>
      <c r="J7">
        <v>0.97060000000000002</v>
      </c>
      <c r="K7">
        <v>0.96509999999999996</v>
      </c>
      <c r="L7">
        <v>0.86509999999999998</v>
      </c>
      <c r="M7">
        <v>0.9385</v>
      </c>
      <c r="N7">
        <v>0.95520000000000005</v>
      </c>
      <c r="O7">
        <v>0.389221556886228</v>
      </c>
      <c r="P7">
        <v>0.91390000000000005</v>
      </c>
      <c r="Q7">
        <v>0.92098192476795304</v>
      </c>
    </row>
    <row r="8" spans="1:17" hidden="1" x14ac:dyDescent="0.3">
      <c r="A8" t="s">
        <v>57</v>
      </c>
      <c r="B8" t="s">
        <v>33</v>
      </c>
      <c r="C8">
        <v>0.401830149301654</v>
      </c>
      <c r="D8">
        <v>0.91169999999999995</v>
      </c>
      <c r="E8">
        <v>0.91982237572468195</v>
      </c>
      <c r="F8">
        <v>0.81424757622593802</v>
      </c>
      <c r="G8">
        <v>0.92711656441717805</v>
      </c>
      <c r="H8">
        <v>0.94703584558823495</v>
      </c>
      <c r="I8">
        <v>0.96020000000000005</v>
      </c>
      <c r="J8">
        <v>0.96599999999999997</v>
      </c>
      <c r="K8">
        <v>0.96279999999999999</v>
      </c>
      <c r="L8">
        <v>0.86599999999999999</v>
      </c>
      <c r="M8">
        <v>0.94040000000000001</v>
      </c>
      <c r="N8">
        <v>0.95950000000000002</v>
      </c>
      <c r="O8">
        <v>0.39534512992188697</v>
      </c>
      <c r="P8">
        <v>0.91410000000000002</v>
      </c>
      <c r="Q8">
        <v>0.92166237587348299</v>
      </c>
    </row>
    <row r="9" spans="1:17" x14ac:dyDescent="0.3">
      <c r="A9" t="s">
        <v>31</v>
      </c>
      <c r="B9" t="s">
        <v>33</v>
      </c>
      <c r="C9">
        <v>0.41204665281993902</v>
      </c>
      <c r="D9">
        <v>0.91020000000000001</v>
      </c>
      <c r="E9">
        <v>0.92106224875136999</v>
      </c>
      <c r="F9">
        <v>0.81599002355549399</v>
      </c>
      <c r="G9">
        <v>0.92528311176760203</v>
      </c>
      <c r="H9">
        <v>0.94663017447827602</v>
      </c>
      <c r="I9">
        <v>0.95609999999999995</v>
      </c>
      <c r="J9">
        <v>0.96509999999999996</v>
      </c>
      <c r="K9">
        <v>0.96619999999999995</v>
      </c>
      <c r="L9">
        <v>0.86950000000000005</v>
      </c>
      <c r="M9">
        <v>0.94320000000000004</v>
      </c>
      <c r="N9">
        <v>0.95609999999999995</v>
      </c>
      <c r="O9">
        <v>0.40034937271716697</v>
      </c>
      <c r="P9">
        <v>0.91020000000000001</v>
      </c>
      <c r="Q9">
        <v>0.92446351931330495</v>
      </c>
    </row>
    <row r="10" spans="1:17" hidden="1" x14ac:dyDescent="0.3">
      <c r="A10" t="s">
        <v>56</v>
      </c>
      <c r="B10" t="s">
        <v>83</v>
      </c>
      <c r="C10">
        <v>0.87016042780748704</v>
      </c>
      <c r="D10">
        <v>0.92199437072778401</v>
      </c>
      <c r="E10">
        <v>0.94778955791158204</v>
      </c>
      <c r="F10">
        <v>0.911049553708833</v>
      </c>
      <c r="G10">
        <v>0.950080032012805</v>
      </c>
      <c r="H10">
        <v>0.95179999999999998</v>
      </c>
      <c r="I10">
        <v>0.94520000000000004</v>
      </c>
      <c r="J10">
        <v>0.95299999999999996</v>
      </c>
      <c r="K10">
        <v>0.94830000000000003</v>
      </c>
      <c r="L10">
        <v>0.949314915896179</v>
      </c>
      <c r="M10">
        <v>0.94451703688812905</v>
      </c>
      <c r="N10">
        <v>0.95046036829463598</v>
      </c>
      <c r="O10">
        <v>0.90725288831835704</v>
      </c>
      <c r="P10">
        <v>0.96226815050344505</v>
      </c>
      <c r="Q10">
        <v>0.94584434058118305</v>
      </c>
    </row>
    <row r="11" spans="1:17" hidden="1" x14ac:dyDescent="0.3">
      <c r="A11" t="s">
        <v>57</v>
      </c>
      <c r="B11" t="s">
        <v>83</v>
      </c>
      <c r="C11">
        <v>0.61502300460091996</v>
      </c>
      <c r="D11">
        <v>0.69910000000000005</v>
      </c>
      <c r="E11">
        <v>0.81340000000000001</v>
      </c>
      <c r="F11">
        <v>0.882753101240496</v>
      </c>
      <c r="G11">
        <v>0.93300000000000005</v>
      </c>
      <c r="H11">
        <v>0.94379999999999997</v>
      </c>
      <c r="I11">
        <v>0.94540000000000002</v>
      </c>
      <c r="J11">
        <v>0.94850000000000001</v>
      </c>
      <c r="K11">
        <v>0.95030000000000003</v>
      </c>
      <c r="L11">
        <v>0.91849962809478303</v>
      </c>
      <c r="M11">
        <v>0.94791144946408901</v>
      </c>
      <c r="N11">
        <v>0.95469999999999999</v>
      </c>
      <c r="O11">
        <v>0.87889048053131902</v>
      </c>
      <c r="P11">
        <v>0.93511608623548903</v>
      </c>
      <c r="Q11">
        <v>0.94989979959919801</v>
      </c>
    </row>
    <row r="12" spans="1:17" x14ac:dyDescent="0.3">
      <c r="A12" t="s">
        <v>31</v>
      </c>
      <c r="B12" t="s">
        <v>83</v>
      </c>
      <c r="C12">
        <v>0.84098620221669296</v>
      </c>
      <c r="D12">
        <v>0.916166446230542</v>
      </c>
      <c r="E12">
        <v>0.95327663831915999</v>
      </c>
      <c r="F12">
        <v>0.90279929759322397</v>
      </c>
      <c r="G12">
        <v>0.94715772618094496</v>
      </c>
      <c r="H12">
        <v>0.94599999999999995</v>
      </c>
      <c r="I12">
        <v>0.95109999999999995</v>
      </c>
      <c r="J12">
        <v>0.94820000000000004</v>
      </c>
      <c r="K12">
        <v>0.95099999999999996</v>
      </c>
      <c r="L12">
        <v>0.90314270994332801</v>
      </c>
      <c r="M12">
        <v>0.95036028823058405</v>
      </c>
      <c r="N12">
        <v>0.95230000000000004</v>
      </c>
      <c r="O12">
        <v>0.84270809707416605</v>
      </c>
      <c r="P12">
        <v>0.91249619327986997</v>
      </c>
      <c r="Q12">
        <v>0.95366293034427496</v>
      </c>
    </row>
    <row r="13" spans="1:17" hidden="1" x14ac:dyDescent="0.3">
      <c r="A13" t="s">
        <v>56</v>
      </c>
      <c r="B13" t="s">
        <v>87</v>
      </c>
      <c r="C13">
        <v>0.86352941176470599</v>
      </c>
      <c r="D13">
        <v>0.91596300763972704</v>
      </c>
      <c r="E13">
        <v>0.94018803760752101</v>
      </c>
      <c r="F13">
        <v>0.90550938750384702</v>
      </c>
      <c r="G13">
        <v>0.94247699079631897</v>
      </c>
      <c r="H13">
        <v>0.94750000000000001</v>
      </c>
      <c r="I13">
        <v>0.94320000000000004</v>
      </c>
      <c r="J13">
        <v>0.95130000000000003</v>
      </c>
      <c r="K13">
        <v>0.94810000000000005</v>
      </c>
      <c r="L13">
        <v>0.94664141695443904</v>
      </c>
      <c r="M13">
        <v>0.94140114584380297</v>
      </c>
      <c r="N13">
        <v>0.94865892714171296</v>
      </c>
      <c r="O13">
        <v>0.90356225930680401</v>
      </c>
      <c r="P13">
        <v>0.95887652358240605</v>
      </c>
      <c r="Q13">
        <v>0.94167852062588897</v>
      </c>
    </row>
    <row r="14" spans="1:17" hidden="1" x14ac:dyDescent="0.3">
      <c r="A14" t="s">
        <v>57</v>
      </c>
      <c r="B14" t="s">
        <v>87</v>
      </c>
      <c r="C14">
        <v>0.59801960392078402</v>
      </c>
      <c r="D14">
        <v>0.69240000000000002</v>
      </c>
      <c r="E14">
        <v>0.80869999999999997</v>
      </c>
      <c r="F14">
        <v>0.87414965986394599</v>
      </c>
      <c r="G14">
        <v>0.9294</v>
      </c>
      <c r="H14">
        <v>0.94140000000000001</v>
      </c>
      <c r="I14">
        <v>0.94269999999999998</v>
      </c>
      <c r="J14">
        <v>0.94730000000000003</v>
      </c>
      <c r="K14">
        <v>0.95009999999999994</v>
      </c>
      <c r="L14">
        <v>0.91403676548719603</v>
      </c>
      <c r="M14">
        <v>0.94170089151557601</v>
      </c>
      <c r="N14">
        <v>0.95269999999999999</v>
      </c>
      <c r="O14">
        <v>0.87276989191300902</v>
      </c>
      <c r="P14">
        <v>0.93159203980099503</v>
      </c>
      <c r="Q14">
        <v>0.94268537074148295</v>
      </c>
    </row>
    <row r="15" spans="1:17" x14ac:dyDescent="0.3">
      <c r="A15" t="s">
        <v>31</v>
      </c>
      <c r="B15" t="s">
        <v>87</v>
      </c>
      <c r="C15">
        <v>0.83453969690115404</v>
      </c>
      <c r="D15">
        <v>0.91016380099704997</v>
      </c>
      <c r="E15">
        <v>0.94247123561780899</v>
      </c>
      <c r="F15">
        <v>0.89639500051647603</v>
      </c>
      <c r="G15">
        <v>0.93915132105684596</v>
      </c>
      <c r="H15">
        <v>0.94330000000000003</v>
      </c>
      <c r="I15">
        <v>0.94750000000000001</v>
      </c>
      <c r="J15">
        <v>0.94730000000000003</v>
      </c>
      <c r="K15">
        <v>0.95069999999999999</v>
      </c>
      <c r="L15">
        <v>0.89850592478104097</v>
      </c>
      <c r="M15">
        <v>0.94365492393915096</v>
      </c>
      <c r="N15">
        <v>0.94930000000000003</v>
      </c>
      <c r="O15">
        <v>0.83374914946699896</v>
      </c>
      <c r="P15">
        <v>0.90782661658714803</v>
      </c>
      <c r="Q15">
        <v>0.94565652522017596</v>
      </c>
    </row>
    <row r="16" spans="1:17" hidden="1" x14ac:dyDescent="0.3">
      <c r="A16" t="s">
        <v>56</v>
      </c>
      <c r="B16" t="s">
        <v>55</v>
      </c>
      <c r="C16">
        <v>0.98540000000000005</v>
      </c>
      <c r="D16">
        <v>0.96240000000000003</v>
      </c>
      <c r="E16">
        <v>0.96440000000000003</v>
      </c>
      <c r="F16">
        <v>0.95709999999999995</v>
      </c>
      <c r="G16">
        <v>0.96740000000000004</v>
      </c>
      <c r="H16">
        <v>0.95669999999999999</v>
      </c>
      <c r="I16">
        <v>0.95640000000000003</v>
      </c>
      <c r="J16">
        <v>0.97060000000000002</v>
      </c>
      <c r="K16">
        <v>0.96509999999999996</v>
      </c>
      <c r="L16">
        <v>0.95409999999999995</v>
      </c>
      <c r="M16">
        <v>0.97060000000000002</v>
      </c>
      <c r="N16">
        <v>0.95520000000000005</v>
      </c>
      <c r="O16">
        <v>0.9829</v>
      </c>
      <c r="P16">
        <v>0.96399999999999997</v>
      </c>
      <c r="Q16">
        <v>0.96489999999999998</v>
      </c>
    </row>
    <row r="17" spans="1:17" hidden="1" x14ac:dyDescent="0.3">
      <c r="A17" t="s">
        <v>57</v>
      </c>
      <c r="B17" t="s">
        <v>55</v>
      </c>
      <c r="C17">
        <v>0.98529999999999995</v>
      </c>
      <c r="D17">
        <v>0.96340000000000003</v>
      </c>
      <c r="E17">
        <v>0.96660000000000001</v>
      </c>
      <c r="F17">
        <v>0.95669999999999999</v>
      </c>
      <c r="G17">
        <v>0.9677</v>
      </c>
      <c r="H17">
        <v>0.95389999999999997</v>
      </c>
      <c r="I17">
        <v>0.96020000000000005</v>
      </c>
      <c r="J17">
        <v>0.96599999999999997</v>
      </c>
      <c r="K17">
        <v>0.96279999999999999</v>
      </c>
      <c r="L17">
        <v>0.95409999999999995</v>
      </c>
      <c r="M17">
        <v>0.96950000000000003</v>
      </c>
      <c r="N17">
        <v>0.95950000000000002</v>
      </c>
      <c r="O17">
        <v>0.98509999999999998</v>
      </c>
      <c r="P17">
        <v>0.96250000000000002</v>
      </c>
      <c r="Q17">
        <v>0.96599999999999997</v>
      </c>
    </row>
    <row r="18" spans="1:17" x14ac:dyDescent="0.3">
      <c r="A18" t="s">
        <v>31</v>
      </c>
      <c r="B18" t="s">
        <v>55</v>
      </c>
      <c r="C18">
        <v>0.98329999999999995</v>
      </c>
      <c r="D18">
        <v>0.96140000000000003</v>
      </c>
      <c r="E18">
        <v>0.96599999999999997</v>
      </c>
      <c r="F18">
        <v>0.95889999999999997</v>
      </c>
      <c r="G18">
        <v>0.97030000000000005</v>
      </c>
      <c r="H18">
        <v>0.95320000000000005</v>
      </c>
      <c r="I18">
        <v>0.95609999999999995</v>
      </c>
      <c r="J18">
        <v>0.96509999999999996</v>
      </c>
      <c r="K18">
        <v>0.96619999999999995</v>
      </c>
      <c r="L18">
        <v>0.9526</v>
      </c>
      <c r="M18">
        <v>0.97089999999999999</v>
      </c>
      <c r="N18">
        <v>0.95609999999999995</v>
      </c>
      <c r="O18">
        <v>0.98319999999999996</v>
      </c>
      <c r="P18">
        <v>0.96020000000000005</v>
      </c>
      <c r="Q18">
        <v>0.96499999999999997</v>
      </c>
    </row>
    <row r="19" spans="1:17" hidden="1" x14ac:dyDescent="0.3">
      <c r="A19" t="s">
        <v>56</v>
      </c>
      <c r="B19" t="s">
        <v>32</v>
      </c>
      <c r="C19">
        <v>0.94429607020221296</v>
      </c>
      <c r="D19">
        <v>0.98746081504702199</v>
      </c>
      <c r="E19">
        <v>0.92368098159509204</v>
      </c>
      <c r="F19">
        <v>0.981870068826591</v>
      </c>
      <c r="G19">
        <v>0.93387215282880198</v>
      </c>
      <c r="H19">
        <v>0.95020126509488201</v>
      </c>
      <c r="I19">
        <v>0.95640000000000003</v>
      </c>
      <c r="J19">
        <v>0.93789999999999996</v>
      </c>
      <c r="K19">
        <v>0.94399999999999995</v>
      </c>
      <c r="L19">
        <v>0.98631854976627498</v>
      </c>
      <c r="M19">
        <v>0.94293177936300598</v>
      </c>
      <c r="N19">
        <v>0.95520000000000005</v>
      </c>
      <c r="O19">
        <v>0.93525179856115104</v>
      </c>
      <c r="P19">
        <v>0.98917631778331006</v>
      </c>
      <c r="Q19">
        <v>0.92823732151649396</v>
      </c>
    </row>
    <row r="20" spans="1:17" hidden="1" x14ac:dyDescent="0.3">
      <c r="A20" t="s">
        <v>57</v>
      </c>
      <c r="B20" t="s">
        <v>32</v>
      </c>
      <c r="C20">
        <v>0.94452830188679204</v>
      </c>
      <c r="D20">
        <v>0.98829268292682904</v>
      </c>
      <c r="E20">
        <v>0.92679592344021899</v>
      </c>
      <c r="F20">
        <v>0.97772903661211397</v>
      </c>
      <c r="G20">
        <v>0.93237907206317905</v>
      </c>
      <c r="H20">
        <v>0.94703584558823495</v>
      </c>
      <c r="I20">
        <v>0.96020000000000005</v>
      </c>
      <c r="J20">
        <v>0.93559999999999999</v>
      </c>
      <c r="K20">
        <v>0.94550000000000001</v>
      </c>
      <c r="L20">
        <v>0.98633257403189101</v>
      </c>
      <c r="M20">
        <v>0.94569589702333101</v>
      </c>
      <c r="N20">
        <v>0.95950000000000002</v>
      </c>
      <c r="O20">
        <v>0.94332445796880904</v>
      </c>
      <c r="P20">
        <v>0.988536822753325</v>
      </c>
      <c r="Q20">
        <v>0.92791903233769402</v>
      </c>
    </row>
    <row r="21" spans="1:17" x14ac:dyDescent="0.3">
      <c r="A21" t="s">
        <v>31</v>
      </c>
      <c r="B21" t="s">
        <v>32</v>
      </c>
      <c r="C21">
        <v>0.93918426802622001</v>
      </c>
      <c r="D21">
        <v>0.98655972252330404</v>
      </c>
      <c r="E21">
        <v>0.92625260320960401</v>
      </c>
      <c r="F21">
        <v>0.983795522886736</v>
      </c>
      <c r="G21">
        <v>0.93170550322260803</v>
      </c>
      <c r="H21">
        <v>0.94663017447827602</v>
      </c>
      <c r="I21">
        <v>0.95609999999999995</v>
      </c>
      <c r="J21">
        <v>0.93489999999999995</v>
      </c>
      <c r="K21">
        <v>0.94610000000000005</v>
      </c>
      <c r="L21">
        <v>0.98649875198547798</v>
      </c>
      <c r="M21">
        <v>0.94698795180722894</v>
      </c>
      <c r="N21">
        <v>0.95609999999999995</v>
      </c>
      <c r="O21">
        <v>0.93752324284120503</v>
      </c>
      <c r="P21">
        <v>0.98677363399826501</v>
      </c>
      <c r="Q21">
        <v>0.93120059288537504</v>
      </c>
    </row>
    <row r="22" spans="1:17" hidden="1" x14ac:dyDescent="0.3">
      <c r="A22" t="s">
        <v>56</v>
      </c>
      <c r="B22" t="s">
        <v>58</v>
      </c>
      <c r="C22" t="s">
        <v>59</v>
      </c>
      <c r="D22" t="s">
        <v>59</v>
      </c>
      <c r="E22" t="s">
        <v>59</v>
      </c>
      <c r="F22" t="s">
        <v>59</v>
      </c>
      <c r="G22" t="s">
        <v>59</v>
      </c>
      <c r="H22" t="s">
        <v>59</v>
      </c>
      <c r="I22">
        <v>0.91539999999999999</v>
      </c>
      <c r="J22">
        <v>0.84970000000000001</v>
      </c>
      <c r="K22">
        <v>0.73270000000000002</v>
      </c>
      <c r="L22" t="s">
        <v>59</v>
      </c>
      <c r="M22" t="s">
        <v>59</v>
      </c>
      <c r="N22" t="s">
        <v>59</v>
      </c>
      <c r="O22" t="s">
        <v>59</v>
      </c>
      <c r="P22" t="s">
        <v>59</v>
      </c>
      <c r="Q22" t="s">
        <v>59</v>
      </c>
    </row>
    <row r="23" spans="1:17" hidden="1" x14ac:dyDescent="0.3">
      <c r="A23" t="s">
        <v>57</v>
      </c>
      <c r="B23" t="s">
        <v>58</v>
      </c>
      <c r="C23" t="s">
        <v>59</v>
      </c>
      <c r="D23" t="s">
        <v>59</v>
      </c>
      <c r="E23" t="s">
        <v>59</v>
      </c>
      <c r="F23" t="s">
        <v>59</v>
      </c>
      <c r="G23" t="s">
        <v>59</v>
      </c>
      <c r="H23" t="s">
        <v>59</v>
      </c>
      <c r="I23">
        <v>0.90149999999999997</v>
      </c>
      <c r="J23">
        <v>0.78920000000000001</v>
      </c>
      <c r="K23">
        <v>0.61809999999999998</v>
      </c>
      <c r="L23" t="s">
        <v>59</v>
      </c>
      <c r="M23" t="s">
        <v>59</v>
      </c>
      <c r="N23" t="s">
        <v>59</v>
      </c>
      <c r="O23" t="s">
        <v>59</v>
      </c>
      <c r="P23" t="s">
        <v>59</v>
      </c>
      <c r="Q23" t="s">
        <v>59</v>
      </c>
    </row>
    <row r="24" spans="1:17" x14ac:dyDescent="0.3">
      <c r="A24" t="s">
        <v>31</v>
      </c>
      <c r="B24" t="s">
        <v>58</v>
      </c>
      <c r="C24" t="s">
        <v>59</v>
      </c>
      <c r="D24" t="s">
        <v>59</v>
      </c>
      <c r="E24" t="s">
        <v>59</v>
      </c>
      <c r="F24" t="s">
        <v>59</v>
      </c>
      <c r="G24" t="s">
        <v>59</v>
      </c>
      <c r="H24" t="s">
        <v>59</v>
      </c>
      <c r="I24">
        <v>0.95430000000000004</v>
      </c>
      <c r="J24">
        <v>0.95020000000000004</v>
      </c>
      <c r="K24">
        <v>0.94779999999999998</v>
      </c>
      <c r="L24" t="s">
        <v>59</v>
      </c>
      <c r="M24" t="s">
        <v>59</v>
      </c>
      <c r="N24" t="s">
        <v>59</v>
      </c>
      <c r="O24" t="s">
        <v>59</v>
      </c>
      <c r="P24" t="s">
        <v>59</v>
      </c>
      <c r="Q24" t="s">
        <v>59</v>
      </c>
    </row>
    <row r="25" spans="1:17" hidden="1" x14ac:dyDescent="0.3">
      <c r="A25" t="s">
        <v>56</v>
      </c>
      <c r="B25" t="s">
        <v>92</v>
      </c>
      <c r="C25">
        <v>0.98595787362086296</v>
      </c>
      <c r="D25">
        <v>0.9244</v>
      </c>
      <c r="E25">
        <v>0.94013058764440005</v>
      </c>
      <c r="F25">
        <v>0.91096305269533595</v>
      </c>
      <c r="G25">
        <v>0.94447803305118905</v>
      </c>
      <c r="H25">
        <v>0.95436687821094002</v>
      </c>
      <c r="I25">
        <v>0.95325977933801398</v>
      </c>
      <c r="J25">
        <v>0.94542905777510799</v>
      </c>
      <c r="K25">
        <v>0.94743692430917104</v>
      </c>
      <c r="L25">
        <v>0.951281766729553</v>
      </c>
      <c r="M25">
        <v>0.94095604618189199</v>
      </c>
      <c r="N25">
        <v>0.95456839979808195</v>
      </c>
      <c r="O25">
        <v>0.97434402332361503</v>
      </c>
      <c r="P25">
        <v>0.975695554844899</v>
      </c>
      <c r="Q25">
        <v>0.94084877949964596</v>
      </c>
    </row>
    <row r="26" spans="1:17" hidden="1" x14ac:dyDescent="0.3">
      <c r="A26" t="s">
        <v>57</v>
      </c>
      <c r="B26" t="s">
        <v>92</v>
      </c>
      <c r="C26">
        <v>0.99529999999999996</v>
      </c>
      <c r="D26">
        <v>0.96330000000000005</v>
      </c>
      <c r="E26">
        <v>0.95699999999999996</v>
      </c>
      <c r="F26">
        <v>0.97099999999999997</v>
      </c>
      <c r="G26">
        <v>0.95689999999999997</v>
      </c>
      <c r="H26">
        <v>0.95420000000000005</v>
      </c>
      <c r="I26">
        <v>0.95669999999999999</v>
      </c>
      <c r="J26">
        <v>0.94859485948594902</v>
      </c>
      <c r="K26">
        <v>0.94989999999999997</v>
      </c>
      <c r="L26">
        <v>0.922970822281167</v>
      </c>
      <c r="M26">
        <v>0.943965079687341</v>
      </c>
      <c r="N26">
        <v>0.95826192156467405</v>
      </c>
      <c r="O26">
        <v>0.97991598844841199</v>
      </c>
      <c r="P26">
        <v>0.960578737680856</v>
      </c>
      <c r="Q26">
        <v>0.94042293615290795</v>
      </c>
    </row>
    <row r="27" spans="1:17" x14ac:dyDescent="0.3">
      <c r="A27" t="s">
        <v>31</v>
      </c>
      <c r="B27" t="s">
        <v>92</v>
      </c>
      <c r="C27">
        <v>0.982688803401498</v>
      </c>
      <c r="D27">
        <v>0.91520000000000001</v>
      </c>
      <c r="E27">
        <v>0.93867258422432898</v>
      </c>
      <c r="F27">
        <v>0.90015282730514501</v>
      </c>
      <c r="G27">
        <v>0.94152165115337905</v>
      </c>
      <c r="H27">
        <v>0.95121212121212095</v>
      </c>
      <c r="I27">
        <v>0.95347673836918501</v>
      </c>
      <c r="J27">
        <v>0.94649464946494599</v>
      </c>
      <c r="K27">
        <v>0.95148544563368997</v>
      </c>
      <c r="L27">
        <v>0.91488052507435103</v>
      </c>
      <c r="M27">
        <v>0.94604679306171802</v>
      </c>
      <c r="N27">
        <v>0.95405649944706905</v>
      </c>
      <c r="O27">
        <v>0.98011494252873599</v>
      </c>
      <c r="P27">
        <v>0.942133443163097</v>
      </c>
      <c r="Q27">
        <v>0.94448391352887495</v>
      </c>
    </row>
  </sheetData>
  <autoFilter ref="A3:Q27" xr:uid="{9EE0D13A-B8CF-4216-AF7F-FC23EB0304EF}">
    <filterColumn colId="0">
      <filters>
        <filter val="normal"/>
      </filters>
    </filterColumn>
  </autoFilter>
  <mergeCells count="5">
    <mergeCell ref="C2:E2"/>
    <mergeCell ref="F2:H2"/>
    <mergeCell ref="I2:K2"/>
    <mergeCell ref="L2:N2"/>
    <mergeCell ref="O2:Q2"/>
  </mergeCells>
  <pageMargins left="0.7" right="0.7" top="0.75" bottom="0.75" header="0.3" footer="0.3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7BDD9-68A6-4A54-981B-11183BB77913}">
  <dimension ref="A1:AB46"/>
  <sheetViews>
    <sheetView topLeftCell="G18" workbookViewId="0">
      <selection activeCell="M25" sqref="K21:AB46"/>
    </sheetView>
  </sheetViews>
  <sheetFormatPr defaultRowHeight="14.4" x14ac:dyDescent="0.3"/>
  <cols>
    <col min="3" max="3" width="20" bestFit="1" customWidth="1"/>
    <col min="13" max="13" width="15.6640625" bestFit="1" customWidth="1"/>
  </cols>
  <sheetData>
    <row r="1" spans="1:28" x14ac:dyDescent="0.3">
      <c r="C1" t="s">
        <v>60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</row>
    <row r="2" spans="1:28" x14ac:dyDescent="0.3">
      <c r="C2" t="s">
        <v>61</v>
      </c>
      <c r="D2" t="s">
        <v>100</v>
      </c>
      <c r="E2" t="s">
        <v>100</v>
      </c>
      <c r="F2">
        <v>0.95</v>
      </c>
      <c r="G2" t="s">
        <v>100</v>
      </c>
      <c r="H2" t="s">
        <v>100</v>
      </c>
    </row>
    <row r="3" spans="1:28" ht="15" thickBot="1" x14ac:dyDescent="0.35">
      <c r="A3" t="s">
        <v>0</v>
      </c>
      <c r="B3" t="s">
        <v>1</v>
      </c>
      <c r="C3" t="s">
        <v>2</v>
      </c>
      <c r="D3" t="s">
        <v>9</v>
      </c>
      <c r="E3" t="s">
        <v>13</v>
      </c>
      <c r="F3" t="s">
        <v>17</v>
      </c>
      <c r="G3" t="s">
        <v>21</v>
      </c>
      <c r="H3" t="s">
        <v>25</v>
      </c>
    </row>
    <row r="4" spans="1:28" ht="15" thickTop="1" x14ac:dyDescent="0.3">
      <c r="A4" s="1" t="s">
        <v>56</v>
      </c>
      <c r="B4" s="1">
        <v>20</v>
      </c>
      <c r="C4" s="1" t="s">
        <v>34</v>
      </c>
      <c r="D4" s="12">
        <v>0.98168288494562095</v>
      </c>
      <c r="E4" s="12">
        <v>0.95503813729425902</v>
      </c>
      <c r="F4" s="12">
        <v>0.94930000000000003</v>
      </c>
      <c r="G4" s="12">
        <v>0.95825807746337499</v>
      </c>
      <c r="H4" s="12">
        <v>0.97741530740275995</v>
      </c>
    </row>
    <row r="5" spans="1:28" x14ac:dyDescent="0.3">
      <c r="A5" t="s">
        <v>56</v>
      </c>
      <c r="B5">
        <v>50</v>
      </c>
      <c r="C5" t="s">
        <v>34</v>
      </c>
      <c r="D5" s="13">
        <v>0.95798150381986302</v>
      </c>
      <c r="E5" s="13">
        <v>0.95609999999999995</v>
      </c>
      <c r="F5" s="13">
        <v>0.95499999999999996</v>
      </c>
      <c r="G5" s="13">
        <v>0.94950000000000001</v>
      </c>
      <c r="H5" s="13">
        <v>0.96040302267002498</v>
      </c>
    </row>
    <row r="6" spans="1:28" ht="15" thickBot="1" x14ac:dyDescent="0.35">
      <c r="A6" t="s">
        <v>56</v>
      </c>
      <c r="B6">
        <v>100</v>
      </c>
      <c r="C6" t="s">
        <v>34</v>
      </c>
      <c r="D6" s="13">
        <v>0.94999499949995003</v>
      </c>
      <c r="E6" s="13">
        <v>0.95230000000000004</v>
      </c>
      <c r="F6" s="13">
        <v>0.9506</v>
      </c>
      <c r="G6" s="13">
        <v>0.94589999999999996</v>
      </c>
      <c r="H6" s="13">
        <v>0.9516</v>
      </c>
    </row>
    <row r="7" spans="1:28" ht="15" thickTop="1" x14ac:dyDescent="0.3">
      <c r="A7" s="1" t="s">
        <v>56</v>
      </c>
      <c r="B7" s="1">
        <v>20</v>
      </c>
      <c r="C7" s="1" t="s">
        <v>33</v>
      </c>
      <c r="D7" s="12">
        <v>0.807896947633716</v>
      </c>
      <c r="E7" s="12">
        <v>0.96099999999999997</v>
      </c>
      <c r="F7" s="12">
        <v>0.95640000000000003</v>
      </c>
      <c r="G7" s="12">
        <v>0.96450000000000002</v>
      </c>
      <c r="H7" s="12">
        <v>0.86529999999999996</v>
      </c>
      <c r="M7" t="s">
        <v>116</v>
      </c>
      <c r="N7" s="45" t="s">
        <v>118</v>
      </c>
      <c r="O7" s="45"/>
      <c r="P7" s="45"/>
      <c r="Q7" s="45" t="s">
        <v>95</v>
      </c>
      <c r="R7" s="45" t="s">
        <v>95</v>
      </c>
      <c r="S7" s="45" t="s">
        <v>95</v>
      </c>
      <c r="T7" s="45" t="s">
        <v>97</v>
      </c>
      <c r="U7" s="45" t="s">
        <v>97</v>
      </c>
      <c r="V7" s="45" t="s">
        <v>97</v>
      </c>
      <c r="W7" s="45" t="s">
        <v>99</v>
      </c>
      <c r="X7" s="45" t="s">
        <v>99</v>
      </c>
      <c r="Y7" s="45" t="s">
        <v>99</v>
      </c>
      <c r="Z7" s="45" t="s">
        <v>100</v>
      </c>
      <c r="AA7" s="45" t="s">
        <v>100</v>
      </c>
      <c r="AB7" s="45" t="s">
        <v>100</v>
      </c>
    </row>
    <row r="8" spans="1:28" x14ac:dyDescent="0.3">
      <c r="A8" t="s">
        <v>56</v>
      </c>
      <c r="B8">
        <v>50</v>
      </c>
      <c r="C8" t="s">
        <v>33</v>
      </c>
      <c r="D8" s="13">
        <v>0.93059628543499495</v>
      </c>
      <c r="E8" s="13">
        <v>0.96930000000000005</v>
      </c>
      <c r="F8" s="13">
        <v>0.97060000000000002</v>
      </c>
      <c r="G8" s="13">
        <v>0.9637</v>
      </c>
      <c r="H8" s="13">
        <v>0.94040000000000001</v>
      </c>
      <c r="M8" t="s">
        <v>1</v>
      </c>
      <c r="N8" t="s">
        <v>119</v>
      </c>
      <c r="O8" t="s">
        <v>120</v>
      </c>
      <c r="P8" t="s">
        <v>121</v>
      </c>
      <c r="Q8" t="s">
        <v>119</v>
      </c>
      <c r="R8" t="s">
        <v>120</v>
      </c>
      <c r="S8" t="s">
        <v>121</v>
      </c>
      <c r="T8" t="s">
        <v>119</v>
      </c>
      <c r="U8" t="s">
        <v>120</v>
      </c>
      <c r="V8" t="s">
        <v>121</v>
      </c>
      <c r="W8" t="s">
        <v>119</v>
      </c>
      <c r="X8" t="s">
        <v>120</v>
      </c>
      <c r="Y8" t="s">
        <v>121</v>
      </c>
      <c r="Z8" t="s">
        <v>119</v>
      </c>
      <c r="AA8" t="s">
        <v>120</v>
      </c>
      <c r="AB8" t="s">
        <v>121</v>
      </c>
    </row>
    <row r="9" spans="1:28" ht="15" thickBot="1" x14ac:dyDescent="0.35">
      <c r="A9" t="s">
        <v>56</v>
      </c>
      <c r="B9">
        <v>100</v>
      </c>
      <c r="C9" t="s">
        <v>33</v>
      </c>
      <c r="D9" s="13">
        <v>0.94658169177288498</v>
      </c>
      <c r="E9" s="13">
        <v>0.96340000000000003</v>
      </c>
      <c r="F9" s="13">
        <v>0.96509999999999996</v>
      </c>
      <c r="G9" s="13">
        <v>0.95909999999999995</v>
      </c>
      <c r="H9" s="13">
        <v>0.95530000000000004</v>
      </c>
      <c r="L9" s="46" t="s">
        <v>31</v>
      </c>
      <c r="M9" t="s">
        <v>34</v>
      </c>
      <c r="N9" s="15">
        <v>0.97132726992446405</v>
      </c>
      <c r="O9" s="15">
        <v>0.97908085844352899</v>
      </c>
      <c r="P9" s="15">
        <v>0.96092023307213204</v>
      </c>
      <c r="Q9" s="15">
        <v>0.980499486828601</v>
      </c>
      <c r="R9" s="15">
        <v>0.95625502815768304</v>
      </c>
      <c r="S9" s="15">
        <v>0.94879999999999998</v>
      </c>
      <c r="T9" s="15">
        <v>0.94969999999999999</v>
      </c>
      <c r="U9" s="15">
        <v>0.95150000000000001</v>
      </c>
      <c r="V9" s="15">
        <v>0.95409999999999995</v>
      </c>
      <c r="W9" s="15">
        <v>0.97889720898570498</v>
      </c>
      <c r="X9" s="15">
        <v>0.95712851405622501</v>
      </c>
      <c r="Y9" s="15">
        <v>0.95179999999999998</v>
      </c>
      <c r="Z9" s="15">
        <v>0.97058823529411797</v>
      </c>
      <c r="AA9" s="15">
        <v>0.97745013009540305</v>
      </c>
      <c r="AB9" s="15">
        <v>0.96459108741575295</v>
      </c>
    </row>
    <row r="10" spans="1:28" ht="15" thickTop="1" x14ac:dyDescent="0.3">
      <c r="A10" s="1" t="s">
        <v>56</v>
      </c>
      <c r="B10" s="1">
        <v>20</v>
      </c>
      <c r="C10" s="10" t="s">
        <v>83</v>
      </c>
      <c r="D10" s="12">
        <v>0.906880922950144</v>
      </c>
      <c r="E10" s="12">
        <v>0.94951417409596295</v>
      </c>
      <c r="F10" s="12">
        <v>0.94520000000000004</v>
      </c>
      <c r="G10" s="12">
        <v>0.95441795231416504</v>
      </c>
      <c r="H10" s="12">
        <v>0.94578044978846598</v>
      </c>
      <c r="L10" s="46"/>
      <c r="M10" t="s">
        <v>33</v>
      </c>
      <c r="N10" s="15">
        <v>0.41204665281993902</v>
      </c>
      <c r="O10" s="15">
        <v>0.91020000000000001</v>
      </c>
      <c r="P10" s="15">
        <v>0.92106224875136999</v>
      </c>
      <c r="Q10" s="15">
        <v>0.81599002355549399</v>
      </c>
      <c r="R10" s="15">
        <v>0.92528311176760203</v>
      </c>
      <c r="S10" s="15">
        <v>0.94663017447827602</v>
      </c>
      <c r="T10" s="15">
        <v>0.95609999999999995</v>
      </c>
      <c r="U10" s="15">
        <v>0.96509999999999996</v>
      </c>
      <c r="V10" s="15">
        <v>0.96619999999999995</v>
      </c>
      <c r="W10" s="15">
        <v>0.86950000000000005</v>
      </c>
      <c r="X10" s="15">
        <v>0.94320000000000004</v>
      </c>
      <c r="Y10" s="15">
        <v>0.95609999999999995</v>
      </c>
      <c r="Z10" s="15">
        <v>0.40034937271716697</v>
      </c>
      <c r="AA10" s="15">
        <v>0.91020000000000001</v>
      </c>
      <c r="AB10" s="15">
        <v>0.92446351931330495</v>
      </c>
    </row>
    <row r="11" spans="1:28" x14ac:dyDescent="0.3">
      <c r="A11" t="s">
        <v>56</v>
      </c>
      <c r="B11">
        <v>50</v>
      </c>
      <c r="C11" s="11" t="s">
        <v>83</v>
      </c>
      <c r="D11" s="13">
        <v>0.95147088252951795</v>
      </c>
      <c r="E11" s="13">
        <v>0.95279999999999998</v>
      </c>
      <c r="F11" s="13">
        <v>0.95299999999999996</v>
      </c>
      <c r="G11" s="13">
        <v>0.94799999999999995</v>
      </c>
      <c r="H11" s="13">
        <v>0.94851904090268002</v>
      </c>
      <c r="L11" s="46"/>
      <c r="M11" t="s">
        <v>83</v>
      </c>
      <c r="N11" s="15">
        <v>0.84098620221669296</v>
      </c>
      <c r="O11" s="15">
        <v>0.916166446230542</v>
      </c>
      <c r="P11" s="15">
        <v>0.95327663831915999</v>
      </c>
      <c r="Q11" s="15">
        <v>0.90279929759322397</v>
      </c>
      <c r="R11" s="15">
        <v>0.94715772618094496</v>
      </c>
      <c r="S11" s="15">
        <v>0.94599999999999995</v>
      </c>
      <c r="T11" s="15">
        <v>0.95109999999999995</v>
      </c>
      <c r="U11" s="15">
        <v>0.94820000000000004</v>
      </c>
      <c r="V11" s="15">
        <v>0.95099999999999996</v>
      </c>
      <c r="W11" s="15">
        <v>0.90314270994332801</v>
      </c>
      <c r="X11" s="15">
        <v>0.95036028823058405</v>
      </c>
      <c r="Y11" s="15">
        <v>0.95230000000000004</v>
      </c>
      <c r="Z11" s="15">
        <v>0.84270809707416605</v>
      </c>
      <c r="AA11" s="15">
        <v>0.91249619327986997</v>
      </c>
      <c r="AB11" s="15">
        <v>0.95366293034427496</v>
      </c>
    </row>
    <row r="12" spans="1:28" ht="15" thickBot="1" x14ac:dyDescent="0.35">
      <c r="A12" t="s">
        <v>56</v>
      </c>
      <c r="B12">
        <v>100</v>
      </c>
      <c r="C12" s="11" t="s">
        <v>83</v>
      </c>
      <c r="D12" s="13">
        <v>0.94779999999999998</v>
      </c>
      <c r="E12" s="13">
        <v>0.95309999999999995</v>
      </c>
      <c r="F12" s="13">
        <v>0.94830000000000003</v>
      </c>
      <c r="G12" s="13">
        <v>0.94469999999999998</v>
      </c>
      <c r="H12" s="13">
        <v>0.95177588794397205</v>
      </c>
      <c r="L12" s="46"/>
      <c r="M12" t="s">
        <v>87</v>
      </c>
      <c r="N12" s="15">
        <v>0.83453969690115404</v>
      </c>
      <c r="O12" s="15">
        <v>0.91016380099704997</v>
      </c>
      <c r="P12" s="15">
        <v>0.94247123561780899</v>
      </c>
      <c r="Q12" s="15">
        <v>0.89639500051647603</v>
      </c>
      <c r="R12" s="15">
        <v>0.93915132105684596</v>
      </c>
      <c r="S12" s="15">
        <v>0.94330000000000003</v>
      </c>
      <c r="T12" s="15">
        <v>0.94750000000000001</v>
      </c>
      <c r="U12" s="15">
        <v>0.94730000000000003</v>
      </c>
      <c r="V12" s="15">
        <v>0.95069999999999999</v>
      </c>
      <c r="W12" s="15">
        <v>0.89850592478104097</v>
      </c>
      <c r="X12" s="15">
        <v>0.94365492393915096</v>
      </c>
      <c r="Y12" s="15">
        <v>0.94930000000000003</v>
      </c>
      <c r="Z12" s="15">
        <v>0.83374914946699896</v>
      </c>
      <c r="AA12" s="15">
        <v>0.90782661658714803</v>
      </c>
      <c r="AB12" s="15">
        <v>0.94565652522017596</v>
      </c>
    </row>
    <row r="13" spans="1:28" ht="15" thickTop="1" x14ac:dyDescent="0.3">
      <c r="A13" s="1" t="s">
        <v>56</v>
      </c>
      <c r="B13" s="1">
        <v>20</v>
      </c>
      <c r="C13" s="1" t="s">
        <v>85</v>
      </c>
      <c r="D13" s="12">
        <v>0.89710000000000001</v>
      </c>
      <c r="E13" s="12">
        <v>0.96379999999999999</v>
      </c>
      <c r="F13" s="12">
        <v>0.96360000000000001</v>
      </c>
      <c r="G13" s="12">
        <v>0.96548964689406802</v>
      </c>
      <c r="H13" s="12">
        <v>0.86864192537162499</v>
      </c>
      <c r="L13" s="46"/>
      <c r="M13" t="s">
        <v>55</v>
      </c>
      <c r="N13" s="15">
        <v>0.98329999999999995</v>
      </c>
      <c r="O13" s="15">
        <v>0.96140000000000003</v>
      </c>
      <c r="P13" s="15">
        <v>0.96599999999999997</v>
      </c>
      <c r="Q13" s="15">
        <v>0.95889999999999997</v>
      </c>
      <c r="R13" s="15">
        <v>0.97030000000000005</v>
      </c>
      <c r="S13" s="15">
        <v>0.95320000000000005</v>
      </c>
      <c r="T13" s="15">
        <v>0.95609999999999995</v>
      </c>
      <c r="U13" s="15">
        <v>0.96509999999999996</v>
      </c>
      <c r="V13" s="15">
        <v>0.96619999999999995</v>
      </c>
      <c r="W13" s="15">
        <v>0.9526</v>
      </c>
      <c r="X13" s="15">
        <v>0.97089999999999999</v>
      </c>
      <c r="Y13" s="15">
        <v>0.95609999999999995</v>
      </c>
      <c r="Z13" s="15">
        <v>0.98319999999999996</v>
      </c>
      <c r="AA13" s="15">
        <v>0.96020000000000005</v>
      </c>
      <c r="AB13" s="15">
        <v>0.96499999999999997</v>
      </c>
    </row>
    <row r="14" spans="1:28" x14ac:dyDescent="0.3">
      <c r="A14" t="s">
        <v>56</v>
      </c>
      <c r="B14">
        <v>50</v>
      </c>
      <c r="C14" t="s">
        <v>85</v>
      </c>
      <c r="D14" s="13">
        <v>0.96</v>
      </c>
      <c r="E14" s="13">
        <v>0.96150000000000002</v>
      </c>
      <c r="F14" s="13">
        <v>0.96220000000000006</v>
      </c>
      <c r="G14" s="13">
        <v>0.95760000000000001</v>
      </c>
      <c r="H14" s="13">
        <v>0.95199438765283595</v>
      </c>
      <c r="L14" s="46"/>
      <c r="M14" t="s">
        <v>32</v>
      </c>
      <c r="N14" s="15">
        <v>0.93918426802622001</v>
      </c>
      <c r="O14" s="15">
        <v>0.98655972252330404</v>
      </c>
      <c r="P14" s="15">
        <v>0.92625260320960401</v>
      </c>
      <c r="Q14" s="15">
        <v>0.983795522886736</v>
      </c>
      <c r="R14" s="15">
        <v>0.93170550322260803</v>
      </c>
      <c r="S14" s="15">
        <v>0.94663017447827602</v>
      </c>
      <c r="T14" s="15">
        <v>0.95609999999999995</v>
      </c>
      <c r="U14" s="15">
        <v>0.93489999999999995</v>
      </c>
      <c r="V14" s="15">
        <v>0.94610000000000005</v>
      </c>
      <c r="W14" s="15">
        <v>0.98649875198547798</v>
      </c>
      <c r="X14" s="15">
        <v>0.94698795180722894</v>
      </c>
      <c r="Y14" s="15">
        <v>0.95609999999999995</v>
      </c>
      <c r="Z14" s="15">
        <v>0.93752324284120503</v>
      </c>
      <c r="AA14" s="15">
        <v>0.98677363399826501</v>
      </c>
      <c r="AB14" s="15">
        <v>0.93120059288537504</v>
      </c>
    </row>
    <row r="15" spans="1:28" ht="15" thickBot="1" x14ac:dyDescent="0.35">
      <c r="A15" t="s">
        <v>56</v>
      </c>
      <c r="B15">
        <v>100</v>
      </c>
      <c r="C15" t="s">
        <v>85</v>
      </c>
      <c r="D15" s="13">
        <v>0.95269999999999999</v>
      </c>
      <c r="E15" s="13">
        <v>0.95750000000000002</v>
      </c>
      <c r="F15" s="13">
        <v>0.95399999999999996</v>
      </c>
      <c r="G15" s="13">
        <v>0.95079999999999998</v>
      </c>
      <c r="H15" s="13">
        <v>0.954481792717087</v>
      </c>
      <c r="L15" s="46"/>
      <c r="M15" t="s">
        <v>58</v>
      </c>
      <c r="N15" s="15"/>
      <c r="O15" s="15"/>
      <c r="P15" s="15"/>
      <c r="Q15" s="15"/>
      <c r="R15" s="15"/>
      <c r="S15" s="15"/>
      <c r="T15" s="15">
        <v>0.95430000000000004</v>
      </c>
      <c r="U15" s="15">
        <v>0.95020000000000004</v>
      </c>
      <c r="V15" s="15">
        <v>0.94779999999999998</v>
      </c>
      <c r="W15" s="15"/>
      <c r="X15" s="15"/>
      <c r="Y15" s="15"/>
      <c r="Z15" s="15"/>
      <c r="AA15" s="15"/>
      <c r="AB15" s="15"/>
    </row>
    <row r="16" spans="1:28" ht="15" thickTop="1" x14ac:dyDescent="0.3">
      <c r="A16" s="1" t="s">
        <v>56</v>
      </c>
      <c r="B16" s="1">
        <v>20</v>
      </c>
      <c r="C16" s="1" t="s">
        <v>87</v>
      </c>
      <c r="D16" s="12">
        <v>0.90090646889163595</v>
      </c>
      <c r="E16" s="12">
        <v>0.94550736251627798</v>
      </c>
      <c r="F16" s="12">
        <v>0.94320000000000004</v>
      </c>
      <c r="G16" s="12">
        <v>0.95091164095371705</v>
      </c>
      <c r="H16" s="12">
        <v>0.943442440436428</v>
      </c>
      <c r="L16" s="46"/>
      <c r="M16" t="s">
        <v>92</v>
      </c>
      <c r="N16" s="15">
        <v>0.982688803401498</v>
      </c>
      <c r="O16" s="15">
        <v>0.91520000000000001</v>
      </c>
      <c r="P16" s="15">
        <v>0.93867258422432898</v>
      </c>
      <c r="Q16" s="15">
        <v>0.90015282730514501</v>
      </c>
      <c r="R16" s="15">
        <v>0.94152165115337905</v>
      </c>
      <c r="S16" s="15">
        <v>0.95121212121212095</v>
      </c>
      <c r="T16" s="15">
        <v>0.95347673836918501</v>
      </c>
      <c r="U16" s="15">
        <v>0.94649464946494599</v>
      </c>
      <c r="V16" s="15">
        <v>0.95148544563368997</v>
      </c>
      <c r="W16" s="15">
        <v>0.91488052507435103</v>
      </c>
      <c r="X16" s="15">
        <v>0.94604679306171802</v>
      </c>
      <c r="Y16" s="15">
        <v>0.95405649944706905</v>
      </c>
      <c r="Z16" s="15">
        <v>0.98011494252873599</v>
      </c>
      <c r="AA16" s="15">
        <v>0.942133443163097</v>
      </c>
      <c r="AB16" s="15">
        <v>0.94448391352887495</v>
      </c>
    </row>
    <row r="17" spans="1:28" ht="15" thickBot="1" x14ac:dyDescent="0.35">
      <c r="A17" t="s">
        <v>56</v>
      </c>
      <c r="B17">
        <v>50</v>
      </c>
      <c r="C17" t="s">
        <v>87</v>
      </c>
      <c r="D17" s="13">
        <v>0.94516710026015605</v>
      </c>
      <c r="E17" s="13">
        <v>0.95089999999999997</v>
      </c>
      <c r="F17" s="13">
        <v>0.95130000000000003</v>
      </c>
      <c r="G17" s="13">
        <v>0.94640000000000002</v>
      </c>
      <c r="H17" s="13">
        <v>0.94428772919605097</v>
      </c>
    </row>
    <row r="18" spans="1:28" ht="15" thickBot="1" x14ac:dyDescent="0.35">
      <c r="A18" t="s">
        <v>56</v>
      </c>
      <c r="B18">
        <v>100</v>
      </c>
      <c r="C18" s="14" t="s">
        <v>87</v>
      </c>
      <c r="D18" s="13">
        <v>0.94520000000000004</v>
      </c>
      <c r="E18" s="13">
        <v>0.9526</v>
      </c>
      <c r="F18" s="13">
        <v>0.94810000000000005</v>
      </c>
      <c r="G18" s="13">
        <v>0.94430000000000003</v>
      </c>
      <c r="H18" s="13">
        <v>0.95007503751875899</v>
      </c>
    </row>
    <row r="19" spans="1:28" ht="15" thickTop="1" x14ac:dyDescent="0.3">
      <c r="A19" s="1" t="s">
        <v>56</v>
      </c>
      <c r="B19" s="1">
        <v>20</v>
      </c>
      <c r="C19" s="1" t="s">
        <v>89</v>
      </c>
      <c r="D19" s="12">
        <v>0.89329999999999998</v>
      </c>
      <c r="E19" s="12">
        <v>0.96060000000000001</v>
      </c>
      <c r="F19" s="12">
        <v>0.96150000000000002</v>
      </c>
      <c r="G19" s="12">
        <v>0.96338901670501198</v>
      </c>
      <c r="H19" s="12">
        <v>0.86702396602285403</v>
      </c>
    </row>
    <row r="20" spans="1:28" x14ac:dyDescent="0.3">
      <c r="A20" t="s">
        <v>56</v>
      </c>
      <c r="B20">
        <v>50</v>
      </c>
      <c r="C20" t="s">
        <v>89</v>
      </c>
      <c r="D20" s="13">
        <v>0.95399999999999996</v>
      </c>
      <c r="E20" s="13">
        <v>0.96040000000000003</v>
      </c>
      <c r="F20" s="13">
        <v>0.96160000000000001</v>
      </c>
      <c r="G20" s="13">
        <v>0.95660000000000001</v>
      </c>
      <c r="H20" s="13">
        <v>0.94527961515333703</v>
      </c>
    </row>
    <row r="21" spans="1:28" ht="15" thickBot="1" x14ac:dyDescent="0.35">
      <c r="A21" t="s">
        <v>56</v>
      </c>
      <c r="B21">
        <v>100</v>
      </c>
      <c r="C21" t="s">
        <v>89</v>
      </c>
      <c r="D21" s="13">
        <v>0.94979999999999998</v>
      </c>
      <c r="E21" s="13">
        <v>0.95689999999999997</v>
      </c>
      <c r="F21" s="13">
        <v>0.95320000000000005</v>
      </c>
      <c r="G21" s="13">
        <v>0.94979999999999998</v>
      </c>
      <c r="H21" s="13">
        <v>0.95318127250900397</v>
      </c>
      <c r="M21" t="s">
        <v>116</v>
      </c>
      <c r="N21" s="45" t="s">
        <v>118</v>
      </c>
      <c r="O21" s="45"/>
      <c r="P21" s="45"/>
      <c r="Q21" s="45" t="s">
        <v>95</v>
      </c>
      <c r="R21" s="45" t="s">
        <v>95</v>
      </c>
      <c r="S21" s="45" t="s">
        <v>95</v>
      </c>
      <c r="T21" s="45" t="s">
        <v>97</v>
      </c>
      <c r="U21" s="45" t="s">
        <v>97</v>
      </c>
      <c r="V21" s="45" t="s">
        <v>97</v>
      </c>
      <c r="W21" s="45" t="s">
        <v>99</v>
      </c>
      <c r="X21" s="45" t="s">
        <v>99</v>
      </c>
      <c r="Y21" s="45" t="s">
        <v>99</v>
      </c>
      <c r="Z21" s="45" t="s">
        <v>100</v>
      </c>
      <c r="AA21" s="45" t="s">
        <v>100</v>
      </c>
      <c r="AB21" s="45" t="s">
        <v>100</v>
      </c>
    </row>
    <row r="22" spans="1:28" ht="15" thickTop="1" x14ac:dyDescent="0.3">
      <c r="A22" s="1" t="s">
        <v>56</v>
      </c>
      <c r="B22" s="1">
        <v>20</v>
      </c>
      <c r="C22" s="1" t="s">
        <v>70</v>
      </c>
      <c r="D22" s="12">
        <v>0.87480000000000002</v>
      </c>
      <c r="E22" s="12">
        <v>0.958487546263879</v>
      </c>
      <c r="F22" s="12">
        <v>0.95915507057763505</v>
      </c>
      <c r="G22" s="12">
        <v>0.96353012290953099</v>
      </c>
      <c r="H22" s="12">
        <v>0.86251155149399295</v>
      </c>
      <c r="K22" t="s">
        <v>138</v>
      </c>
      <c r="M22" t="s">
        <v>1</v>
      </c>
      <c r="N22" t="s">
        <v>119</v>
      </c>
      <c r="O22" t="s">
        <v>120</v>
      </c>
      <c r="P22" t="s">
        <v>121</v>
      </c>
      <c r="Q22" t="s">
        <v>119</v>
      </c>
      <c r="R22" t="s">
        <v>120</v>
      </c>
      <c r="S22" t="s">
        <v>121</v>
      </c>
      <c r="T22" t="s">
        <v>119</v>
      </c>
      <c r="U22" t="s">
        <v>120</v>
      </c>
      <c r="V22" t="s">
        <v>121</v>
      </c>
      <c r="W22" t="s">
        <v>119</v>
      </c>
      <c r="X22" t="s">
        <v>120</v>
      </c>
      <c r="Y22" t="s">
        <v>121</v>
      </c>
      <c r="Z22" t="s">
        <v>119</v>
      </c>
      <c r="AA22" t="s">
        <v>120</v>
      </c>
      <c r="AB22" t="s">
        <v>121</v>
      </c>
    </row>
    <row r="23" spans="1:28" x14ac:dyDescent="0.3">
      <c r="A23" t="s">
        <v>56</v>
      </c>
      <c r="B23">
        <v>50</v>
      </c>
      <c r="C23" t="s">
        <v>70</v>
      </c>
      <c r="D23" s="13">
        <v>0.95009999999999994</v>
      </c>
      <c r="E23" s="13">
        <v>0.96230000000000004</v>
      </c>
      <c r="F23" s="13">
        <v>0.96437862717630596</v>
      </c>
      <c r="G23" s="13">
        <v>0.95909999999999995</v>
      </c>
      <c r="H23" s="13">
        <v>0.94246575342465799</v>
      </c>
      <c r="K23">
        <v>0.95</v>
      </c>
      <c r="L23" s="28" t="s">
        <v>56</v>
      </c>
      <c r="M23" t="s">
        <v>34</v>
      </c>
      <c r="N23" s="15">
        <v>0.97554092191909703</v>
      </c>
      <c r="O23" s="15">
        <v>0.97978596908442295</v>
      </c>
      <c r="P23" s="15">
        <v>0.95855964594649001</v>
      </c>
      <c r="Q23" s="15">
        <v>0.98085202809879901</v>
      </c>
      <c r="R23" s="15">
        <v>0.95612799356007205</v>
      </c>
      <c r="S23" s="15">
        <v>0.95209999999999995</v>
      </c>
      <c r="T23" s="15">
        <v>0.94930000000000003</v>
      </c>
      <c r="U23" s="15">
        <v>0.95499999999999996</v>
      </c>
      <c r="V23" s="15">
        <v>0.9506</v>
      </c>
      <c r="W23" s="15">
        <v>0.977653631284916</v>
      </c>
      <c r="X23" s="15">
        <v>0.95719883452225496</v>
      </c>
      <c r="Y23" s="15">
        <v>0.95009999999999994</v>
      </c>
      <c r="Z23" s="15">
        <v>0.96902303415409097</v>
      </c>
      <c r="AA23" s="15">
        <v>0.98019266154345697</v>
      </c>
      <c r="AB23" s="15">
        <v>0.96185587761674696</v>
      </c>
    </row>
    <row r="24" spans="1:28" ht="15" thickBot="1" x14ac:dyDescent="0.35">
      <c r="A24" t="s">
        <v>56</v>
      </c>
      <c r="B24">
        <v>100</v>
      </c>
      <c r="C24" t="s">
        <v>70</v>
      </c>
      <c r="D24" s="13">
        <v>0.95109999999999995</v>
      </c>
      <c r="E24" s="13">
        <v>0.95699999999999996</v>
      </c>
      <c r="F24" s="13">
        <v>0.95449544954495402</v>
      </c>
      <c r="G24" s="13">
        <v>0.95232371794871795</v>
      </c>
      <c r="H24" s="13">
        <v>0.95377768787296402</v>
      </c>
      <c r="K24">
        <v>0.95</v>
      </c>
      <c r="L24" s="28" t="s">
        <v>131</v>
      </c>
      <c r="M24" t="s">
        <v>33</v>
      </c>
      <c r="N24" s="15">
        <v>0.39644401729937501</v>
      </c>
      <c r="O24" s="15">
        <v>0.91349999999999998</v>
      </c>
      <c r="P24" s="15">
        <v>0.91715399610136406</v>
      </c>
      <c r="Q24" s="15">
        <v>0.82022156780255195</v>
      </c>
      <c r="R24" s="15">
        <v>0.926835196888673</v>
      </c>
      <c r="S24" s="15">
        <v>0.95020126509488201</v>
      </c>
      <c r="T24" s="15">
        <v>0.95640000000000003</v>
      </c>
      <c r="U24" s="15">
        <v>0.97060000000000002</v>
      </c>
      <c r="V24" s="15">
        <v>0.96509999999999996</v>
      </c>
      <c r="W24" s="15">
        <v>0.86509999999999998</v>
      </c>
      <c r="X24" s="15">
        <v>0.9385</v>
      </c>
      <c r="Y24" s="15">
        <v>0.95520000000000005</v>
      </c>
      <c r="Z24" s="15">
        <v>0.389221556886228</v>
      </c>
      <c r="AA24" s="15">
        <v>0.91390000000000005</v>
      </c>
      <c r="AB24" s="15">
        <v>0.92098192476795304</v>
      </c>
    </row>
    <row r="25" spans="1:28" ht="15" thickTop="1" x14ac:dyDescent="0.3">
      <c r="A25" s="1" t="s">
        <v>56</v>
      </c>
      <c r="B25" s="1">
        <v>20</v>
      </c>
      <c r="C25" s="1" t="s">
        <v>90</v>
      </c>
      <c r="D25" s="12">
        <v>0.86640491291654098</v>
      </c>
      <c r="E25" s="12">
        <v>0.95964170692431605</v>
      </c>
      <c r="F25" s="12">
        <v>0.95717171717171701</v>
      </c>
      <c r="G25" s="12">
        <v>0.96364191872899496</v>
      </c>
      <c r="H25" s="12">
        <v>0.86282143223030405</v>
      </c>
      <c r="K25">
        <v>0.95</v>
      </c>
      <c r="L25" s="28" t="s">
        <v>132</v>
      </c>
      <c r="M25" t="s">
        <v>83</v>
      </c>
      <c r="N25" s="15">
        <v>0.87016042780748704</v>
      </c>
      <c r="O25" s="15">
        <v>0.92199437072778401</v>
      </c>
      <c r="P25" s="15">
        <v>0.94778955791158204</v>
      </c>
      <c r="Q25" s="15">
        <v>0.911049553708833</v>
      </c>
      <c r="R25" s="15">
        <v>0.950080032012805</v>
      </c>
      <c r="S25" s="15">
        <v>0.95179999999999998</v>
      </c>
      <c r="T25" s="15">
        <v>0.94520000000000004</v>
      </c>
      <c r="U25" s="15">
        <v>0.95299999999999996</v>
      </c>
      <c r="V25" s="15">
        <v>0.94830000000000003</v>
      </c>
      <c r="W25" s="15">
        <v>0.949314915896179</v>
      </c>
      <c r="X25" s="15">
        <v>0.94451703688812905</v>
      </c>
      <c r="Y25" s="15">
        <v>0.95046036829463598</v>
      </c>
      <c r="Z25" s="15">
        <v>0.90725288831835704</v>
      </c>
      <c r="AA25" s="15">
        <v>0.96226815050344505</v>
      </c>
      <c r="AB25" s="15">
        <v>0.94584434058118305</v>
      </c>
    </row>
    <row r="26" spans="1:28" x14ac:dyDescent="0.3">
      <c r="A26" t="s">
        <v>56</v>
      </c>
      <c r="B26">
        <v>50</v>
      </c>
      <c r="C26" t="s">
        <v>90</v>
      </c>
      <c r="D26" s="13">
        <v>0.94723008491710503</v>
      </c>
      <c r="E26" s="13">
        <v>0.96540000000000004</v>
      </c>
      <c r="F26" s="13">
        <v>0.96702964307320005</v>
      </c>
      <c r="G26" s="13">
        <v>0.96150000000000002</v>
      </c>
      <c r="H26" s="13">
        <v>0.93992681439316905</v>
      </c>
      <c r="K26">
        <v>0.95</v>
      </c>
      <c r="L26" s="28" t="s">
        <v>133</v>
      </c>
      <c r="M26" t="s">
        <v>87</v>
      </c>
      <c r="N26" s="15">
        <v>0.86352941176470599</v>
      </c>
      <c r="O26" s="15">
        <v>0.91596300763972704</v>
      </c>
      <c r="P26" s="15">
        <v>0.94018803760752101</v>
      </c>
      <c r="Q26" s="15">
        <v>0.90550938750384702</v>
      </c>
      <c r="R26" s="15">
        <v>0.94247699079631897</v>
      </c>
      <c r="S26" s="15">
        <v>0.94750000000000001</v>
      </c>
      <c r="T26" s="15">
        <v>0.94320000000000004</v>
      </c>
      <c r="U26" s="15">
        <v>0.95130000000000003</v>
      </c>
      <c r="V26" s="15">
        <v>0.94810000000000005</v>
      </c>
      <c r="W26" s="15">
        <v>0.94664141695443904</v>
      </c>
      <c r="X26" s="15">
        <v>0.94140114584380297</v>
      </c>
      <c r="Y26" s="15">
        <v>0.94865892714171296</v>
      </c>
      <c r="Z26" s="15">
        <v>0.90356225930680401</v>
      </c>
      <c r="AA26" s="15">
        <v>0.95887652358240605</v>
      </c>
      <c r="AB26" s="15">
        <v>0.94167852062588897</v>
      </c>
    </row>
    <row r="27" spans="1:28" ht="15" thickBot="1" x14ac:dyDescent="0.35">
      <c r="A27" t="s">
        <v>56</v>
      </c>
      <c r="B27">
        <v>100</v>
      </c>
      <c r="C27" t="s">
        <v>90</v>
      </c>
      <c r="D27" s="13">
        <v>0.95202096562846505</v>
      </c>
      <c r="E27" s="13">
        <v>0.95896869983948596</v>
      </c>
      <c r="F27" s="13">
        <v>0.95757514828591495</v>
      </c>
      <c r="G27" s="13">
        <v>0.95622352229170904</v>
      </c>
      <c r="H27" s="13">
        <v>0.95434343434343405</v>
      </c>
      <c r="K27">
        <v>0.95</v>
      </c>
      <c r="L27" s="28" t="s">
        <v>134</v>
      </c>
      <c r="M27" t="s">
        <v>55</v>
      </c>
      <c r="N27" s="15">
        <v>0.98540000000000005</v>
      </c>
      <c r="O27" s="15">
        <v>0.96240000000000003</v>
      </c>
      <c r="P27" s="15">
        <v>0.96440000000000003</v>
      </c>
      <c r="Q27" s="15">
        <v>0.95709999999999995</v>
      </c>
      <c r="R27" s="15">
        <v>0.96740000000000004</v>
      </c>
      <c r="S27" s="15">
        <v>0.95669999999999999</v>
      </c>
      <c r="T27" s="15">
        <v>0.95640000000000003</v>
      </c>
      <c r="U27" s="15">
        <v>0.97060000000000002</v>
      </c>
      <c r="V27" s="15">
        <v>0.96509999999999996</v>
      </c>
      <c r="W27" s="15">
        <v>0.95409999999999995</v>
      </c>
      <c r="X27" s="15">
        <v>0.97060000000000002</v>
      </c>
      <c r="Y27" s="15">
        <v>0.95520000000000005</v>
      </c>
      <c r="Z27" s="15">
        <v>0.9829</v>
      </c>
      <c r="AA27" s="15">
        <v>0.96399999999999997</v>
      </c>
      <c r="AB27" s="15">
        <v>0.96489999999999998</v>
      </c>
    </row>
    <row r="28" spans="1:28" ht="15" thickTop="1" x14ac:dyDescent="0.3">
      <c r="A28" s="1" t="s">
        <v>56</v>
      </c>
      <c r="B28" s="1">
        <v>20</v>
      </c>
      <c r="C28" s="1" t="s">
        <v>55</v>
      </c>
      <c r="D28" s="12">
        <v>0.95989999999999998</v>
      </c>
      <c r="E28" s="12">
        <v>0.96099999999999997</v>
      </c>
      <c r="F28" s="12">
        <v>0.95640000000000003</v>
      </c>
      <c r="G28" s="12">
        <v>0.96450000000000002</v>
      </c>
      <c r="H28" s="12">
        <v>0.95550000000000002</v>
      </c>
      <c r="K28">
        <v>0.95</v>
      </c>
      <c r="L28" s="28" t="s">
        <v>135</v>
      </c>
      <c r="M28" t="s">
        <v>32</v>
      </c>
      <c r="N28" s="15">
        <v>0.94429607020221296</v>
      </c>
      <c r="O28" s="15">
        <v>0.98746081504702199</v>
      </c>
      <c r="P28" s="15">
        <v>0.92368098159509204</v>
      </c>
      <c r="Q28" s="15">
        <v>0.981870068826591</v>
      </c>
      <c r="R28" s="15">
        <v>0.93387215282880198</v>
      </c>
      <c r="S28" s="15">
        <v>0.95020126509488201</v>
      </c>
      <c r="T28" s="15">
        <v>0.95640000000000003</v>
      </c>
      <c r="U28" s="15">
        <v>0.93789999999999996</v>
      </c>
      <c r="V28" s="15">
        <v>0.94399999999999995</v>
      </c>
      <c r="W28" s="15">
        <v>0.98631854976627498</v>
      </c>
      <c r="X28" s="15">
        <v>0.94293177936300598</v>
      </c>
      <c r="Y28" s="15">
        <v>0.95520000000000005</v>
      </c>
      <c r="Z28" s="15">
        <v>0.93525179856115104</v>
      </c>
      <c r="AA28" s="15">
        <v>0.98917631778331006</v>
      </c>
      <c r="AB28" s="15">
        <v>0.92823732151649396</v>
      </c>
    </row>
    <row r="29" spans="1:28" x14ac:dyDescent="0.3">
      <c r="A29" t="s">
        <v>56</v>
      </c>
      <c r="B29">
        <v>50</v>
      </c>
      <c r="C29" t="s">
        <v>55</v>
      </c>
      <c r="D29" s="13">
        <v>0.97209999999999996</v>
      </c>
      <c r="E29" s="13">
        <v>0.95569999999999999</v>
      </c>
      <c r="F29" s="13">
        <v>0.97060000000000002</v>
      </c>
      <c r="G29" s="13">
        <v>0.95020000000000004</v>
      </c>
      <c r="H29" s="13">
        <v>0.96970000000000001</v>
      </c>
      <c r="K29">
        <v>0.95</v>
      </c>
      <c r="L29" s="28" t="s">
        <v>136</v>
      </c>
      <c r="M29" t="s">
        <v>58</v>
      </c>
      <c r="N29" s="15" t="s">
        <v>59</v>
      </c>
      <c r="O29" s="15" t="s">
        <v>59</v>
      </c>
      <c r="P29" s="15" t="s">
        <v>59</v>
      </c>
      <c r="Q29" s="15" t="s">
        <v>59</v>
      </c>
      <c r="R29" s="15" t="s">
        <v>59</v>
      </c>
      <c r="S29" s="15" t="s">
        <v>59</v>
      </c>
      <c r="T29" s="15">
        <v>0.91539999999999999</v>
      </c>
      <c r="U29" s="15">
        <v>0.84970000000000001</v>
      </c>
      <c r="V29" s="15">
        <v>0.73270000000000002</v>
      </c>
      <c r="W29" s="15" t="s">
        <v>59</v>
      </c>
      <c r="X29" s="15" t="s">
        <v>59</v>
      </c>
      <c r="Y29" s="15" t="s">
        <v>59</v>
      </c>
      <c r="Z29" s="15" t="s">
        <v>59</v>
      </c>
      <c r="AA29" s="15" t="s">
        <v>59</v>
      </c>
      <c r="AB29" s="15" t="s">
        <v>59</v>
      </c>
    </row>
    <row r="30" spans="1:28" ht="15" thickBot="1" x14ac:dyDescent="0.35">
      <c r="A30" t="s">
        <v>56</v>
      </c>
      <c r="B30">
        <v>100</v>
      </c>
      <c r="C30" t="s">
        <v>55</v>
      </c>
      <c r="D30" s="13">
        <v>0.95389999999999997</v>
      </c>
      <c r="E30" s="13">
        <v>0.95330000000000004</v>
      </c>
      <c r="F30" s="13">
        <v>0.96509999999999996</v>
      </c>
      <c r="G30" s="13">
        <v>0.94699999999999995</v>
      </c>
      <c r="H30" s="13">
        <v>0.95530000000000004</v>
      </c>
      <c r="K30">
        <v>0.95</v>
      </c>
      <c r="L30" s="28" t="s">
        <v>137</v>
      </c>
      <c r="M30" t="s">
        <v>92</v>
      </c>
      <c r="N30" s="15">
        <v>0.98595787362086296</v>
      </c>
      <c r="O30" s="15">
        <v>0.9244</v>
      </c>
      <c r="P30" s="15">
        <v>0.94013058764440005</v>
      </c>
      <c r="Q30" s="15">
        <v>0.91096305269533595</v>
      </c>
      <c r="R30" s="15">
        <v>0.94447803305118905</v>
      </c>
      <c r="S30" s="15">
        <v>0.95436687821094002</v>
      </c>
      <c r="T30" s="15">
        <v>0.95325977933801398</v>
      </c>
      <c r="U30" s="15">
        <v>0.94542905777510799</v>
      </c>
      <c r="V30" s="15">
        <v>0.94743692430917104</v>
      </c>
      <c r="W30" s="15">
        <v>0.951281766729553</v>
      </c>
      <c r="X30" s="15">
        <v>0.94095604618189199</v>
      </c>
      <c r="Y30" s="15">
        <v>0.95456839979808195</v>
      </c>
      <c r="Z30" s="15">
        <v>0.97434402332361503</v>
      </c>
      <c r="AA30" s="15">
        <v>0.975695554844899</v>
      </c>
      <c r="AB30" s="15">
        <v>0.94084877949964596</v>
      </c>
    </row>
    <row r="31" spans="1:28" ht="15" thickTop="1" x14ac:dyDescent="0.3">
      <c r="A31" s="1" t="s">
        <v>56</v>
      </c>
      <c r="B31" s="1">
        <v>20</v>
      </c>
      <c r="C31" s="1" t="s">
        <v>32</v>
      </c>
      <c r="D31" s="12">
        <v>0.98179343202314096</v>
      </c>
      <c r="E31" s="12">
        <v>0.96447209955840996</v>
      </c>
      <c r="F31" s="12">
        <v>0.95640000000000003</v>
      </c>
      <c r="G31" s="12">
        <v>0.96779048765803699</v>
      </c>
      <c r="H31" s="12">
        <v>0.98699669214098296</v>
      </c>
      <c r="K31">
        <v>0.95</v>
      </c>
      <c r="L31" s="28" t="s">
        <v>57</v>
      </c>
      <c r="M31" t="s">
        <v>34</v>
      </c>
      <c r="N31" s="15">
        <v>0.97523750194673697</v>
      </c>
      <c r="O31" s="15">
        <v>0.982764227642276</v>
      </c>
      <c r="P31" s="15">
        <v>0.95733977261293901</v>
      </c>
      <c r="Q31" s="15">
        <v>0.980136208853575</v>
      </c>
      <c r="R31" s="15">
        <v>0.95459111914808104</v>
      </c>
      <c r="S31" s="15">
        <v>0.95020000000000004</v>
      </c>
      <c r="T31" s="15">
        <v>0.95340000000000003</v>
      </c>
      <c r="U31" s="15">
        <v>0.95189999999999997</v>
      </c>
      <c r="V31" s="15">
        <v>0.95109999999999995</v>
      </c>
      <c r="W31" s="15">
        <v>0.97744874715261998</v>
      </c>
      <c r="X31" s="15">
        <v>0.95826629123089302</v>
      </c>
      <c r="Y31" s="15">
        <v>0.95569999999999999</v>
      </c>
      <c r="Z31" s="15">
        <v>0.97404027690371298</v>
      </c>
      <c r="AA31" s="15">
        <v>0.97923650913809901</v>
      </c>
      <c r="AB31" s="15">
        <v>0.96339869281045798</v>
      </c>
    </row>
    <row r="32" spans="1:28" x14ac:dyDescent="0.3">
      <c r="A32" t="s">
        <v>56</v>
      </c>
      <c r="B32">
        <v>50</v>
      </c>
      <c r="C32" t="s">
        <v>32</v>
      </c>
      <c r="D32" s="13">
        <v>0.93654697491392003</v>
      </c>
      <c r="E32" s="13">
        <v>0.95569999999999999</v>
      </c>
      <c r="F32" s="13">
        <v>0.93789999999999996</v>
      </c>
      <c r="G32" s="13">
        <v>0.95020000000000004</v>
      </c>
      <c r="H32" s="13">
        <v>0.94750629722921897</v>
      </c>
      <c r="K32">
        <v>0.95</v>
      </c>
      <c r="L32" s="28" t="s">
        <v>57</v>
      </c>
      <c r="M32" t="s">
        <v>33</v>
      </c>
      <c r="N32" s="15">
        <v>0.401830149301654</v>
      </c>
      <c r="O32" s="15">
        <v>0.91169999999999995</v>
      </c>
      <c r="P32" s="15">
        <v>0.91982237572468195</v>
      </c>
      <c r="Q32" s="15">
        <v>0.81424757622593802</v>
      </c>
      <c r="R32" s="15">
        <v>0.92711656441717805</v>
      </c>
      <c r="S32" s="15">
        <v>0.94703584558823495</v>
      </c>
      <c r="T32" s="15">
        <v>0.96020000000000005</v>
      </c>
      <c r="U32" s="15">
        <v>0.96599999999999997</v>
      </c>
      <c r="V32" s="15">
        <v>0.96279999999999999</v>
      </c>
      <c r="W32" s="15">
        <v>0.86599999999999999</v>
      </c>
      <c r="X32" s="15">
        <v>0.94040000000000001</v>
      </c>
      <c r="Y32" s="15">
        <v>0.95950000000000002</v>
      </c>
      <c r="Z32" s="15">
        <v>0.39534512992188697</v>
      </c>
      <c r="AA32" s="15">
        <v>0.91410000000000002</v>
      </c>
      <c r="AB32" s="15">
        <v>0.92166237587348299</v>
      </c>
    </row>
    <row r="33" spans="1:28" ht="15" thickBot="1" x14ac:dyDescent="0.35">
      <c r="A33" t="s">
        <v>56</v>
      </c>
      <c r="B33">
        <v>100</v>
      </c>
      <c r="C33" t="s">
        <v>32</v>
      </c>
      <c r="D33" s="13">
        <v>0.94669138950052101</v>
      </c>
      <c r="E33" s="13">
        <v>0.95330000000000004</v>
      </c>
      <c r="F33" s="13">
        <v>0.94399999999999995</v>
      </c>
      <c r="G33" s="13">
        <v>0.94699999999999995</v>
      </c>
      <c r="H33" s="13">
        <v>0.95530000000000004</v>
      </c>
      <c r="K33">
        <v>0.95</v>
      </c>
      <c r="L33" s="28" t="s">
        <v>57</v>
      </c>
      <c r="M33" t="s">
        <v>83</v>
      </c>
      <c r="N33" s="15">
        <v>0.61502300460091996</v>
      </c>
      <c r="O33" s="15">
        <v>0.69910000000000005</v>
      </c>
      <c r="P33" s="15">
        <v>0.81340000000000001</v>
      </c>
      <c r="Q33" s="15">
        <v>0.882753101240496</v>
      </c>
      <c r="R33" s="15">
        <v>0.93300000000000005</v>
      </c>
      <c r="S33" s="15">
        <v>0.94379999999999997</v>
      </c>
      <c r="T33" s="15">
        <v>0.94540000000000002</v>
      </c>
      <c r="U33" s="15">
        <v>0.94850000000000001</v>
      </c>
      <c r="V33" s="15">
        <v>0.95030000000000003</v>
      </c>
      <c r="W33" s="15">
        <v>0.91849962809478303</v>
      </c>
      <c r="X33" s="15">
        <v>0.94791144946408901</v>
      </c>
      <c r="Y33" s="15">
        <v>0.95469999999999999</v>
      </c>
      <c r="Z33" s="15">
        <v>0.87889048053131902</v>
      </c>
      <c r="AA33" s="15">
        <v>0.93511608623548903</v>
      </c>
      <c r="AB33" s="15">
        <v>0.94989979959919801</v>
      </c>
    </row>
    <row r="34" spans="1:28" ht="15" thickTop="1" x14ac:dyDescent="0.3">
      <c r="A34" s="1" t="s">
        <v>56</v>
      </c>
      <c r="B34" s="1">
        <v>20</v>
      </c>
      <c r="C34" s="1" t="s">
        <v>58</v>
      </c>
      <c r="D34" s="12" t="s">
        <v>59</v>
      </c>
      <c r="E34" s="12" t="s">
        <v>59</v>
      </c>
      <c r="F34" s="12">
        <v>0.91539999999999999</v>
      </c>
      <c r="G34" s="12" t="s">
        <v>59</v>
      </c>
      <c r="H34" s="12" t="s">
        <v>59</v>
      </c>
      <c r="K34">
        <v>0.95</v>
      </c>
      <c r="L34" s="28" t="s">
        <v>57</v>
      </c>
      <c r="M34" t="s">
        <v>87</v>
      </c>
      <c r="N34" s="15">
        <v>0.59801960392078402</v>
      </c>
      <c r="O34" s="15">
        <v>0.69240000000000002</v>
      </c>
      <c r="P34" s="15">
        <v>0.80869999999999997</v>
      </c>
      <c r="Q34" s="15">
        <v>0.87414965986394599</v>
      </c>
      <c r="R34" s="15">
        <v>0.9294</v>
      </c>
      <c r="S34" s="15">
        <v>0.94140000000000001</v>
      </c>
      <c r="T34" s="15">
        <v>0.94269999999999998</v>
      </c>
      <c r="U34" s="15">
        <v>0.94730000000000003</v>
      </c>
      <c r="V34" s="15">
        <v>0.95009999999999994</v>
      </c>
      <c r="W34" s="15">
        <v>0.91403676548719603</v>
      </c>
      <c r="X34" s="15">
        <v>0.94170089151557601</v>
      </c>
      <c r="Y34" s="15">
        <v>0.95269999999999999</v>
      </c>
      <c r="Z34" s="15">
        <v>0.87276989191300902</v>
      </c>
      <c r="AA34" s="15">
        <v>0.93159203980099503</v>
      </c>
      <c r="AB34" s="15">
        <v>0.94268537074148295</v>
      </c>
    </row>
    <row r="35" spans="1:28" x14ac:dyDescent="0.3">
      <c r="A35" t="s">
        <v>56</v>
      </c>
      <c r="B35">
        <v>50</v>
      </c>
      <c r="C35" t="s">
        <v>58</v>
      </c>
      <c r="D35" s="13" t="s">
        <v>59</v>
      </c>
      <c r="E35" s="13" t="s">
        <v>59</v>
      </c>
      <c r="F35" s="13">
        <v>0.84970000000000001</v>
      </c>
      <c r="G35" s="13" t="s">
        <v>59</v>
      </c>
      <c r="H35" s="13" t="s">
        <v>59</v>
      </c>
      <c r="K35">
        <v>0.95</v>
      </c>
      <c r="L35" s="28" t="s">
        <v>57</v>
      </c>
      <c r="M35" t="s">
        <v>55</v>
      </c>
      <c r="N35" s="15">
        <v>0.98529999999999995</v>
      </c>
      <c r="O35" s="15">
        <v>0.96340000000000003</v>
      </c>
      <c r="P35" s="15">
        <v>0.96660000000000001</v>
      </c>
      <c r="Q35" s="15">
        <v>0.95669999999999999</v>
      </c>
      <c r="R35" s="15">
        <v>0.9677</v>
      </c>
      <c r="S35" s="15">
        <v>0.95389999999999997</v>
      </c>
      <c r="T35" s="15">
        <v>0.96020000000000005</v>
      </c>
      <c r="U35" s="15">
        <v>0.96599999999999997</v>
      </c>
      <c r="V35" s="15">
        <v>0.96279999999999999</v>
      </c>
      <c r="W35" s="15">
        <v>0.95409999999999995</v>
      </c>
      <c r="X35" s="15">
        <v>0.96950000000000003</v>
      </c>
      <c r="Y35" s="15">
        <v>0.95950000000000002</v>
      </c>
      <c r="Z35" s="15">
        <v>0.98509999999999998</v>
      </c>
      <c r="AA35" s="15">
        <v>0.96250000000000002</v>
      </c>
      <c r="AB35" s="15">
        <v>0.96599999999999997</v>
      </c>
    </row>
    <row r="36" spans="1:28" ht="15" thickBot="1" x14ac:dyDescent="0.35">
      <c r="A36" t="s">
        <v>56</v>
      </c>
      <c r="B36">
        <v>100</v>
      </c>
      <c r="C36" t="s">
        <v>58</v>
      </c>
      <c r="D36" s="13" t="s">
        <v>59</v>
      </c>
      <c r="E36" s="13" t="s">
        <v>59</v>
      </c>
      <c r="F36" s="13">
        <v>0.73270000000000002</v>
      </c>
      <c r="G36" s="13" t="s">
        <v>59</v>
      </c>
      <c r="H36" s="13" t="s">
        <v>59</v>
      </c>
      <c r="K36">
        <v>0.95</v>
      </c>
      <c r="L36" s="28" t="s">
        <v>57</v>
      </c>
      <c r="M36" t="s">
        <v>32</v>
      </c>
      <c r="N36" s="15">
        <v>0.94452830188679204</v>
      </c>
      <c r="O36" s="15">
        <v>0.98829268292682904</v>
      </c>
      <c r="P36" s="15">
        <v>0.92679592344021899</v>
      </c>
      <c r="Q36" s="15">
        <v>0.97772903661211397</v>
      </c>
      <c r="R36" s="15">
        <v>0.93237907206317905</v>
      </c>
      <c r="S36" s="15">
        <v>0.94703584558823495</v>
      </c>
      <c r="T36" s="15">
        <v>0.96020000000000005</v>
      </c>
      <c r="U36" s="15">
        <v>0.93559999999999999</v>
      </c>
      <c r="V36" s="15">
        <v>0.94550000000000001</v>
      </c>
      <c r="W36" s="15">
        <v>0.98633257403189101</v>
      </c>
      <c r="X36" s="15">
        <v>0.94569589702333101</v>
      </c>
      <c r="Y36" s="15">
        <v>0.95950000000000002</v>
      </c>
      <c r="Z36" s="15">
        <v>0.94332445796880904</v>
      </c>
      <c r="AA36" s="15">
        <v>0.988536822753325</v>
      </c>
      <c r="AB36" s="15">
        <v>0.92791903233769402</v>
      </c>
    </row>
    <row r="37" spans="1:28" ht="15" thickTop="1" x14ac:dyDescent="0.3">
      <c r="A37" s="1" t="s">
        <v>56</v>
      </c>
      <c r="B37" s="1">
        <v>20</v>
      </c>
      <c r="C37" s="1" t="s">
        <v>91</v>
      </c>
      <c r="D37" s="12">
        <v>0.97760000000000002</v>
      </c>
      <c r="E37" s="12">
        <v>0.96340000000000003</v>
      </c>
      <c r="F37" s="12">
        <v>0.95579999999999998</v>
      </c>
      <c r="G37" s="12">
        <v>0.95909590959095903</v>
      </c>
      <c r="H37" s="12">
        <v>0.91093734132223003</v>
      </c>
      <c r="K37">
        <v>0.95</v>
      </c>
      <c r="L37" s="28" t="s">
        <v>57</v>
      </c>
      <c r="M37" t="s">
        <v>58</v>
      </c>
      <c r="N37" s="15" t="s">
        <v>59</v>
      </c>
      <c r="O37" s="15" t="s">
        <v>59</v>
      </c>
      <c r="P37" s="15" t="s">
        <v>59</v>
      </c>
      <c r="Q37" s="15" t="s">
        <v>59</v>
      </c>
      <c r="R37" s="15" t="s">
        <v>59</v>
      </c>
      <c r="S37" s="15" t="s">
        <v>59</v>
      </c>
      <c r="T37" s="15">
        <v>0.90149999999999997</v>
      </c>
      <c r="U37" s="15">
        <v>0.78920000000000001</v>
      </c>
      <c r="V37" s="15">
        <v>0.61809999999999998</v>
      </c>
      <c r="W37" s="15" t="s">
        <v>59</v>
      </c>
      <c r="X37" s="15" t="s">
        <v>59</v>
      </c>
      <c r="Y37" s="15" t="s">
        <v>59</v>
      </c>
      <c r="Z37" s="15" t="s">
        <v>59</v>
      </c>
      <c r="AA37" s="15" t="s">
        <v>59</v>
      </c>
      <c r="AB37" s="15" t="s">
        <v>59</v>
      </c>
    </row>
    <row r="38" spans="1:28" x14ac:dyDescent="0.3">
      <c r="A38" t="s">
        <v>56</v>
      </c>
      <c r="B38">
        <v>50</v>
      </c>
      <c r="C38" t="s">
        <v>91</v>
      </c>
      <c r="D38" s="13">
        <v>0.97030000000000005</v>
      </c>
      <c r="E38" s="13">
        <v>0.96260000000000001</v>
      </c>
      <c r="F38" s="13">
        <v>0.95850000000000002</v>
      </c>
      <c r="G38" s="13">
        <v>0.95169999999999999</v>
      </c>
      <c r="H38" s="13">
        <v>0.94587551368146705</v>
      </c>
      <c r="K38">
        <v>0.95</v>
      </c>
      <c r="L38" s="28" t="s">
        <v>57</v>
      </c>
      <c r="M38" t="s">
        <v>92</v>
      </c>
      <c r="N38" s="15">
        <v>0.99529999999999996</v>
      </c>
      <c r="O38" s="15">
        <v>0.96330000000000005</v>
      </c>
      <c r="P38" s="15">
        <v>0.95699999999999996</v>
      </c>
      <c r="Q38" s="15">
        <v>0.97099999999999997</v>
      </c>
      <c r="R38" s="15">
        <v>0.95689999999999997</v>
      </c>
      <c r="S38" s="15">
        <v>0.95420000000000005</v>
      </c>
      <c r="T38" s="15">
        <v>0.95669999999999999</v>
      </c>
      <c r="U38" s="15">
        <v>0.94859485948594902</v>
      </c>
      <c r="V38" s="15">
        <v>0.94989999999999997</v>
      </c>
      <c r="W38" s="15">
        <v>0.922970822281167</v>
      </c>
      <c r="X38" s="15">
        <v>0.943965079687341</v>
      </c>
      <c r="Y38" s="15">
        <v>0.95826192156467405</v>
      </c>
      <c r="Z38" s="15">
        <v>0.97991598844841199</v>
      </c>
      <c r="AA38" s="15">
        <v>0.960578737680856</v>
      </c>
      <c r="AB38" s="15">
        <v>0.94042293615290795</v>
      </c>
    </row>
    <row r="39" spans="1:28" ht="15" thickBot="1" x14ac:dyDescent="0.35">
      <c r="A39" t="s">
        <v>56</v>
      </c>
      <c r="B39">
        <v>100</v>
      </c>
      <c r="C39" t="s">
        <v>91</v>
      </c>
      <c r="D39" s="13">
        <v>0.96230000000000004</v>
      </c>
      <c r="E39" s="13">
        <v>0.95930000000000004</v>
      </c>
      <c r="F39" s="13">
        <v>0.95269999999999999</v>
      </c>
      <c r="G39" s="13">
        <v>0.94769999999999999</v>
      </c>
      <c r="H39" s="13">
        <v>0.95329532953295304</v>
      </c>
      <c r="K39">
        <v>0.95</v>
      </c>
      <c r="L39" s="28" t="s">
        <v>31</v>
      </c>
      <c r="M39" t="s">
        <v>34</v>
      </c>
      <c r="N39" s="15">
        <v>0.97132726992446405</v>
      </c>
      <c r="O39" s="15">
        <v>0.97908085844352899</v>
      </c>
      <c r="P39" s="15">
        <v>0.96092023307213204</v>
      </c>
      <c r="Q39" s="15">
        <v>0.980499486828601</v>
      </c>
      <c r="R39" s="15">
        <v>0.95625502815768304</v>
      </c>
      <c r="S39" s="15">
        <v>0.94879999999999998</v>
      </c>
      <c r="T39" s="15">
        <v>0.94969999999999999</v>
      </c>
      <c r="U39" s="15">
        <v>0.95150000000000001</v>
      </c>
      <c r="V39" s="15">
        <v>0.95409999999999995</v>
      </c>
      <c r="W39" s="15">
        <v>0.97889720898570498</v>
      </c>
      <c r="X39" s="15">
        <v>0.95712851405622501</v>
      </c>
      <c r="Y39" s="15">
        <v>0.95179999999999998</v>
      </c>
      <c r="Z39" s="15">
        <v>0.97058823529411797</v>
      </c>
      <c r="AA39" s="15">
        <v>0.97745013009540305</v>
      </c>
      <c r="AB39" s="15">
        <v>0.96459108741575295</v>
      </c>
    </row>
    <row r="40" spans="1:28" ht="15" thickTop="1" x14ac:dyDescent="0.3">
      <c r="A40" s="1" t="s">
        <v>56</v>
      </c>
      <c r="B40" s="1">
        <v>20</v>
      </c>
      <c r="C40" s="1" t="s">
        <v>68</v>
      </c>
      <c r="D40" s="12">
        <v>0.93799999999999994</v>
      </c>
      <c r="E40" s="12">
        <v>0.95509101820364095</v>
      </c>
      <c r="F40" s="12">
        <v>0.95318595578673604</v>
      </c>
      <c r="G40" s="12">
        <v>0.95985547972701701</v>
      </c>
      <c r="H40" s="12">
        <v>0.92645960081118595</v>
      </c>
      <c r="K40">
        <v>0.95</v>
      </c>
      <c r="L40" s="28" t="s">
        <v>31</v>
      </c>
      <c r="M40" t="s">
        <v>33</v>
      </c>
      <c r="N40" s="15">
        <v>0.41204665281993902</v>
      </c>
      <c r="O40" s="15">
        <v>0.91020000000000001</v>
      </c>
      <c r="P40" s="15">
        <v>0.92106224875136999</v>
      </c>
      <c r="Q40" s="15">
        <v>0.81599002355549399</v>
      </c>
      <c r="R40" s="15">
        <v>0.92528311176760203</v>
      </c>
      <c r="S40" s="15">
        <v>0.94663017447827602</v>
      </c>
      <c r="T40" s="15">
        <v>0.95609999999999995</v>
      </c>
      <c r="U40" s="15">
        <v>0.96509999999999996</v>
      </c>
      <c r="V40" s="15">
        <v>0.96619999999999995</v>
      </c>
      <c r="W40" s="15">
        <v>0.86950000000000005</v>
      </c>
      <c r="X40" s="15">
        <v>0.94320000000000004</v>
      </c>
      <c r="Y40" s="15">
        <v>0.95609999999999995</v>
      </c>
      <c r="Z40" s="15">
        <v>0.40034937271716697</v>
      </c>
      <c r="AA40" s="15">
        <v>0.91020000000000001</v>
      </c>
      <c r="AB40" s="15">
        <v>0.92446351931330495</v>
      </c>
    </row>
    <row r="41" spans="1:28" x14ac:dyDescent="0.3">
      <c r="A41" t="s">
        <v>56</v>
      </c>
      <c r="B41">
        <v>50</v>
      </c>
      <c r="C41" t="s">
        <v>68</v>
      </c>
      <c r="D41" s="13">
        <v>0.95340000000000003</v>
      </c>
      <c r="E41" s="13">
        <v>0.9577</v>
      </c>
      <c r="F41" s="13">
        <v>0.95259051810362105</v>
      </c>
      <c r="G41" s="13">
        <v>0.95020000000000004</v>
      </c>
      <c r="H41" s="13">
        <v>0.943959390862944</v>
      </c>
      <c r="K41">
        <v>0.95</v>
      </c>
      <c r="L41" s="28" t="s">
        <v>31</v>
      </c>
      <c r="M41" t="s">
        <v>83</v>
      </c>
      <c r="N41" s="15">
        <v>0.84098620221669296</v>
      </c>
      <c r="O41" s="15">
        <v>0.916166446230542</v>
      </c>
      <c r="P41" s="15">
        <v>0.95327663831915999</v>
      </c>
      <c r="Q41" s="15">
        <v>0.90279929759322397</v>
      </c>
      <c r="R41" s="15">
        <v>0.94715772618094496</v>
      </c>
      <c r="S41" s="15">
        <v>0.94599999999999995</v>
      </c>
      <c r="T41" s="15">
        <v>0.95109999999999995</v>
      </c>
      <c r="U41" s="15">
        <v>0.94820000000000004</v>
      </c>
      <c r="V41" s="15">
        <v>0.95099999999999996</v>
      </c>
      <c r="W41" s="15">
        <v>0.90314270994332801</v>
      </c>
      <c r="X41" s="15">
        <v>0.95036028823058405</v>
      </c>
      <c r="Y41" s="15">
        <v>0.95230000000000004</v>
      </c>
      <c r="Z41" s="15">
        <v>0.84270809707416605</v>
      </c>
      <c r="AA41" s="15">
        <v>0.91249619327986997</v>
      </c>
      <c r="AB41" s="15">
        <v>0.95366293034427496</v>
      </c>
    </row>
    <row r="42" spans="1:28" ht="15" thickBot="1" x14ac:dyDescent="0.35">
      <c r="A42" t="s">
        <v>56</v>
      </c>
      <c r="B42">
        <v>100</v>
      </c>
      <c r="C42" t="s">
        <v>68</v>
      </c>
      <c r="D42" s="13">
        <v>0.95269999999999999</v>
      </c>
      <c r="E42" s="13">
        <v>0.95420000000000005</v>
      </c>
      <c r="F42" s="13">
        <v>0.94950000000000001</v>
      </c>
      <c r="G42" s="13">
        <v>0.94696287401180801</v>
      </c>
      <c r="H42" s="13">
        <v>0.95367379895034299</v>
      </c>
      <c r="K42">
        <v>0.95</v>
      </c>
      <c r="L42" s="28" t="s">
        <v>31</v>
      </c>
      <c r="M42" t="s">
        <v>87</v>
      </c>
      <c r="N42" s="15">
        <v>0.83453969690115404</v>
      </c>
      <c r="O42" s="15">
        <v>0.91016380099704997</v>
      </c>
      <c r="P42" s="15">
        <v>0.94247123561780899</v>
      </c>
      <c r="Q42" s="15">
        <v>0.89639500051647603</v>
      </c>
      <c r="R42" s="15">
        <v>0.93915132105684596</v>
      </c>
      <c r="S42" s="15">
        <v>0.94330000000000003</v>
      </c>
      <c r="T42" s="15">
        <v>0.94750000000000001</v>
      </c>
      <c r="U42" s="15">
        <v>0.94730000000000003</v>
      </c>
      <c r="V42" s="15">
        <v>0.95069999999999999</v>
      </c>
      <c r="W42" s="15">
        <v>0.89850592478104097</v>
      </c>
      <c r="X42" s="15">
        <v>0.94365492393915096</v>
      </c>
      <c r="Y42" s="15">
        <v>0.94930000000000003</v>
      </c>
      <c r="Z42" s="15">
        <v>0.83374914946699896</v>
      </c>
      <c r="AA42" s="15">
        <v>0.90782661658714803</v>
      </c>
      <c r="AB42" s="15">
        <v>0.94565652522017596</v>
      </c>
    </row>
    <row r="43" spans="1:28" ht="15" thickTop="1" x14ac:dyDescent="0.3">
      <c r="A43" s="1" t="s">
        <v>56</v>
      </c>
      <c r="B43" s="1">
        <v>20</v>
      </c>
      <c r="C43" s="1" t="s">
        <v>92</v>
      </c>
      <c r="D43" s="12">
        <v>0.90322906155398597</v>
      </c>
      <c r="E43" s="12">
        <v>0.95447236180904504</v>
      </c>
      <c r="F43" s="12">
        <v>0.95325977933801398</v>
      </c>
      <c r="G43" s="12">
        <v>0.96264804129972703</v>
      </c>
      <c r="H43" s="12">
        <v>0.949519496299569</v>
      </c>
      <c r="K43">
        <v>0.95</v>
      </c>
      <c r="L43" s="28" t="s">
        <v>31</v>
      </c>
      <c r="M43" t="s">
        <v>55</v>
      </c>
      <c r="N43" s="15">
        <v>0.98329999999999995</v>
      </c>
      <c r="O43" s="15">
        <v>0.96140000000000003</v>
      </c>
      <c r="P43" s="15">
        <v>0.96599999999999997</v>
      </c>
      <c r="Q43" s="15">
        <v>0.95889999999999997</v>
      </c>
      <c r="R43" s="15">
        <v>0.97030000000000005</v>
      </c>
      <c r="S43" s="15">
        <v>0.95320000000000005</v>
      </c>
      <c r="T43" s="15">
        <v>0.95609999999999995</v>
      </c>
      <c r="U43" s="15">
        <v>0.96509999999999996</v>
      </c>
      <c r="V43" s="15">
        <v>0.96619999999999995</v>
      </c>
      <c r="W43" s="15">
        <v>0.9526</v>
      </c>
      <c r="X43" s="15">
        <v>0.97089999999999999</v>
      </c>
      <c r="Y43" s="15">
        <v>0.95609999999999995</v>
      </c>
      <c r="Z43" s="15">
        <v>0.98319999999999996</v>
      </c>
      <c r="AA43" s="15">
        <v>0.96020000000000005</v>
      </c>
      <c r="AB43" s="15">
        <v>0.96499999999999997</v>
      </c>
    </row>
    <row r="44" spans="1:28" x14ac:dyDescent="0.3">
      <c r="A44" t="s">
        <v>56</v>
      </c>
      <c r="B44">
        <v>50</v>
      </c>
      <c r="C44" t="s">
        <v>92</v>
      </c>
      <c r="D44" s="13">
        <v>0.94633851119628798</v>
      </c>
      <c r="E44" s="13">
        <v>0.95679999999999998</v>
      </c>
      <c r="F44" s="13">
        <v>0.94542905777510799</v>
      </c>
      <c r="G44" s="13">
        <v>0.95020000000000004</v>
      </c>
      <c r="H44" s="13">
        <v>0.94518323012892103</v>
      </c>
      <c r="K44">
        <v>0.95</v>
      </c>
      <c r="L44" s="28" t="s">
        <v>31</v>
      </c>
      <c r="M44" t="s">
        <v>32</v>
      </c>
      <c r="N44" s="15">
        <v>0.93918426802622001</v>
      </c>
      <c r="O44" s="15">
        <v>0.98655972252330404</v>
      </c>
      <c r="P44" s="15">
        <v>0.92625260320960401</v>
      </c>
      <c r="Q44" s="15">
        <v>0.983795522886736</v>
      </c>
      <c r="R44" s="15">
        <v>0.93170550322260803</v>
      </c>
      <c r="S44" s="15">
        <v>0.94663017447827602</v>
      </c>
      <c r="T44" s="15">
        <v>0.95609999999999995</v>
      </c>
      <c r="U44" s="15">
        <v>0.93489999999999995</v>
      </c>
      <c r="V44" s="15">
        <v>0.94610000000000005</v>
      </c>
      <c r="W44" s="15">
        <v>0.98649875198547798</v>
      </c>
      <c r="X44" s="15">
        <v>0.94698795180722894</v>
      </c>
      <c r="Y44" s="15">
        <v>0.95609999999999995</v>
      </c>
      <c r="Z44" s="15">
        <v>0.93752324284120503</v>
      </c>
      <c r="AA44" s="15">
        <v>0.98677363399826501</v>
      </c>
      <c r="AB44" s="15">
        <v>0.93120059288537504</v>
      </c>
    </row>
    <row r="45" spans="1:28" x14ac:dyDescent="0.3">
      <c r="A45" t="s">
        <v>56</v>
      </c>
      <c r="B45">
        <v>100</v>
      </c>
      <c r="C45" t="s">
        <v>92</v>
      </c>
      <c r="D45" s="13">
        <v>0.95210785793339403</v>
      </c>
      <c r="E45" s="13">
        <v>0.953355401745411</v>
      </c>
      <c r="F45" s="13">
        <v>0.94743692430917104</v>
      </c>
      <c r="G45" s="13">
        <v>0.94698262877799</v>
      </c>
      <c r="H45" s="13">
        <v>0.95437607009769398</v>
      </c>
      <c r="K45">
        <v>0.95</v>
      </c>
      <c r="L45" s="28" t="s">
        <v>31</v>
      </c>
      <c r="M45" t="s">
        <v>58</v>
      </c>
      <c r="N45" s="15" t="s">
        <v>59</v>
      </c>
      <c r="O45" s="15" t="s">
        <v>59</v>
      </c>
      <c r="P45" s="15" t="s">
        <v>59</v>
      </c>
      <c r="Q45" s="15" t="s">
        <v>59</v>
      </c>
      <c r="R45" s="15" t="s">
        <v>59</v>
      </c>
      <c r="S45" s="15" t="s">
        <v>59</v>
      </c>
      <c r="T45" s="15">
        <v>0.95430000000000004</v>
      </c>
      <c r="U45" s="15">
        <v>0.95020000000000004</v>
      </c>
      <c r="V45" s="15">
        <v>0.94779999999999998</v>
      </c>
      <c r="W45" s="15" t="s">
        <v>59</v>
      </c>
      <c r="X45" s="15" t="s">
        <v>59</v>
      </c>
      <c r="Y45" s="15" t="s">
        <v>59</v>
      </c>
      <c r="Z45" s="15" t="s">
        <v>59</v>
      </c>
      <c r="AA45" s="15" t="s">
        <v>59</v>
      </c>
      <c r="AB45" s="15" t="s">
        <v>59</v>
      </c>
    </row>
    <row r="46" spans="1:28" x14ac:dyDescent="0.3">
      <c r="K46">
        <v>0.95</v>
      </c>
      <c r="L46" s="28" t="s">
        <v>31</v>
      </c>
      <c r="M46" t="s">
        <v>92</v>
      </c>
      <c r="N46" s="15">
        <v>0.982688803401498</v>
      </c>
      <c r="O46" s="15">
        <v>0.91520000000000001</v>
      </c>
      <c r="P46" s="15">
        <v>0.93867258422432898</v>
      </c>
      <c r="Q46" s="15">
        <v>0.90015282730514501</v>
      </c>
      <c r="R46" s="15">
        <v>0.94152165115337905</v>
      </c>
      <c r="S46" s="15">
        <v>0.95121212121212095</v>
      </c>
      <c r="T46" s="15">
        <v>0.95347673836918501</v>
      </c>
      <c r="U46" s="15">
        <v>0.94649464946494599</v>
      </c>
      <c r="V46" s="15">
        <v>0.95148544563368997</v>
      </c>
      <c r="W46" s="15">
        <v>0.91488052507435103</v>
      </c>
      <c r="X46" s="15">
        <v>0.94604679306171802</v>
      </c>
      <c r="Y46" s="15">
        <v>0.95405649944706905</v>
      </c>
      <c r="Z46" s="15">
        <v>0.98011494252873599</v>
      </c>
      <c r="AA46" s="15">
        <v>0.942133443163097</v>
      </c>
      <c r="AB46" s="15">
        <v>0.94448391352887495</v>
      </c>
    </row>
  </sheetData>
  <mergeCells count="11">
    <mergeCell ref="Z7:AB7"/>
    <mergeCell ref="L9:L16"/>
    <mergeCell ref="N7:P7"/>
    <mergeCell ref="Q7:S7"/>
    <mergeCell ref="T7:V7"/>
    <mergeCell ref="W7:Y7"/>
    <mergeCell ref="N21:P21"/>
    <mergeCell ref="Q21:S21"/>
    <mergeCell ref="T21:V21"/>
    <mergeCell ref="W21:Y21"/>
    <mergeCell ref="Z21:AB21"/>
  </mergeCells>
  <phoneticPr fontId="18" type="noConversion"/>
  <conditionalFormatting sqref="D4:D45">
    <cfRule type="colorScale" priority="111">
      <colorScale>
        <cfvo type="min"/>
        <cfvo type="num" val="0.95"/>
        <cfvo type="max"/>
        <color theme="7" tint="0.59999389629810485"/>
        <color rgb="FF92D050"/>
        <color rgb="FFFF0000"/>
      </colorScale>
    </cfRule>
  </conditionalFormatting>
  <conditionalFormatting sqref="E4:E45">
    <cfRule type="colorScale" priority="119">
      <colorScale>
        <cfvo type="min"/>
        <cfvo type="num" val="0.95"/>
        <cfvo type="max"/>
        <color theme="7" tint="0.59999389629810485"/>
        <color rgb="FF92D050"/>
        <color rgb="FFFF0000"/>
      </colorScale>
    </cfRule>
  </conditionalFormatting>
  <conditionalFormatting sqref="F4:F45">
    <cfRule type="colorScale" priority="127">
      <colorScale>
        <cfvo type="min"/>
        <cfvo type="num" val="0.95"/>
        <cfvo type="max"/>
        <color theme="7" tint="0.59999389629810485"/>
        <color rgb="FF92D050"/>
        <color rgb="FFFF0000"/>
      </colorScale>
    </cfRule>
  </conditionalFormatting>
  <conditionalFormatting sqref="G4:G45">
    <cfRule type="colorScale" priority="135">
      <colorScale>
        <cfvo type="min"/>
        <cfvo type="num" val="0.95"/>
        <cfvo type="max"/>
        <color theme="7" tint="0.59999389629810485"/>
        <color rgb="FF92D050"/>
        <color rgb="FFFF0000"/>
      </colorScale>
    </cfRule>
  </conditionalFormatting>
  <conditionalFormatting sqref="H4:H45">
    <cfRule type="colorScale" priority="143">
      <colorScale>
        <cfvo type="min"/>
        <cfvo type="num" val="0.95"/>
        <cfvo type="max"/>
        <color theme="7" tint="0.59999389629810485"/>
        <color rgb="FF92D050"/>
        <color rgb="FFFF0000"/>
      </colorScale>
    </cfRule>
  </conditionalFormatting>
  <pageMargins left="0.7" right="0.7" top="0.75" bottom="0.75" header="0.3" footer="0.3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16871-A72D-4E34-9F87-0B14D38CEC5C}">
  <dimension ref="A1:R25"/>
  <sheetViews>
    <sheetView workbookViewId="0">
      <selection activeCell="B2" sqref="B2"/>
    </sheetView>
  </sheetViews>
  <sheetFormatPr defaultRowHeight="14.4" x14ac:dyDescent="0.3"/>
  <sheetData>
    <row r="1" spans="1:18" x14ac:dyDescent="0.3">
      <c r="A1" t="s">
        <v>61</v>
      </c>
      <c r="B1" t="s">
        <v>0</v>
      </c>
      <c r="C1" t="s">
        <v>2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108</v>
      </c>
      <c r="L1" t="s">
        <v>109</v>
      </c>
      <c r="M1" t="s">
        <v>110</v>
      </c>
      <c r="N1" t="s">
        <v>111</v>
      </c>
      <c r="O1" t="s">
        <v>112</v>
      </c>
      <c r="P1" t="s">
        <v>113</v>
      </c>
      <c r="Q1" t="s">
        <v>114</v>
      </c>
      <c r="R1" t="s">
        <v>115</v>
      </c>
    </row>
    <row r="2" spans="1:18" x14ac:dyDescent="0.3">
      <c r="A2">
        <v>0.95</v>
      </c>
      <c r="B2" t="s">
        <v>31</v>
      </c>
      <c r="C2" t="s">
        <v>128</v>
      </c>
      <c r="D2" s="15">
        <v>0.93918426802622001</v>
      </c>
      <c r="E2" s="15">
        <v>0.98655972252330404</v>
      </c>
      <c r="F2" s="15">
        <v>0.92625260320960401</v>
      </c>
      <c r="G2" s="15">
        <v>0.983795522886736</v>
      </c>
      <c r="H2" s="15">
        <v>0.93170550322260803</v>
      </c>
      <c r="I2" s="15">
        <v>0.94663017447827602</v>
      </c>
      <c r="J2" s="15">
        <v>0.95609999999999995</v>
      </c>
      <c r="K2" s="15">
        <v>0.93489999999999995</v>
      </c>
      <c r="L2" s="15">
        <v>0.94610000000000005</v>
      </c>
      <c r="M2" s="15">
        <v>0.98649875198547798</v>
      </c>
      <c r="N2" s="15">
        <v>0.94698795180722894</v>
      </c>
      <c r="O2" s="15">
        <v>0.95609999999999995</v>
      </c>
      <c r="P2" s="15">
        <v>0.93752324284120503</v>
      </c>
      <c r="Q2" s="15">
        <v>0.98677363399826501</v>
      </c>
      <c r="R2" s="15">
        <v>0.93120059288537504</v>
      </c>
    </row>
    <row r="3" spans="1:18" x14ac:dyDescent="0.3">
      <c r="A3">
        <v>0.95</v>
      </c>
      <c r="B3" t="s">
        <v>31</v>
      </c>
      <c r="C3" t="s">
        <v>123</v>
      </c>
      <c r="D3" s="15">
        <v>0.41204665281993902</v>
      </c>
      <c r="E3" s="15">
        <v>0.91020000000000001</v>
      </c>
      <c r="F3" s="15">
        <v>0.92106224875136999</v>
      </c>
      <c r="G3" s="15">
        <v>0.81599002355549399</v>
      </c>
      <c r="H3" s="15">
        <v>0.92528311176760203</v>
      </c>
      <c r="I3" s="15">
        <v>0.94663017447827602</v>
      </c>
      <c r="J3" s="15">
        <v>0.95609999999999995</v>
      </c>
      <c r="K3" s="15">
        <v>0.96509999999999996</v>
      </c>
      <c r="L3" s="15">
        <v>0.96619999999999995</v>
      </c>
      <c r="M3" s="15">
        <v>0.86950000000000005</v>
      </c>
      <c r="N3" s="15">
        <v>0.94320000000000004</v>
      </c>
      <c r="O3" s="15">
        <v>0.95609999999999995</v>
      </c>
      <c r="P3" s="15">
        <v>0.40034937271716697</v>
      </c>
      <c r="Q3" s="15">
        <v>0.91020000000000001</v>
      </c>
      <c r="R3" s="15">
        <v>0.92446351931330495</v>
      </c>
    </row>
    <row r="4" spans="1:18" x14ac:dyDescent="0.3">
      <c r="A4">
        <v>0.95</v>
      </c>
      <c r="B4" t="s">
        <v>31</v>
      </c>
      <c r="C4" t="s">
        <v>122</v>
      </c>
      <c r="D4" s="15">
        <v>0.97132726992446405</v>
      </c>
      <c r="E4" s="15">
        <v>0.97908085844352899</v>
      </c>
      <c r="F4" s="15">
        <v>0.96092023307213204</v>
      </c>
      <c r="G4" s="15">
        <v>0.980499486828601</v>
      </c>
      <c r="H4" s="15">
        <v>0.95625502815768304</v>
      </c>
      <c r="I4" s="15">
        <v>0.94879999999999998</v>
      </c>
      <c r="J4" s="15">
        <v>0.94969999999999999</v>
      </c>
      <c r="K4" s="15">
        <v>0.95150000000000001</v>
      </c>
      <c r="L4" s="15">
        <v>0.95409999999999995</v>
      </c>
      <c r="M4" s="15">
        <v>0.97889720898570498</v>
      </c>
      <c r="N4" s="15">
        <v>0.95712851405622501</v>
      </c>
      <c r="O4" s="15">
        <v>0.95179999999999998</v>
      </c>
      <c r="P4" s="15">
        <v>0.97058823529411797</v>
      </c>
      <c r="Q4" s="15">
        <v>0.97745013009540305</v>
      </c>
      <c r="R4" s="15">
        <v>0.96459108741575295</v>
      </c>
    </row>
    <row r="5" spans="1:18" x14ac:dyDescent="0.3">
      <c r="A5">
        <v>0.95</v>
      </c>
      <c r="B5" t="s">
        <v>31</v>
      </c>
      <c r="C5" t="s">
        <v>125</v>
      </c>
      <c r="D5" s="15">
        <v>0.91412786108918698</v>
      </c>
      <c r="E5" s="15">
        <v>0.96613247863247897</v>
      </c>
      <c r="F5" s="15">
        <v>0.937862032648763</v>
      </c>
      <c r="G5" s="15">
        <v>0.95239714382863006</v>
      </c>
      <c r="H5" s="15">
        <v>0.94136907807224002</v>
      </c>
      <c r="I5" s="15">
        <v>0.95033951555690699</v>
      </c>
      <c r="J5" s="15">
        <v>0.94874361797977802</v>
      </c>
      <c r="K5" s="15">
        <v>0.94405524419535602</v>
      </c>
      <c r="L5" s="15">
        <v>0.95016012810248196</v>
      </c>
      <c r="M5" s="15">
        <v>0.94987160879758803</v>
      </c>
      <c r="N5" s="15">
        <v>0.94466963923794101</v>
      </c>
      <c r="O5" s="15">
        <v>0.95225143547899704</v>
      </c>
      <c r="P5" s="15">
        <v>0.912679614716564</v>
      </c>
      <c r="Q5" s="15">
        <v>0.96505290157101598</v>
      </c>
      <c r="R5" s="15">
        <v>0.94260392487866596</v>
      </c>
    </row>
    <row r="6" spans="1:18" x14ac:dyDescent="0.3">
      <c r="A6">
        <v>0.95</v>
      </c>
      <c r="B6" t="s">
        <v>31</v>
      </c>
      <c r="C6" t="s">
        <v>124</v>
      </c>
      <c r="D6" s="15">
        <v>0.91744277821625897</v>
      </c>
      <c r="E6" s="15">
        <v>0.96784188034188001</v>
      </c>
      <c r="F6" s="15">
        <v>0.94081095313322805</v>
      </c>
      <c r="G6" s="15">
        <v>0.95500396690468103</v>
      </c>
      <c r="H6" s="15">
        <v>0.94402946894505302</v>
      </c>
      <c r="I6" s="15">
        <v>0.95054221141177697</v>
      </c>
      <c r="J6" s="15">
        <v>0.94974471919111003</v>
      </c>
      <c r="K6" s="15">
        <v>0.94555644515612502</v>
      </c>
      <c r="L6" s="15">
        <v>0.95076060848678901</v>
      </c>
      <c r="M6" s="15">
        <v>0.952439432845819</v>
      </c>
      <c r="N6" s="15">
        <v>0.94659505472233496</v>
      </c>
      <c r="O6" s="15">
        <v>0.95325878916087403</v>
      </c>
      <c r="P6" s="15">
        <v>0.91552186957208304</v>
      </c>
      <c r="Q6" s="15">
        <v>0.96697659506251998</v>
      </c>
      <c r="R6" s="15">
        <v>0.94429204473517603</v>
      </c>
    </row>
    <row r="7" spans="1:18" x14ac:dyDescent="0.3">
      <c r="A7">
        <v>0.95</v>
      </c>
      <c r="B7" t="s">
        <v>31</v>
      </c>
      <c r="C7" t="s">
        <v>130</v>
      </c>
      <c r="D7" s="15">
        <v>0.982688803401498</v>
      </c>
      <c r="E7" s="15">
        <v>0.91520000000000001</v>
      </c>
      <c r="F7" s="15">
        <v>0.93867258422432898</v>
      </c>
      <c r="G7" s="15">
        <v>0.90015282730514501</v>
      </c>
      <c r="H7" s="15">
        <v>0.94152165115337905</v>
      </c>
      <c r="I7" s="15">
        <v>0.95121212121212095</v>
      </c>
      <c r="J7" s="15">
        <v>0.95347673836918501</v>
      </c>
      <c r="K7" s="15">
        <v>0.94649464946494599</v>
      </c>
      <c r="L7" s="15">
        <v>0.95148544563368997</v>
      </c>
      <c r="M7" s="15">
        <v>0.91488052507435103</v>
      </c>
      <c r="N7" s="15">
        <v>0.94604679306171802</v>
      </c>
      <c r="O7" s="15">
        <v>0.95405649944706905</v>
      </c>
      <c r="P7" s="15">
        <v>0.98011494252873599</v>
      </c>
      <c r="Q7" s="15">
        <v>0.942133443163097</v>
      </c>
      <c r="R7" s="15">
        <v>0.94448391352887495</v>
      </c>
    </row>
    <row r="8" spans="1:18" x14ac:dyDescent="0.3">
      <c r="A8">
        <v>0.95</v>
      </c>
      <c r="B8" t="s">
        <v>31</v>
      </c>
      <c r="C8" t="s">
        <v>127</v>
      </c>
      <c r="D8" s="15">
        <v>0.98329999999999995</v>
      </c>
      <c r="E8" s="15">
        <v>0.96140000000000003</v>
      </c>
      <c r="F8" s="15">
        <v>0.96599999999999997</v>
      </c>
      <c r="G8" s="15">
        <v>0.95889999999999997</v>
      </c>
      <c r="H8" s="15">
        <v>0.97030000000000005</v>
      </c>
      <c r="I8" s="15">
        <v>0.95320000000000005</v>
      </c>
      <c r="J8" s="15">
        <v>0.95609999999999995</v>
      </c>
      <c r="K8" s="15">
        <v>0.96509999999999996</v>
      </c>
      <c r="L8" s="15">
        <v>0.96619999999999995</v>
      </c>
      <c r="M8" s="15">
        <v>0.9526</v>
      </c>
      <c r="N8" s="15">
        <v>0.97089999999999999</v>
      </c>
      <c r="O8" s="15">
        <v>0.95609999999999995</v>
      </c>
      <c r="P8" s="15">
        <v>0.98319999999999996</v>
      </c>
      <c r="Q8" s="15">
        <v>0.96020000000000005</v>
      </c>
      <c r="R8" s="15">
        <v>0.96499999999999997</v>
      </c>
    </row>
    <row r="9" spans="1:18" x14ac:dyDescent="0.3">
      <c r="A9">
        <v>0.95</v>
      </c>
      <c r="B9" t="s">
        <v>56</v>
      </c>
      <c r="C9" t="s">
        <v>128</v>
      </c>
      <c r="D9" s="15">
        <v>0.94429607020221296</v>
      </c>
      <c r="E9" s="15">
        <v>0.98746081504702199</v>
      </c>
      <c r="F9" s="15">
        <v>0.92368098159509204</v>
      </c>
      <c r="G9" s="15">
        <v>0.981870068826591</v>
      </c>
      <c r="H9" s="15">
        <v>0.93387215282880198</v>
      </c>
      <c r="I9" s="15">
        <v>0.95020126509488201</v>
      </c>
      <c r="J9" s="15">
        <v>0.95640000000000003</v>
      </c>
      <c r="K9" s="15">
        <v>0.93789999999999996</v>
      </c>
      <c r="L9" s="15">
        <v>0.94399999999999995</v>
      </c>
      <c r="M9" s="15">
        <v>0.98631854976627498</v>
      </c>
      <c r="N9" s="15">
        <v>0.94293177936300598</v>
      </c>
      <c r="O9" s="15">
        <v>0.95520000000000005</v>
      </c>
      <c r="P9" s="15">
        <v>0.93525179856115104</v>
      </c>
      <c r="Q9" s="15">
        <v>0.98917631778331006</v>
      </c>
      <c r="R9" s="15">
        <v>0.92823732151649396</v>
      </c>
    </row>
    <row r="10" spans="1:18" x14ac:dyDescent="0.3">
      <c r="A10">
        <v>0.95</v>
      </c>
      <c r="B10" t="s">
        <v>56</v>
      </c>
      <c r="C10" t="s">
        <v>123</v>
      </c>
      <c r="D10" s="15">
        <v>0.39644401729937501</v>
      </c>
      <c r="E10" s="15">
        <v>0.91349999999999998</v>
      </c>
      <c r="F10" s="15">
        <v>0.91715399610136406</v>
      </c>
      <c r="G10" s="15">
        <v>0.82022156780255195</v>
      </c>
      <c r="H10" s="15">
        <v>0.926835196888673</v>
      </c>
      <c r="I10" s="15">
        <v>0.95020126509488201</v>
      </c>
      <c r="J10" s="15">
        <v>0.95640000000000003</v>
      </c>
      <c r="K10" s="15">
        <v>0.97060000000000002</v>
      </c>
      <c r="L10" s="15">
        <v>0.96509999999999996</v>
      </c>
      <c r="M10" s="15">
        <v>0.86509999999999998</v>
      </c>
      <c r="N10" s="15">
        <v>0.9385</v>
      </c>
      <c r="O10" s="15">
        <v>0.95520000000000005</v>
      </c>
      <c r="P10" s="15">
        <v>0.389221556886228</v>
      </c>
      <c r="Q10" s="15">
        <v>0.91390000000000005</v>
      </c>
      <c r="R10" s="15">
        <v>0.92098192476795304</v>
      </c>
    </row>
    <row r="11" spans="1:18" x14ac:dyDescent="0.3">
      <c r="A11">
        <v>0.95</v>
      </c>
      <c r="B11" t="s">
        <v>56</v>
      </c>
      <c r="C11" t="s">
        <v>122</v>
      </c>
      <c r="D11" s="15">
        <v>0.97554092191909703</v>
      </c>
      <c r="E11" s="15">
        <v>0.97978596908442295</v>
      </c>
      <c r="F11" s="15">
        <v>0.95855964594649001</v>
      </c>
      <c r="G11" s="15">
        <v>0.98085202809879901</v>
      </c>
      <c r="H11" s="15">
        <v>0.95612799356007205</v>
      </c>
      <c r="I11" s="15">
        <v>0.95209999999999995</v>
      </c>
      <c r="J11" s="15">
        <v>0.94930000000000003</v>
      </c>
      <c r="K11" s="15">
        <v>0.95499999999999996</v>
      </c>
      <c r="L11" s="15">
        <v>0.9506</v>
      </c>
      <c r="M11" s="15">
        <v>0.977653631284916</v>
      </c>
      <c r="N11" s="15">
        <v>0.95719883452225496</v>
      </c>
      <c r="O11" s="15">
        <v>0.95009999999999994</v>
      </c>
      <c r="P11" s="15">
        <v>0.96902303415409097</v>
      </c>
      <c r="Q11" s="15">
        <v>0.98019266154345697</v>
      </c>
      <c r="R11" s="15">
        <v>0.96185587761674696</v>
      </c>
    </row>
    <row r="12" spans="1:18" x14ac:dyDescent="0.3">
      <c r="A12">
        <v>0.95</v>
      </c>
      <c r="B12" t="s">
        <v>56</v>
      </c>
      <c r="C12" t="s">
        <v>125</v>
      </c>
      <c r="D12" s="15">
        <v>0.89723801787164903</v>
      </c>
      <c r="E12" s="15">
        <v>0.95182374024878802</v>
      </c>
      <c r="F12" s="15">
        <v>0.93846623270952001</v>
      </c>
      <c r="G12" s="15">
        <v>0.94628281491286104</v>
      </c>
      <c r="H12" s="15">
        <v>0.94264288609647295</v>
      </c>
      <c r="I12" s="15">
        <v>0.95222255820985802</v>
      </c>
      <c r="J12" s="15">
        <v>0.95086442220200196</v>
      </c>
      <c r="K12" s="15">
        <v>0.94470185334407697</v>
      </c>
      <c r="L12" s="15">
        <v>0.94661707047350996</v>
      </c>
      <c r="M12" s="15">
        <v>0.97603815284401496</v>
      </c>
      <c r="N12" s="15">
        <v>0.94162591687041597</v>
      </c>
      <c r="O12" s="15">
        <v>0.95431574691732401</v>
      </c>
      <c r="P12" s="15">
        <v>0.92424242424242398</v>
      </c>
      <c r="Q12" s="15">
        <v>0.98361539290719002</v>
      </c>
      <c r="R12" s="15">
        <v>0.93215992539923098</v>
      </c>
    </row>
    <row r="13" spans="1:18" x14ac:dyDescent="0.3">
      <c r="A13">
        <v>0.95</v>
      </c>
      <c r="B13" t="s">
        <v>56</v>
      </c>
      <c r="C13" t="s">
        <v>124</v>
      </c>
      <c r="D13" s="15">
        <v>0.90251827782290805</v>
      </c>
      <c r="E13" s="15">
        <v>0.95551338815095899</v>
      </c>
      <c r="F13" s="15">
        <v>0.94395850284784399</v>
      </c>
      <c r="G13" s="15">
        <v>0.950033090668432</v>
      </c>
      <c r="H13" s="15">
        <v>0.94669639237940795</v>
      </c>
      <c r="I13" s="15">
        <v>0.95312972482612601</v>
      </c>
      <c r="J13" s="15">
        <v>0.95147103427358204</v>
      </c>
      <c r="K13" s="15">
        <v>0.94510475423045903</v>
      </c>
      <c r="L13" s="15">
        <v>0.94701920176937804</v>
      </c>
      <c r="M13" s="15">
        <v>0.97731766895428596</v>
      </c>
      <c r="N13" s="15">
        <v>0.94182966585167105</v>
      </c>
      <c r="O13" s="15">
        <v>0.954517889630079</v>
      </c>
      <c r="P13" s="15">
        <v>0.92633228840125403</v>
      </c>
      <c r="Q13" s="15">
        <v>0.98383097984262202</v>
      </c>
      <c r="R13" s="15">
        <v>0.93297587131367299</v>
      </c>
    </row>
    <row r="14" spans="1:18" x14ac:dyDescent="0.3">
      <c r="A14">
        <v>0.95</v>
      </c>
      <c r="B14" t="s">
        <v>56</v>
      </c>
      <c r="C14" t="s">
        <v>130</v>
      </c>
      <c r="D14" s="15">
        <v>0.98595787362086296</v>
      </c>
      <c r="E14" s="15">
        <v>0.9244</v>
      </c>
      <c r="F14" s="15">
        <v>0.94013058764440005</v>
      </c>
      <c r="G14" s="15">
        <v>0.91096305269533595</v>
      </c>
      <c r="H14" s="15">
        <v>0.94447803305118905</v>
      </c>
      <c r="I14" s="15">
        <v>0.95436687821094002</v>
      </c>
      <c r="J14" s="15">
        <v>0.95325977933801398</v>
      </c>
      <c r="K14" s="15">
        <v>0.94542905777510799</v>
      </c>
      <c r="L14" s="15">
        <v>0.94743692430917104</v>
      </c>
      <c r="M14" s="15">
        <v>0.951281766729553</v>
      </c>
      <c r="N14" s="15">
        <v>0.94095604618189199</v>
      </c>
      <c r="O14" s="15">
        <v>0.95456839979808195</v>
      </c>
      <c r="P14" s="15">
        <v>0.97434402332361503</v>
      </c>
      <c r="Q14" s="15">
        <v>0.975695554844899</v>
      </c>
      <c r="R14" s="15">
        <v>0.94084877949964596</v>
      </c>
    </row>
    <row r="15" spans="1:18" x14ac:dyDescent="0.3">
      <c r="A15">
        <v>0.95</v>
      </c>
      <c r="B15" t="s">
        <v>56</v>
      </c>
      <c r="C15" t="s">
        <v>127</v>
      </c>
      <c r="D15" s="15">
        <v>0.98540000000000005</v>
      </c>
      <c r="E15" s="15">
        <v>0.96240000000000003</v>
      </c>
      <c r="F15" s="15">
        <v>0.96440000000000003</v>
      </c>
      <c r="G15" s="15">
        <v>0.95709999999999995</v>
      </c>
      <c r="H15" s="15">
        <v>0.96740000000000004</v>
      </c>
      <c r="I15" s="15">
        <v>0.95669999999999999</v>
      </c>
      <c r="J15" s="15">
        <v>0.95640000000000003</v>
      </c>
      <c r="K15" s="15">
        <v>0.97060000000000002</v>
      </c>
      <c r="L15" s="15">
        <v>0.96509999999999996</v>
      </c>
      <c r="M15" s="15">
        <v>0.95409999999999995</v>
      </c>
      <c r="N15" s="15">
        <v>0.97060000000000002</v>
      </c>
      <c r="O15" s="15">
        <v>0.95520000000000005</v>
      </c>
      <c r="P15" s="15">
        <v>0.9829</v>
      </c>
      <c r="Q15" s="15">
        <v>0.96399999999999997</v>
      </c>
      <c r="R15" s="15">
        <v>0.96489999999999998</v>
      </c>
    </row>
    <row r="16" spans="1:18" x14ac:dyDescent="0.3">
      <c r="A16">
        <v>0.95</v>
      </c>
      <c r="B16" t="s">
        <v>57</v>
      </c>
      <c r="C16" t="s">
        <v>128</v>
      </c>
      <c r="D16" s="15">
        <v>0.94452830188679204</v>
      </c>
      <c r="E16" s="15">
        <v>0.98829268292682904</v>
      </c>
      <c r="F16" s="15">
        <v>0.92679592344021899</v>
      </c>
      <c r="G16" s="15">
        <v>0.97772903661211397</v>
      </c>
      <c r="H16" s="15">
        <v>0.93237907206317905</v>
      </c>
      <c r="I16" s="15">
        <v>0.94703584558823495</v>
      </c>
      <c r="J16" s="15">
        <v>0.96020000000000005</v>
      </c>
      <c r="K16" s="15">
        <v>0.93559999999999999</v>
      </c>
      <c r="L16" s="15">
        <v>0.94550000000000001</v>
      </c>
      <c r="M16" s="15">
        <v>0.98633257403189101</v>
      </c>
      <c r="N16" s="15">
        <v>0.94569589702333101</v>
      </c>
      <c r="O16" s="15">
        <v>0.95950000000000002</v>
      </c>
      <c r="P16" s="15">
        <v>0.94332445796880904</v>
      </c>
      <c r="Q16" s="15">
        <v>0.988536822753325</v>
      </c>
      <c r="R16" s="15">
        <v>0.92791903233769402</v>
      </c>
    </row>
    <row r="17" spans="1:18" x14ac:dyDescent="0.3">
      <c r="A17">
        <v>0.95</v>
      </c>
      <c r="B17" t="s">
        <v>57</v>
      </c>
      <c r="C17" t="s">
        <v>123</v>
      </c>
      <c r="D17" s="15">
        <v>0.401830149301654</v>
      </c>
      <c r="E17" s="15">
        <v>0.91169999999999995</v>
      </c>
      <c r="F17" s="15">
        <v>0.91982237572468195</v>
      </c>
      <c r="G17" s="15">
        <v>0.81424757622593802</v>
      </c>
      <c r="H17" s="15">
        <v>0.92711656441717805</v>
      </c>
      <c r="I17" s="15">
        <v>0.94703584558823495</v>
      </c>
      <c r="J17" s="15">
        <v>0.96020000000000005</v>
      </c>
      <c r="K17" s="15">
        <v>0.96599999999999997</v>
      </c>
      <c r="L17" s="15">
        <v>0.96279999999999999</v>
      </c>
      <c r="M17" s="15">
        <v>0.86599999999999999</v>
      </c>
      <c r="N17" s="15">
        <v>0.94040000000000001</v>
      </c>
      <c r="O17" s="15">
        <v>0.95950000000000002</v>
      </c>
      <c r="P17" s="15">
        <v>0.39534512992188697</v>
      </c>
      <c r="Q17" s="15">
        <v>0.91410000000000002</v>
      </c>
      <c r="R17" s="15">
        <v>0.92166237587348299</v>
      </c>
    </row>
    <row r="18" spans="1:18" x14ac:dyDescent="0.3">
      <c r="A18">
        <v>0.95</v>
      </c>
      <c r="B18" t="s">
        <v>57</v>
      </c>
      <c r="C18" t="s">
        <v>122</v>
      </c>
      <c r="D18" s="15">
        <v>0.97523750194673697</v>
      </c>
      <c r="E18" s="15">
        <v>0.982764227642276</v>
      </c>
      <c r="F18" s="15">
        <v>0.95733977261293901</v>
      </c>
      <c r="G18" s="15">
        <v>0.980136208853575</v>
      </c>
      <c r="H18" s="15">
        <v>0.95459111914808104</v>
      </c>
      <c r="I18" s="15">
        <v>0.95020000000000004</v>
      </c>
      <c r="J18" s="15">
        <v>0.95340000000000003</v>
      </c>
      <c r="K18" s="15">
        <v>0.95189999999999997</v>
      </c>
      <c r="L18" s="15">
        <v>0.95109999999999995</v>
      </c>
      <c r="M18" s="15">
        <v>0.97744874715261998</v>
      </c>
      <c r="N18" s="15">
        <v>0.95826629123089302</v>
      </c>
      <c r="O18" s="15">
        <v>0.95569999999999999</v>
      </c>
      <c r="P18" s="15">
        <v>0.97404027690371298</v>
      </c>
      <c r="Q18" s="15">
        <v>0.97923650913809901</v>
      </c>
      <c r="R18" s="15">
        <v>0.96339869281045798</v>
      </c>
    </row>
    <row r="19" spans="1:18" x14ac:dyDescent="0.3">
      <c r="A19">
        <v>0.95</v>
      </c>
      <c r="B19" t="s">
        <v>57</v>
      </c>
      <c r="C19" t="s">
        <v>125</v>
      </c>
      <c r="D19" s="15">
        <v>0.86646597140092496</v>
      </c>
      <c r="E19" s="15">
        <v>0.91760642080666499</v>
      </c>
      <c r="F19" s="15">
        <v>0.94271407110665995</v>
      </c>
      <c r="G19" s="15">
        <v>0.90797800601722201</v>
      </c>
      <c r="H19" s="15">
        <v>0.94413855240764799</v>
      </c>
      <c r="I19" s="15">
        <v>0.94820000000000004</v>
      </c>
      <c r="J19" s="15">
        <v>0.94978995799159804</v>
      </c>
      <c r="K19" s="15">
        <v>0.94648394518355505</v>
      </c>
      <c r="L19" s="15">
        <v>0.94878463539061697</v>
      </c>
      <c r="M19" s="15">
        <v>0.96226849189002694</v>
      </c>
      <c r="N19" s="15">
        <v>0.94383743490248095</v>
      </c>
      <c r="O19" s="15">
        <v>0.95747696669029103</v>
      </c>
      <c r="P19" s="15">
        <v>0.93054989816700595</v>
      </c>
      <c r="Q19" s="15">
        <v>0.97767761322172098</v>
      </c>
      <c r="R19" s="15">
        <v>0.93545878693623596</v>
      </c>
    </row>
    <row r="20" spans="1:18" x14ac:dyDescent="0.3">
      <c r="A20">
        <v>0.95</v>
      </c>
      <c r="B20" t="s">
        <v>57</v>
      </c>
      <c r="C20" t="s">
        <v>124</v>
      </c>
      <c r="D20" s="15">
        <v>0.87452962047091698</v>
      </c>
      <c r="E20" s="15">
        <v>0.92268617291476196</v>
      </c>
      <c r="F20" s="15">
        <v>0.95012518778167299</v>
      </c>
      <c r="G20" s="15">
        <v>0.91409897292250197</v>
      </c>
      <c r="H20" s="15">
        <v>0.94834317749524499</v>
      </c>
      <c r="I20" s="15">
        <v>0.9506</v>
      </c>
      <c r="J20" s="15">
        <v>0.95169033806761305</v>
      </c>
      <c r="K20" s="15">
        <v>0.94748424527358199</v>
      </c>
      <c r="L20" s="15">
        <v>0.94938481544463305</v>
      </c>
      <c r="M20" s="15">
        <v>0.96433912343264705</v>
      </c>
      <c r="N20" s="15">
        <v>0.94557336873276798</v>
      </c>
      <c r="O20" s="15">
        <v>0.957881947959907</v>
      </c>
      <c r="P20" s="15">
        <v>0.93238289205702696</v>
      </c>
      <c r="Q20" s="15">
        <v>0.97864348572655102</v>
      </c>
      <c r="R20" s="15">
        <v>0.93645856476338596</v>
      </c>
    </row>
    <row r="21" spans="1:18" x14ac:dyDescent="0.3">
      <c r="A21">
        <v>0.95</v>
      </c>
      <c r="B21" t="s">
        <v>57</v>
      </c>
      <c r="C21" t="s">
        <v>130</v>
      </c>
      <c r="D21" s="15">
        <v>0.99529999999999996</v>
      </c>
      <c r="E21" s="15">
        <v>0.96330000000000005</v>
      </c>
      <c r="F21" s="15">
        <v>0.95699999999999996</v>
      </c>
      <c r="G21" s="15">
        <v>0.97099999999999997</v>
      </c>
      <c r="H21" s="15">
        <v>0.95689999999999997</v>
      </c>
      <c r="I21" s="15">
        <v>0.95420000000000005</v>
      </c>
      <c r="J21" s="15">
        <v>0.95669999999999999</v>
      </c>
      <c r="K21" s="15">
        <v>0.94859485948594902</v>
      </c>
      <c r="L21" s="15">
        <v>0.94989999999999997</v>
      </c>
      <c r="M21" s="15">
        <v>0.922970822281167</v>
      </c>
      <c r="N21" s="15">
        <v>0.943965079687341</v>
      </c>
      <c r="O21" s="15">
        <v>0.95826192156467405</v>
      </c>
      <c r="P21" s="15">
        <v>0.97991598844841199</v>
      </c>
      <c r="Q21" s="15">
        <v>0.960578737680856</v>
      </c>
      <c r="R21" s="15">
        <v>0.94042293615290795</v>
      </c>
    </row>
    <row r="22" spans="1:18" x14ac:dyDescent="0.3">
      <c r="A22">
        <v>0.95</v>
      </c>
      <c r="B22" t="s">
        <v>57</v>
      </c>
      <c r="C22" t="s">
        <v>127</v>
      </c>
      <c r="D22" s="15">
        <v>0.98529999999999995</v>
      </c>
      <c r="E22" s="15">
        <v>0.96340000000000003</v>
      </c>
      <c r="F22" s="15">
        <v>0.96660000000000001</v>
      </c>
      <c r="G22" s="15">
        <v>0.95669999999999999</v>
      </c>
      <c r="H22" s="15">
        <v>0.9677</v>
      </c>
      <c r="I22" s="15">
        <v>0.95389999999999997</v>
      </c>
      <c r="J22" s="15">
        <v>0.96020000000000005</v>
      </c>
      <c r="K22" s="15">
        <v>0.96599999999999997</v>
      </c>
      <c r="L22" s="15">
        <v>0.96279999999999999</v>
      </c>
      <c r="M22" s="15">
        <v>0.95409999999999995</v>
      </c>
      <c r="N22" s="15">
        <v>0.96950000000000003</v>
      </c>
      <c r="O22" s="15">
        <v>0.95950000000000002</v>
      </c>
      <c r="P22" s="15">
        <v>0.98509999999999998</v>
      </c>
      <c r="Q22" s="15">
        <v>0.96250000000000002</v>
      </c>
      <c r="R22" s="15">
        <v>0.96599999999999997</v>
      </c>
    </row>
    <row r="23" spans="1:18" x14ac:dyDescent="0.3">
      <c r="A23">
        <v>0.95</v>
      </c>
      <c r="B23" t="s">
        <v>31</v>
      </c>
      <c r="C23" t="s">
        <v>129</v>
      </c>
      <c r="D23" s="15" t="s">
        <v>59</v>
      </c>
      <c r="E23" s="15" t="s">
        <v>59</v>
      </c>
      <c r="F23" s="15" t="s">
        <v>59</v>
      </c>
      <c r="G23" s="15" t="s">
        <v>59</v>
      </c>
      <c r="H23" s="15" t="s">
        <v>59</v>
      </c>
      <c r="I23" s="15" t="s">
        <v>59</v>
      </c>
      <c r="J23" s="15">
        <v>0.95430000000000004</v>
      </c>
      <c r="K23" s="15">
        <v>0.95020000000000004</v>
      </c>
      <c r="L23" s="15">
        <v>0.94779999999999998</v>
      </c>
      <c r="M23" s="15" t="s">
        <v>59</v>
      </c>
      <c r="N23" s="15" t="s">
        <v>59</v>
      </c>
      <c r="O23" s="15" t="s">
        <v>59</v>
      </c>
      <c r="P23" s="15" t="s">
        <v>59</v>
      </c>
      <c r="Q23" s="15" t="s">
        <v>59</v>
      </c>
      <c r="R23" s="15" t="s">
        <v>59</v>
      </c>
    </row>
    <row r="24" spans="1:18" x14ac:dyDescent="0.3">
      <c r="A24">
        <v>0.95</v>
      </c>
      <c r="B24" t="s">
        <v>56</v>
      </c>
      <c r="C24" t="s">
        <v>129</v>
      </c>
      <c r="D24" s="15" t="s">
        <v>59</v>
      </c>
      <c r="E24" s="15" t="s">
        <v>59</v>
      </c>
      <c r="F24" s="15" t="s">
        <v>59</v>
      </c>
      <c r="G24" s="15" t="s">
        <v>59</v>
      </c>
      <c r="H24" s="15" t="s">
        <v>59</v>
      </c>
      <c r="I24" s="15" t="s">
        <v>59</v>
      </c>
      <c r="J24" s="15">
        <v>0.91539999999999999</v>
      </c>
      <c r="K24" s="15">
        <v>0.84970000000000001</v>
      </c>
      <c r="L24" s="15">
        <v>0.73270000000000002</v>
      </c>
      <c r="M24" s="15" t="s">
        <v>59</v>
      </c>
      <c r="N24" s="15" t="s">
        <v>59</v>
      </c>
      <c r="O24" s="15" t="s">
        <v>59</v>
      </c>
      <c r="P24" s="15" t="s">
        <v>59</v>
      </c>
      <c r="Q24" s="15" t="s">
        <v>59</v>
      </c>
      <c r="R24" s="15" t="s">
        <v>59</v>
      </c>
    </row>
    <row r="25" spans="1:18" x14ac:dyDescent="0.3">
      <c r="A25">
        <v>0.95</v>
      </c>
      <c r="B25" t="s">
        <v>57</v>
      </c>
      <c r="C25" t="s">
        <v>129</v>
      </c>
      <c r="D25" s="15" t="s">
        <v>59</v>
      </c>
      <c r="E25" s="15" t="s">
        <v>59</v>
      </c>
      <c r="F25" s="15" t="s">
        <v>59</v>
      </c>
      <c r="G25" s="15" t="s">
        <v>59</v>
      </c>
      <c r="H25" s="15" t="s">
        <v>59</v>
      </c>
      <c r="I25" s="15" t="s">
        <v>59</v>
      </c>
      <c r="J25" s="15">
        <v>0.90149999999999997</v>
      </c>
      <c r="K25" s="15">
        <v>0.78920000000000001</v>
      </c>
      <c r="L25" s="15">
        <v>0.61809999999999998</v>
      </c>
      <c r="M25" s="15" t="s">
        <v>59</v>
      </c>
      <c r="N25" s="15" t="s">
        <v>59</v>
      </c>
      <c r="O25" s="15" t="s">
        <v>59</v>
      </c>
      <c r="P25" s="15" t="s">
        <v>59</v>
      </c>
      <c r="Q25" s="15" t="s">
        <v>59</v>
      </c>
      <c r="R25" s="15" t="s">
        <v>59</v>
      </c>
    </row>
  </sheetData>
  <pageMargins left="0.7" right="0.7" top="0.75" bottom="0.75" header="0.3" footer="0.3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B9DF5-8AFF-4D81-87AA-5E4D5C717778}">
  <dimension ref="A1:R27"/>
  <sheetViews>
    <sheetView topLeftCell="C1" workbookViewId="0">
      <selection activeCell="D2" sqref="D1:R2"/>
    </sheetView>
  </sheetViews>
  <sheetFormatPr defaultRowHeight="14.4" x14ac:dyDescent="0.3"/>
  <cols>
    <col min="3" max="3" width="17.44140625" bestFit="1" customWidth="1"/>
  </cols>
  <sheetData>
    <row r="1" spans="1:18" x14ac:dyDescent="0.3">
      <c r="D1" s="42" t="str">
        <f>LEFT(D3,FIND("_",D3)-1)</f>
        <v>0.05</v>
      </c>
      <c r="E1" s="43"/>
      <c r="F1" s="44"/>
      <c r="G1" s="43" t="str">
        <f t="shared" ref="G1:R1" si="0">LEFT(G3,FIND("_",G3)-1)</f>
        <v>0.1</v>
      </c>
      <c r="H1" s="43" t="str">
        <f t="shared" si="0"/>
        <v>0.1</v>
      </c>
      <c r="I1" s="44" t="str">
        <f t="shared" si="0"/>
        <v>0.1</v>
      </c>
      <c r="J1" s="43" t="str">
        <f t="shared" si="0"/>
        <v>0.5</v>
      </c>
      <c r="K1" s="43" t="str">
        <f t="shared" si="0"/>
        <v>0.5</v>
      </c>
      <c r="L1" s="44" t="str">
        <f t="shared" si="0"/>
        <v>0.5</v>
      </c>
      <c r="M1" s="43" t="str">
        <f t="shared" si="0"/>
        <v>0.9</v>
      </c>
      <c r="N1" s="43" t="str">
        <f t="shared" si="0"/>
        <v>0.9</v>
      </c>
      <c r="O1" s="44" t="str">
        <f t="shared" si="0"/>
        <v>0.9</v>
      </c>
      <c r="P1" s="43" t="str">
        <f t="shared" si="0"/>
        <v>0.95</v>
      </c>
      <c r="Q1" s="43" t="str">
        <f t="shared" si="0"/>
        <v>0.95</v>
      </c>
      <c r="R1" s="44" t="str">
        <f t="shared" si="0"/>
        <v>0.95</v>
      </c>
    </row>
    <row r="2" spans="1:18" x14ac:dyDescent="0.3">
      <c r="D2" s="18" t="str">
        <f t="shared" ref="D2:R2" si="1">RIGHT(D3,LEN(D3)-FIND("_",D3))</f>
        <v>20</v>
      </c>
      <c r="E2" t="str">
        <f t="shared" si="1"/>
        <v>50</v>
      </c>
      <c r="F2" s="19" t="str">
        <f t="shared" si="1"/>
        <v>100</v>
      </c>
      <c r="G2" t="str">
        <f t="shared" si="1"/>
        <v>20</v>
      </c>
      <c r="H2" t="str">
        <f t="shared" si="1"/>
        <v>50</v>
      </c>
      <c r="I2" s="19" t="str">
        <f t="shared" si="1"/>
        <v>100</v>
      </c>
      <c r="J2" t="str">
        <f t="shared" si="1"/>
        <v>20</v>
      </c>
      <c r="K2" t="str">
        <f t="shared" si="1"/>
        <v>50</v>
      </c>
      <c r="L2" s="19" t="str">
        <f t="shared" si="1"/>
        <v>100</v>
      </c>
      <c r="M2" t="str">
        <f t="shared" si="1"/>
        <v>20</v>
      </c>
      <c r="N2" t="str">
        <f t="shared" si="1"/>
        <v>50</v>
      </c>
      <c r="O2" s="19" t="str">
        <f t="shared" si="1"/>
        <v>100</v>
      </c>
      <c r="P2" t="str">
        <f t="shared" si="1"/>
        <v>20</v>
      </c>
      <c r="Q2" t="str">
        <f t="shared" si="1"/>
        <v>50</v>
      </c>
      <c r="R2" s="19" t="str">
        <f t="shared" si="1"/>
        <v>100</v>
      </c>
    </row>
    <row r="3" spans="1:18" x14ac:dyDescent="0.3">
      <c r="A3" t="s">
        <v>61</v>
      </c>
      <c r="B3" t="s">
        <v>0</v>
      </c>
      <c r="C3" t="s">
        <v>2</v>
      </c>
      <c r="D3" t="s">
        <v>101</v>
      </c>
      <c r="E3" t="s">
        <v>102</v>
      </c>
      <c r="F3" t="s">
        <v>103</v>
      </c>
      <c r="G3" t="s">
        <v>104</v>
      </c>
      <c r="H3" t="s">
        <v>105</v>
      </c>
      <c r="I3" t="s">
        <v>106</v>
      </c>
      <c r="J3" t="s">
        <v>107</v>
      </c>
      <c r="K3" t="s">
        <v>108</v>
      </c>
      <c r="L3" t="s">
        <v>109</v>
      </c>
      <c r="M3" t="s">
        <v>110</v>
      </c>
      <c r="N3" t="s">
        <v>111</v>
      </c>
      <c r="O3" t="s">
        <v>112</v>
      </c>
      <c r="P3" t="s">
        <v>113</v>
      </c>
      <c r="Q3" t="s">
        <v>114</v>
      </c>
      <c r="R3" t="s">
        <v>115</v>
      </c>
    </row>
    <row r="4" spans="1:18" x14ac:dyDescent="0.3">
      <c r="A4">
        <v>0.9</v>
      </c>
      <c r="B4" t="s">
        <v>56</v>
      </c>
      <c r="C4" t="s">
        <v>122</v>
      </c>
      <c r="D4" s="15">
        <v>0.95845092505487595</v>
      </c>
      <c r="E4" s="15">
        <v>0.95632904550859399</v>
      </c>
      <c r="F4" s="15">
        <v>0.91027962180647803</v>
      </c>
      <c r="G4" s="15">
        <v>0.95354634035803298</v>
      </c>
      <c r="H4" s="15">
        <v>0.91296035419601496</v>
      </c>
      <c r="I4" s="15">
        <v>0.9</v>
      </c>
      <c r="J4" s="15">
        <v>0.89870000000000005</v>
      </c>
      <c r="K4" s="15">
        <v>0.90390000000000004</v>
      </c>
      <c r="L4" s="15">
        <v>0.90280000000000005</v>
      </c>
      <c r="M4" s="15">
        <v>0.94960665830577995</v>
      </c>
      <c r="N4" s="15">
        <v>0.91168491911986305</v>
      </c>
      <c r="O4" s="15">
        <v>0.89949999999999997</v>
      </c>
      <c r="P4" s="15">
        <v>0.94169976171564695</v>
      </c>
      <c r="Q4" s="15">
        <v>0.95789587617707495</v>
      </c>
      <c r="R4" s="15">
        <v>0.91636473429951704</v>
      </c>
    </row>
    <row r="5" spans="1:18" x14ac:dyDescent="0.3">
      <c r="A5">
        <v>0.9</v>
      </c>
      <c r="B5" t="s">
        <v>56</v>
      </c>
      <c r="C5" t="s">
        <v>123</v>
      </c>
      <c r="D5" s="15">
        <v>0.39644401729937501</v>
      </c>
      <c r="E5" s="15">
        <v>0.88749999999999996</v>
      </c>
      <c r="F5" s="15">
        <v>0.91715399610136406</v>
      </c>
      <c r="G5" s="15">
        <v>0.77520684335997803</v>
      </c>
      <c r="H5" s="15">
        <v>0.926835196888673</v>
      </c>
      <c r="I5" s="15">
        <v>0.88752156411730898</v>
      </c>
      <c r="J5" s="15">
        <v>0.87880000000000003</v>
      </c>
      <c r="K5" s="15">
        <v>0.93789999999999996</v>
      </c>
      <c r="L5" s="15">
        <v>0.91300000000000003</v>
      </c>
      <c r="M5" s="15">
        <v>0.83120000000000005</v>
      </c>
      <c r="N5" s="15">
        <v>0.9385</v>
      </c>
      <c r="O5" s="15">
        <v>0.90059999999999996</v>
      </c>
      <c r="P5" s="15">
        <v>0.389221556886228</v>
      </c>
      <c r="Q5" s="15">
        <v>0.88790000000000002</v>
      </c>
      <c r="R5" s="15">
        <v>0.92098192476795304</v>
      </c>
    </row>
    <row r="6" spans="1:18" x14ac:dyDescent="0.3">
      <c r="A6">
        <v>0.9</v>
      </c>
      <c r="B6" t="s">
        <v>56</v>
      </c>
      <c r="C6" t="s">
        <v>124</v>
      </c>
      <c r="D6" s="15">
        <v>0.87571080422420799</v>
      </c>
      <c r="E6" s="15">
        <v>0.92578536791060495</v>
      </c>
      <c r="F6" s="15">
        <v>0.91863303498779503</v>
      </c>
      <c r="G6" s="15">
        <v>0.91495698213103904</v>
      </c>
      <c r="H6" s="15">
        <v>0.91193757600324299</v>
      </c>
      <c r="I6" s="15">
        <v>0.89869972785001495</v>
      </c>
      <c r="J6" s="15">
        <v>0.88231725811343598</v>
      </c>
      <c r="K6" s="15">
        <v>0.89182111200644598</v>
      </c>
      <c r="L6" s="15">
        <v>0.90791193324620501</v>
      </c>
      <c r="M6" s="15">
        <v>0.93695475165755504</v>
      </c>
      <c r="N6" s="15">
        <v>0.91014669926650404</v>
      </c>
      <c r="O6" s="15">
        <v>0.89872650090964201</v>
      </c>
      <c r="P6" s="15">
        <v>0.91718913270637403</v>
      </c>
      <c r="Q6" s="15">
        <v>0.95591247170421501</v>
      </c>
      <c r="R6" s="15">
        <v>0.92947896025177801</v>
      </c>
    </row>
    <row r="7" spans="1:18" x14ac:dyDescent="0.3">
      <c r="A7">
        <v>0.9</v>
      </c>
      <c r="B7" t="s">
        <v>56</v>
      </c>
      <c r="C7" t="s">
        <v>125</v>
      </c>
      <c r="D7" s="15">
        <v>0.85228811264554605</v>
      </c>
      <c r="E7" s="15">
        <v>0.92262281256588696</v>
      </c>
      <c r="F7" s="15">
        <v>0.90530919446704605</v>
      </c>
      <c r="G7" s="15">
        <v>0.91043459077873401</v>
      </c>
      <c r="H7" s="15">
        <v>0.90869477097689499</v>
      </c>
      <c r="I7" s="15">
        <v>0.89708698719887103</v>
      </c>
      <c r="J7" s="15">
        <v>0.88009301385097605</v>
      </c>
      <c r="K7" s="15">
        <v>0.89101531023368297</v>
      </c>
      <c r="L7" s="15">
        <v>0.90761033477430397</v>
      </c>
      <c r="M7" s="15">
        <v>0.93614051413283705</v>
      </c>
      <c r="N7" s="15">
        <v>0.90963732681336595</v>
      </c>
      <c r="O7" s="15">
        <v>0.898221144127754</v>
      </c>
      <c r="P7" s="15">
        <v>0.78892371995820298</v>
      </c>
      <c r="Q7" s="15">
        <v>0.95515791743020395</v>
      </c>
      <c r="R7" s="15">
        <v>0.89509266814314004</v>
      </c>
    </row>
    <row r="8" spans="1:18" x14ac:dyDescent="0.3">
      <c r="A8">
        <v>0.9</v>
      </c>
      <c r="B8" t="s">
        <v>56</v>
      </c>
      <c r="C8" t="s">
        <v>127</v>
      </c>
      <c r="D8" s="15">
        <v>0.92859999999999998</v>
      </c>
      <c r="E8" s="15">
        <v>0.96240000000000003</v>
      </c>
      <c r="F8" s="15">
        <v>0.93200000000000005</v>
      </c>
      <c r="G8" s="15">
        <v>0.95709999999999995</v>
      </c>
      <c r="H8" s="15">
        <v>0.90720000000000001</v>
      </c>
      <c r="I8" s="15">
        <v>0.90459999999999996</v>
      </c>
      <c r="J8" s="15">
        <v>0.95640000000000003</v>
      </c>
      <c r="K8" s="15">
        <v>0.93789999999999996</v>
      </c>
      <c r="L8" s="15">
        <v>0.91300000000000003</v>
      </c>
      <c r="M8" s="15">
        <v>0.95409999999999995</v>
      </c>
      <c r="N8" s="15">
        <v>0.90659999999999996</v>
      </c>
      <c r="O8" s="15">
        <v>0.90129999999999999</v>
      </c>
      <c r="P8" s="15">
        <v>0.92510000000000003</v>
      </c>
      <c r="Q8" s="15">
        <v>0.96399999999999997</v>
      </c>
      <c r="R8" s="15">
        <v>0.93530000000000002</v>
      </c>
    </row>
    <row r="9" spans="1:18" x14ac:dyDescent="0.3">
      <c r="A9">
        <v>0.9</v>
      </c>
      <c r="B9" t="s">
        <v>56</v>
      </c>
      <c r="C9" t="s">
        <v>128</v>
      </c>
      <c r="D9" s="15">
        <v>0.72758489126287695</v>
      </c>
      <c r="E9" s="15">
        <v>0.95935574532483003</v>
      </c>
      <c r="F9" s="15">
        <v>0.88159509202454001</v>
      </c>
      <c r="G9" s="15">
        <v>0.92798388450562397</v>
      </c>
      <c r="H9" s="15">
        <v>0.89395052657359797</v>
      </c>
      <c r="I9" s="15">
        <v>0.88752156411730898</v>
      </c>
      <c r="J9" s="15">
        <v>0.87880000000000003</v>
      </c>
      <c r="K9" s="15">
        <v>0.88549999999999995</v>
      </c>
      <c r="L9" s="15">
        <v>0.91300000000000003</v>
      </c>
      <c r="M9" s="15">
        <v>0.94766845285600299</v>
      </c>
      <c r="N9" s="15">
        <v>0.91088114136441301</v>
      </c>
      <c r="O9" s="15">
        <v>0.90059999999999996</v>
      </c>
      <c r="P9" s="15">
        <v>0.71639530480878499</v>
      </c>
      <c r="Q9" s="15">
        <v>0.96103474401991595</v>
      </c>
      <c r="R9" s="15">
        <v>0.88860167405219104</v>
      </c>
    </row>
    <row r="10" spans="1:18" x14ac:dyDescent="0.3">
      <c r="A10">
        <v>0.9</v>
      </c>
      <c r="B10" t="s">
        <v>56</v>
      </c>
      <c r="C10" t="s">
        <v>129</v>
      </c>
      <c r="D10" s="15" t="s">
        <v>59</v>
      </c>
      <c r="E10" s="15" t="s">
        <v>59</v>
      </c>
      <c r="F10" s="15" t="s">
        <v>59</v>
      </c>
      <c r="G10" s="15" t="s">
        <v>59</v>
      </c>
      <c r="H10" s="15" t="s">
        <v>59</v>
      </c>
      <c r="I10" s="15" t="s">
        <v>59</v>
      </c>
      <c r="J10" s="15">
        <v>0.8448</v>
      </c>
      <c r="K10" s="15">
        <v>0.75139999999999996</v>
      </c>
      <c r="L10" s="15">
        <v>0.61680000000000001</v>
      </c>
      <c r="M10" s="15" t="s">
        <v>59</v>
      </c>
      <c r="N10" s="15" t="s">
        <v>59</v>
      </c>
      <c r="O10" s="15" t="s">
        <v>59</v>
      </c>
      <c r="P10" s="15" t="s">
        <v>59</v>
      </c>
      <c r="Q10" s="15" t="s">
        <v>59</v>
      </c>
      <c r="R10" s="15" t="s">
        <v>59</v>
      </c>
    </row>
    <row r="11" spans="1:18" x14ac:dyDescent="0.3">
      <c r="A11">
        <v>0.9</v>
      </c>
      <c r="B11" t="s">
        <v>56</v>
      </c>
      <c r="C11" t="s">
        <v>130</v>
      </c>
      <c r="D11" s="15">
        <v>0.96539618856569698</v>
      </c>
      <c r="E11" s="15">
        <v>0.89190000000000003</v>
      </c>
      <c r="F11" s="15">
        <v>0.90647915620291297</v>
      </c>
      <c r="G11" s="15">
        <v>0.86351706036745401</v>
      </c>
      <c r="H11" s="15">
        <v>0.90880693268843205</v>
      </c>
      <c r="I11" s="15">
        <v>0.90007051475773103</v>
      </c>
      <c r="J11" s="15">
        <v>0.88515546639919795</v>
      </c>
      <c r="K11" s="15">
        <v>0.89326123961149495</v>
      </c>
      <c r="L11" s="15">
        <v>0.90839006808169798</v>
      </c>
      <c r="M11" s="15">
        <v>0.90877816002663403</v>
      </c>
      <c r="N11" s="15">
        <v>0.90925663358314801</v>
      </c>
      <c r="O11" s="15">
        <v>0.89904088844018204</v>
      </c>
      <c r="P11" s="15">
        <v>0.90131195335277003</v>
      </c>
      <c r="Q11" s="15">
        <v>0.94638098283765104</v>
      </c>
      <c r="R11" s="15">
        <v>0.90863972450116504</v>
      </c>
    </row>
    <row r="12" spans="1:18" x14ac:dyDescent="0.3">
      <c r="A12">
        <v>0.9</v>
      </c>
      <c r="B12" t="s">
        <v>57</v>
      </c>
      <c r="C12" t="s">
        <v>122</v>
      </c>
      <c r="D12" s="15">
        <v>0.95966360380003102</v>
      </c>
      <c r="E12" s="15">
        <v>0.95750677506775095</v>
      </c>
      <c r="F12" s="15">
        <v>0.91296911158064198</v>
      </c>
      <c r="G12" s="15">
        <v>0.95289443813847896</v>
      </c>
      <c r="H12" s="15">
        <v>0.91018685955394796</v>
      </c>
      <c r="I12" s="15">
        <v>0.89749999999999996</v>
      </c>
      <c r="J12" s="15">
        <v>0.90569999999999995</v>
      </c>
      <c r="K12" s="15">
        <v>0.90010000000000001</v>
      </c>
      <c r="L12" s="15">
        <v>0.90339999999999998</v>
      </c>
      <c r="M12" s="15">
        <v>0.94954441913439602</v>
      </c>
      <c r="N12" s="15">
        <v>0.91170555108608198</v>
      </c>
      <c r="O12" s="15">
        <v>0.9042</v>
      </c>
      <c r="P12" s="15">
        <v>0.94776589049716797</v>
      </c>
      <c r="Q12" s="15">
        <v>0.95609386828160503</v>
      </c>
      <c r="R12" s="15">
        <v>0.91141277023629996</v>
      </c>
    </row>
    <row r="13" spans="1:18" x14ac:dyDescent="0.3">
      <c r="A13">
        <v>0.9</v>
      </c>
      <c r="B13" t="s">
        <v>57</v>
      </c>
      <c r="C13" t="s">
        <v>123</v>
      </c>
      <c r="D13" s="15">
        <v>0.401830149301654</v>
      </c>
      <c r="E13" s="15">
        <v>0.88590000000000002</v>
      </c>
      <c r="F13" s="15">
        <v>0.91982237572468195</v>
      </c>
      <c r="G13" s="15">
        <v>0.77195447520022498</v>
      </c>
      <c r="H13" s="15">
        <v>0.92711656441717805</v>
      </c>
      <c r="I13" s="15">
        <v>0.88430606617647101</v>
      </c>
      <c r="J13" s="15">
        <v>0.88839999999999997</v>
      </c>
      <c r="K13" s="15">
        <v>0.93559999999999999</v>
      </c>
      <c r="L13" s="15">
        <v>0.91379999999999995</v>
      </c>
      <c r="M13" s="15">
        <v>0.83209999999999995</v>
      </c>
      <c r="N13" s="15">
        <v>0.94040000000000001</v>
      </c>
      <c r="O13" s="15">
        <v>0.90449999999999997</v>
      </c>
      <c r="P13" s="15">
        <v>0.39534512992188697</v>
      </c>
      <c r="Q13" s="15">
        <v>0.88719999999999999</v>
      </c>
      <c r="R13" s="15">
        <v>0.92166237587348299</v>
      </c>
    </row>
    <row r="14" spans="1:18" x14ac:dyDescent="0.3">
      <c r="A14">
        <v>0.9</v>
      </c>
      <c r="B14" t="s">
        <v>57</v>
      </c>
      <c r="C14" t="s">
        <v>124</v>
      </c>
      <c r="D14" s="15">
        <v>0.82690033329749502</v>
      </c>
      <c r="E14" s="15">
        <v>0.88509600731484295</v>
      </c>
      <c r="F14" s="15">
        <v>0.90916374561842805</v>
      </c>
      <c r="G14" s="15">
        <v>0.87934433032472203</v>
      </c>
      <c r="H14" s="15">
        <v>0.90529582540794895</v>
      </c>
      <c r="I14" s="15">
        <v>0.89419999999999999</v>
      </c>
      <c r="J14" s="15">
        <v>0.89627925585116996</v>
      </c>
      <c r="K14" s="15">
        <v>0.89346804041212402</v>
      </c>
      <c r="L14" s="15">
        <v>0.90537161148344503</v>
      </c>
      <c r="M14" s="15">
        <v>0.925572299551363</v>
      </c>
      <c r="N14" s="15">
        <v>0.91105891963647501</v>
      </c>
      <c r="O14" s="15">
        <v>0.90158955148324404</v>
      </c>
      <c r="P14" s="15">
        <v>0.92036659877800397</v>
      </c>
      <c r="Q14" s="15">
        <v>0.94859411890963696</v>
      </c>
      <c r="R14" s="15">
        <v>0.92801599644523403</v>
      </c>
    </row>
    <row r="15" spans="1:18" x14ac:dyDescent="0.3">
      <c r="A15">
        <v>0.9</v>
      </c>
      <c r="B15" t="s">
        <v>57</v>
      </c>
      <c r="C15" t="s">
        <v>125</v>
      </c>
      <c r="D15" s="15">
        <v>0.81840662294376898</v>
      </c>
      <c r="E15" s="15">
        <v>0.87564766839378205</v>
      </c>
      <c r="F15" s="15">
        <v>0.901251877816725</v>
      </c>
      <c r="G15" s="15">
        <v>0.87228965660338198</v>
      </c>
      <c r="H15" s="15">
        <v>0.89718690559615599</v>
      </c>
      <c r="I15" s="15">
        <v>0.89100000000000001</v>
      </c>
      <c r="J15" s="15">
        <v>0.89377875575114996</v>
      </c>
      <c r="K15" s="15">
        <v>0.89216765029508804</v>
      </c>
      <c r="L15" s="15">
        <v>0.904871461438432</v>
      </c>
      <c r="M15" s="15">
        <v>0.92373173818014498</v>
      </c>
      <c r="N15" s="15">
        <v>0.90881241703257398</v>
      </c>
      <c r="O15" s="15">
        <v>0.90088083426141496</v>
      </c>
      <c r="P15" s="15">
        <v>0.83523421588594704</v>
      </c>
      <c r="Q15" s="15">
        <v>0.94762824640480803</v>
      </c>
      <c r="R15" s="15">
        <v>0.89402355032215097</v>
      </c>
    </row>
    <row r="16" spans="1:18" x14ac:dyDescent="0.3">
      <c r="A16">
        <v>0.9</v>
      </c>
      <c r="B16" t="s">
        <v>57</v>
      </c>
      <c r="C16" t="s">
        <v>127</v>
      </c>
      <c r="D16" s="15">
        <v>0.92430000000000001</v>
      </c>
      <c r="E16" s="15">
        <v>0.96340000000000003</v>
      </c>
      <c r="F16" s="15">
        <v>0.93500000000000005</v>
      </c>
      <c r="G16" s="15">
        <v>0.95669999999999999</v>
      </c>
      <c r="H16" s="15">
        <v>0.90510000000000002</v>
      </c>
      <c r="I16" s="15">
        <v>0.90110000000000001</v>
      </c>
      <c r="J16" s="15">
        <v>0.96020000000000005</v>
      </c>
      <c r="K16" s="15">
        <v>0.93559999999999999</v>
      </c>
      <c r="L16" s="15">
        <v>0.91379999999999995</v>
      </c>
      <c r="M16" s="15">
        <v>0.95409999999999995</v>
      </c>
      <c r="N16" s="15">
        <v>0.90669999999999995</v>
      </c>
      <c r="O16" s="15">
        <v>0.90800000000000003</v>
      </c>
      <c r="P16" s="15">
        <v>0.93</v>
      </c>
      <c r="Q16" s="15">
        <v>0.96250000000000002</v>
      </c>
      <c r="R16" s="15">
        <v>0.93610000000000004</v>
      </c>
    </row>
    <row r="17" spans="1:18" x14ac:dyDescent="0.3">
      <c r="A17">
        <v>0.9</v>
      </c>
      <c r="B17" t="s">
        <v>57</v>
      </c>
      <c r="C17" t="s">
        <v>128</v>
      </c>
      <c r="D17" s="15">
        <v>0.71433962264150896</v>
      </c>
      <c r="E17" s="15">
        <v>0.96032520325203297</v>
      </c>
      <c r="F17" s="15">
        <v>0.88714889386030304</v>
      </c>
      <c r="G17" s="15">
        <v>0.92694449131095003</v>
      </c>
      <c r="H17" s="15">
        <v>0.88857354392892396</v>
      </c>
      <c r="I17" s="15">
        <v>0.88430606617647101</v>
      </c>
      <c r="J17" s="15">
        <v>0.88839999999999997</v>
      </c>
      <c r="K17" s="15">
        <v>0.88029999999999997</v>
      </c>
      <c r="L17" s="15">
        <v>0.91379999999999995</v>
      </c>
      <c r="M17" s="15">
        <v>0.94772209567198196</v>
      </c>
      <c r="N17" s="15">
        <v>0.911806114239743</v>
      </c>
      <c r="O17" s="15">
        <v>0.90449999999999997</v>
      </c>
      <c r="P17" s="15">
        <v>0.73373906428299696</v>
      </c>
      <c r="Q17" s="15">
        <v>0.95944630691034904</v>
      </c>
      <c r="R17" s="15">
        <v>0.88015304862996802</v>
      </c>
    </row>
    <row r="18" spans="1:18" x14ac:dyDescent="0.3">
      <c r="A18">
        <v>0.9</v>
      </c>
      <c r="B18" t="s">
        <v>57</v>
      </c>
      <c r="C18" t="s">
        <v>129</v>
      </c>
      <c r="D18" s="15" t="s">
        <v>59</v>
      </c>
      <c r="E18" s="15" t="s">
        <v>59</v>
      </c>
      <c r="F18" s="15" t="s">
        <v>59</v>
      </c>
      <c r="G18" s="15" t="s">
        <v>59</v>
      </c>
      <c r="H18" s="15" t="s">
        <v>59</v>
      </c>
      <c r="I18" s="15" t="s">
        <v>59</v>
      </c>
      <c r="J18" s="15">
        <v>0.82289999999999996</v>
      </c>
      <c r="K18" s="15">
        <v>0.6774</v>
      </c>
      <c r="L18" s="15">
        <v>0.49230000000000002</v>
      </c>
      <c r="M18" s="15" t="s">
        <v>59</v>
      </c>
      <c r="N18" s="15" t="s">
        <v>59</v>
      </c>
      <c r="O18" s="15" t="s">
        <v>59</v>
      </c>
      <c r="P18" s="15" t="s">
        <v>59</v>
      </c>
      <c r="Q18" s="15" t="s">
        <v>59</v>
      </c>
      <c r="R18" s="15" t="s">
        <v>59</v>
      </c>
    </row>
    <row r="19" spans="1:18" x14ac:dyDescent="0.3">
      <c r="A19">
        <v>0.9</v>
      </c>
      <c r="B19" t="s">
        <v>57</v>
      </c>
      <c r="C19" t="s">
        <v>130</v>
      </c>
      <c r="D19" s="15">
        <v>0.98570000000000002</v>
      </c>
      <c r="E19" s="15">
        <v>0.92510000000000003</v>
      </c>
      <c r="F19" s="15">
        <v>0.91869999999999996</v>
      </c>
      <c r="G19" s="15">
        <v>0.92520000000000002</v>
      </c>
      <c r="H19" s="15">
        <v>0.91869999999999996</v>
      </c>
      <c r="I19" s="15">
        <v>0.90190000000000003</v>
      </c>
      <c r="J19" s="15">
        <v>0.90439999999999998</v>
      </c>
      <c r="K19" s="15">
        <v>0.89608960896089596</v>
      </c>
      <c r="L19" s="15">
        <v>0.90720000000000001</v>
      </c>
      <c r="M19" s="15">
        <v>0.87596816976127301</v>
      </c>
      <c r="N19" s="15">
        <v>0.90884174195513101</v>
      </c>
      <c r="O19" s="15">
        <v>0.90240951708841599</v>
      </c>
      <c r="P19" s="15">
        <v>0.92347072722499302</v>
      </c>
      <c r="Q19" s="15">
        <v>0.92996435311386005</v>
      </c>
      <c r="R19" s="15">
        <v>0.902806018706791</v>
      </c>
    </row>
    <row r="20" spans="1:18" x14ac:dyDescent="0.3">
      <c r="A20">
        <v>0.9</v>
      </c>
      <c r="B20" t="s">
        <v>31</v>
      </c>
      <c r="C20" t="s">
        <v>122</v>
      </c>
      <c r="D20" s="15">
        <v>0.94465854786496095</v>
      </c>
      <c r="E20" s="15">
        <v>0.95425970084543699</v>
      </c>
      <c r="F20" s="15">
        <v>0.91179425356640498</v>
      </c>
      <c r="G20" s="15">
        <v>0.95552514539856304</v>
      </c>
      <c r="H20" s="15">
        <v>0.90647626709573603</v>
      </c>
      <c r="I20" s="15">
        <v>0.89429999999999998</v>
      </c>
      <c r="J20" s="15">
        <v>0.90720000000000001</v>
      </c>
      <c r="K20" s="15">
        <v>0.90239999999999998</v>
      </c>
      <c r="L20" s="15">
        <v>0.90500000000000003</v>
      </c>
      <c r="M20" s="15">
        <v>0.94826412525527604</v>
      </c>
      <c r="N20" s="15">
        <v>0.91285140562249001</v>
      </c>
      <c r="O20" s="15">
        <v>0.90369999999999995</v>
      </c>
      <c r="P20" s="15">
        <v>0.94430538172715905</v>
      </c>
      <c r="Q20" s="15">
        <v>0.95370771899392903</v>
      </c>
      <c r="R20" s="15">
        <v>0.91872045065888697</v>
      </c>
    </row>
    <row r="21" spans="1:18" x14ac:dyDescent="0.3">
      <c r="A21">
        <v>0.9</v>
      </c>
      <c r="B21" t="s">
        <v>31</v>
      </c>
      <c r="C21" t="s">
        <v>123</v>
      </c>
      <c r="D21" s="15">
        <v>0.41204665281993902</v>
      </c>
      <c r="E21" s="15">
        <v>0.88400000000000001</v>
      </c>
      <c r="F21" s="15">
        <v>0.92106224875136999</v>
      </c>
      <c r="G21" s="15">
        <v>0.77248164057087398</v>
      </c>
      <c r="H21" s="15">
        <v>0.92528311176760203</v>
      </c>
      <c r="I21" s="15">
        <v>0.88197057817310998</v>
      </c>
      <c r="J21" s="15">
        <v>0.88900000000000001</v>
      </c>
      <c r="K21" s="15">
        <v>0.93489999999999995</v>
      </c>
      <c r="L21" s="15">
        <v>0.91549999999999998</v>
      </c>
      <c r="M21" s="15">
        <v>0.83399999999999996</v>
      </c>
      <c r="N21" s="15">
        <v>0.94320000000000004</v>
      </c>
      <c r="O21" s="15">
        <v>0.90469999999999995</v>
      </c>
      <c r="P21" s="15">
        <v>0.40034937271716697</v>
      </c>
      <c r="Q21" s="15">
        <v>0.88260000000000005</v>
      </c>
      <c r="R21" s="15">
        <v>0.92446351931330495</v>
      </c>
    </row>
    <row r="22" spans="1:18" x14ac:dyDescent="0.3">
      <c r="A22">
        <v>0.9</v>
      </c>
      <c r="B22" t="s">
        <v>31</v>
      </c>
      <c r="C22" t="s">
        <v>124</v>
      </c>
      <c r="D22" s="15">
        <v>0.896606156274665</v>
      </c>
      <c r="E22" s="15">
        <v>0.93846153846153801</v>
      </c>
      <c r="F22" s="15">
        <v>0.92438125329120602</v>
      </c>
      <c r="G22" s="15">
        <v>0.91748838263629195</v>
      </c>
      <c r="H22" s="15">
        <v>0.90760257853269199</v>
      </c>
      <c r="I22" s="15">
        <v>0.89165906557210906</v>
      </c>
      <c r="J22" s="15">
        <v>0.89658624486935601</v>
      </c>
      <c r="K22" s="15">
        <v>0.89351481184948001</v>
      </c>
      <c r="L22" s="15">
        <v>0.90722578062449999</v>
      </c>
      <c r="M22" s="15">
        <v>0.91392207212236198</v>
      </c>
      <c r="N22" s="15">
        <v>0.91376165383056296</v>
      </c>
      <c r="O22" s="15">
        <v>0.902286692857862</v>
      </c>
      <c r="P22" s="15">
        <v>0.89499447339333604</v>
      </c>
      <c r="Q22" s="15">
        <v>0.93705247408357395</v>
      </c>
      <c r="R22" s="15">
        <v>0.92994302595484302</v>
      </c>
    </row>
    <row r="23" spans="1:18" x14ac:dyDescent="0.3">
      <c r="A23">
        <v>0.9</v>
      </c>
      <c r="B23" t="s">
        <v>31</v>
      </c>
      <c r="C23" t="s">
        <v>125</v>
      </c>
      <c r="D23" s="15">
        <v>0.84230465666929799</v>
      </c>
      <c r="E23" s="15">
        <v>0.936324786324786</v>
      </c>
      <c r="F23" s="15">
        <v>0.90500263296471795</v>
      </c>
      <c r="G23" s="15">
        <v>0.91397483849030903</v>
      </c>
      <c r="H23" s="15">
        <v>0.90453289675637005</v>
      </c>
      <c r="I23" s="15">
        <v>0.890949630080065</v>
      </c>
      <c r="J23" s="15">
        <v>0.89418360196215796</v>
      </c>
      <c r="K23" s="15">
        <v>0.89211369095276205</v>
      </c>
      <c r="L23" s="15">
        <v>0.90662530024019194</v>
      </c>
      <c r="M23" s="15">
        <v>0.91135424807413201</v>
      </c>
      <c r="N23" s="15">
        <v>0.91092419943250902</v>
      </c>
      <c r="O23" s="15">
        <v>0.90057419159867003</v>
      </c>
      <c r="P23" s="15">
        <v>0.84667614084951803</v>
      </c>
      <c r="Q23" s="15">
        <v>0.93544939617398704</v>
      </c>
      <c r="R23" s="15">
        <v>0.90789196032918296</v>
      </c>
    </row>
    <row r="24" spans="1:18" x14ac:dyDescent="0.3">
      <c r="A24">
        <v>0.9</v>
      </c>
      <c r="B24" t="s">
        <v>31</v>
      </c>
      <c r="C24" t="s">
        <v>127</v>
      </c>
      <c r="D24" s="15">
        <v>0.92069999999999996</v>
      </c>
      <c r="E24" s="15">
        <v>0.96140000000000003</v>
      </c>
      <c r="F24" s="15">
        <v>0.93520000000000003</v>
      </c>
      <c r="G24" s="15">
        <v>0.95889999999999997</v>
      </c>
      <c r="H24" s="15">
        <v>0.90439999999999998</v>
      </c>
      <c r="I24" s="15">
        <v>0.90090000000000003</v>
      </c>
      <c r="J24" s="15">
        <v>0.95609999999999995</v>
      </c>
      <c r="K24" s="15">
        <v>0.93489999999999995</v>
      </c>
      <c r="L24" s="15">
        <v>0.91549999999999998</v>
      </c>
      <c r="M24" s="15">
        <v>0.9526</v>
      </c>
      <c r="N24" s="15">
        <v>0.90890000000000004</v>
      </c>
      <c r="O24" s="15">
        <v>0.91</v>
      </c>
      <c r="P24" s="15">
        <v>0.92469999999999997</v>
      </c>
      <c r="Q24" s="15">
        <v>0.96020000000000005</v>
      </c>
      <c r="R24" s="15">
        <v>0.93840000000000001</v>
      </c>
    </row>
    <row r="25" spans="1:18" x14ac:dyDescent="0.3">
      <c r="A25">
        <v>0.9</v>
      </c>
      <c r="B25" t="s">
        <v>31</v>
      </c>
      <c r="C25" t="s">
        <v>128</v>
      </c>
      <c r="D25" s="15">
        <v>0.71121631463947599</v>
      </c>
      <c r="E25" s="15">
        <v>0.95816171688705798</v>
      </c>
      <c r="F25" s="15">
        <v>0.88668381722405998</v>
      </c>
      <c r="G25" s="15">
        <v>0.93133979284998303</v>
      </c>
      <c r="H25" s="15">
        <v>0.88844819038175504</v>
      </c>
      <c r="I25" s="15">
        <v>0.88197057817310998</v>
      </c>
      <c r="J25" s="15">
        <v>0.88900000000000001</v>
      </c>
      <c r="K25" s="15">
        <v>0.88149999999999995</v>
      </c>
      <c r="L25" s="15">
        <v>0.91549999999999998</v>
      </c>
      <c r="M25" s="15">
        <v>0.94622191967324698</v>
      </c>
      <c r="N25" s="15">
        <v>0.91255020080321303</v>
      </c>
      <c r="O25" s="15">
        <v>0.90469999999999995</v>
      </c>
      <c r="P25" s="15">
        <v>0.71997024916325802</v>
      </c>
      <c r="Q25" s="15">
        <v>0.95685169124024305</v>
      </c>
      <c r="R25" s="15">
        <v>0.88821640316205497</v>
      </c>
    </row>
    <row r="26" spans="1:18" x14ac:dyDescent="0.3">
      <c r="A26">
        <v>0.9</v>
      </c>
      <c r="B26" t="s">
        <v>31</v>
      </c>
      <c r="C26" t="s">
        <v>129</v>
      </c>
      <c r="D26" s="15" t="s">
        <v>59</v>
      </c>
      <c r="E26" s="15" t="s">
        <v>59</v>
      </c>
      <c r="F26" s="15" t="s">
        <v>59</v>
      </c>
      <c r="G26" s="15" t="s">
        <v>59</v>
      </c>
      <c r="H26" s="15" t="s">
        <v>59</v>
      </c>
      <c r="I26" s="15" t="s">
        <v>59</v>
      </c>
      <c r="J26" s="15">
        <v>0.90639999999999998</v>
      </c>
      <c r="K26" s="15">
        <v>0.90090000000000003</v>
      </c>
      <c r="L26" s="15">
        <v>0.90010000000000001</v>
      </c>
      <c r="M26" s="15" t="s">
        <v>59</v>
      </c>
      <c r="N26" s="15" t="s">
        <v>59</v>
      </c>
      <c r="O26" s="15" t="s">
        <v>59</v>
      </c>
      <c r="P26" s="15" t="s">
        <v>59</v>
      </c>
      <c r="Q26" s="15" t="s">
        <v>59</v>
      </c>
      <c r="R26" s="15" t="s">
        <v>59</v>
      </c>
    </row>
    <row r="27" spans="1:18" x14ac:dyDescent="0.3">
      <c r="A27">
        <v>0.9</v>
      </c>
      <c r="B27" t="s">
        <v>31</v>
      </c>
      <c r="C27" t="s">
        <v>130</v>
      </c>
      <c r="D27" s="15">
        <v>0.94219477627049997</v>
      </c>
      <c r="E27" s="15">
        <v>0.88470000000000004</v>
      </c>
      <c r="F27" s="15">
        <v>0.90770627395602199</v>
      </c>
      <c r="G27" s="15">
        <v>0.85277636271013801</v>
      </c>
      <c r="H27" s="15">
        <v>0.90489680291380004</v>
      </c>
      <c r="I27" s="15">
        <v>0.89252525252525206</v>
      </c>
      <c r="J27" s="15">
        <v>0.90295147573786905</v>
      </c>
      <c r="K27" s="15">
        <v>0.89588958895889603</v>
      </c>
      <c r="L27" s="15">
        <v>0.90867260178053399</v>
      </c>
      <c r="M27" s="15">
        <v>0.86575735821967004</v>
      </c>
      <c r="N27" s="15">
        <v>0.91196046793061702</v>
      </c>
      <c r="O27" s="15">
        <v>0.90348848899165601</v>
      </c>
      <c r="P27" s="15">
        <v>0.93988505747126405</v>
      </c>
      <c r="Q27" s="15">
        <v>0.91011120263591405</v>
      </c>
      <c r="R27" s="15">
        <v>0.91109306810108603</v>
      </c>
    </row>
  </sheetData>
  <mergeCells count="5">
    <mergeCell ref="D1:F1"/>
    <mergeCell ref="G1:I1"/>
    <mergeCell ref="J1:L1"/>
    <mergeCell ref="M1:O1"/>
    <mergeCell ref="P1:R1"/>
  </mergeCells>
  <conditionalFormatting sqref="D4:R27">
    <cfRule type="colorScale" priority="173">
      <colorScale>
        <cfvo type="min"/>
        <cfvo type="num" val="0.9"/>
        <cfvo type="max"/>
        <color rgb="FF5A8AC6"/>
        <color rgb="FF92D050"/>
        <color rgb="FFF8696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C56A6-9924-4D59-80C2-4D621E2603A0}">
  <dimension ref="A1:I25"/>
  <sheetViews>
    <sheetView workbookViewId="0">
      <selection activeCell="D20" sqref="D20:F25"/>
    </sheetView>
  </sheetViews>
  <sheetFormatPr defaultRowHeight="14.4" x14ac:dyDescent="0.3"/>
  <cols>
    <col min="4" max="5" width="11.109375" bestFit="1" customWidth="1"/>
    <col min="6" max="6" width="12.109375" bestFit="1" customWidth="1"/>
  </cols>
  <sheetData>
    <row r="1" spans="1:9" x14ac:dyDescent="0.3">
      <c r="A1" t="s">
        <v>139</v>
      </c>
      <c r="B1" t="s">
        <v>117</v>
      </c>
      <c r="C1" t="s">
        <v>0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</row>
    <row r="2" spans="1:9" x14ac:dyDescent="0.3">
      <c r="A2" t="s">
        <v>146</v>
      </c>
      <c r="B2" t="s">
        <v>123</v>
      </c>
      <c r="C2" t="s">
        <v>147</v>
      </c>
      <c r="D2">
        <v>0.93799999999999994</v>
      </c>
      <c r="E2">
        <v>0.95</v>
      </c>
      <c r="F2">
        <v>0.94899999999999995</v>
      </c>
      <c r="G2">
        <v>0</v>
      </c>
      <c r="H2">
        <v>0</v>
      </c>
      <c r="I2">
        <v>0</v>
      </c>
    </row>
    <row r="3" spans="1:9" x14ac:dyDescent="0.3">
      <c r="A3" t="s">
        <v>146</v>
      </c>
      <c r="B3" t="s">
        <v>123</v>
      </c>
      <c r="C3" t="s">
        <v>148</v>
      </c>
      <c r="D3">
        <v>0.93300000000000005</v>
      </c>
      <c r="E3">
        <v>0.94399999999999995</v>
      </c>
      <c r="F3">
        <v>0.95199999999999996</v>
      </c>
      <c r="G3">
        <v>0</v>
      </c>
      <c r="H3">
        <v>0</v>
      </c>
      <c r="I3">
        <v>0</v>
      </c>
    </row>
    <row r="4" spans="1:9" x14ac:dyDescent="0.3">
      <c r="A4" t="s">
        <v>146</v>
      </c>
      <c r="B4" t="s">
        <v>123</v>
      </c>
      <c r="C4" t="s">
        <v>31</v>
      </c>
      <c r="D4">
        <v>0.95499999999999996</v>
      </c>
      <c r="E4">
        <v>0.95299999999999996</v>
      </c>
      <c r="F4">
        <v>0.95199999999999996</v>
      </c>
      <c r="G4">
        <v>0</v>
      </c>
      <c r="H4">
        <v>0</v>
      </c>
      <c r="I4">
        <v>0</v>
      </c>
    </row>
    <row r="5" spans="1:9" x14ac:dyDescent="0.3">
      <c r="A5" t="s">
        <v>146</v>
      </c>
      <c r="B5" t="s">
        <v>149</v>
      </c>
      <c r="C5" t="s">
        <v>147</v>
      </c>
      <c r="D5">
        <v>0.91800000000000004</v>
      </c>
      <c r="E5">
        <v>0.93200000000000005</v>
      </c>
      <c r="F5">
        <v>0.94399999999999995</v>
      </c>
      <c r="G5" s="2">
        <v>2.0000000000000001E-4</v>
      </c>
      <c r="H5">
        <v>0</v>
      </c>
      <c r="I5">
        <v>0</v>
      </c>
    </row>
    <row r="6" spans="1:9" x14ac:dyDescent="0.3">
      <c r="A6" t="s">
        <v>146</v>
      </c>
      <c r="B6" t="s">
        <v>149</v>
      </c>
      <c r="C6" t="s">
        <v>148</v>
      </c>
      <c r="D6">
        <v>0.91700000000000004</v>
      </c>
      <c r="E6">
        <v>0.93899999999999995</v>
      </c>
      <c r="F6">
        <v>0.94599999999999995</v>
      </c>
      <c r="G6">
        <v>0</v>
      </c>
      <c r="H6">
        <v>0</v>
      </c>
      <c r="I6">
        <v>0</v>
      </c>
    </row>
    <row r="7" spans="1:9" x14ac:dyDescent="0.3">
      <c r="A7" t="s">
        <v>146</v>
      </c>
      <c r="B7" t="s">
        <v>149</v>
      </c>
      <c r="C7" t="s">
        <v>31</v>
      </c>
      <c r="D7">
        <v>0.93500000000000005</v>
      </c>
      <c r="E7">
        <v>0.94499999999999995</v>
      </c>
      <c r="F7">
        <v>0.94399999999999995</v>
      </c>
      <c r="G7">
        <v>0</v>
      </c>
      <c r="H7">
        <v>0</v>
      </c>
      <c r="I7">
        <v>0</v>
      </c>
    </row>
    <row r="8" spans="1:9" x14ac:dyDescent="0.3">
      <c r="A8" t="s">
        <v>150</v>
      </c>
      <c r="B8" t="s">
        <v>123</v>
      </c>
      <c r="C8" t="s">
        <v>147</v>
      </c>
      <c r="D8">
        <v>0.95499999999999996</v>
      </c>
      <c r="E8">
        <v>0.96699999999999997</v>
      </c>
      <c r="F8">
        <v>0.96399999999999997</v>
      </c>
      <c r="G8">
        <v>0</v>
      </c>
      <c r="H8">
        <v>0</v>
      </c>
      <c r="I8">
        <v>0</v>
      </c>
    </row>
    <row r="9" spans="1:9" x14ac:dyDescent="0.3">
      <c r="A9" t="s">
        <v>150</v>
      </c>
      <c r="B9" t="s">
        <v>123</v>
      </c>
      <c r="C9" t="s">
        <v>148</v>
      </c>
      <c r="D9">
        <v>0.96199999999999997</v>
      </c>
      <c r="E9">
        <v>0.96899999999999997</v>
      </c>
      <c r="F9">
        <v>0.96399999999999997</v>
      </c>
      <c r="G9">
        <v>0</v>
      </c>
      <c r="H9">
        <v>0</v>
      </c>
      <c r="I9">
        <v>0</v>
      </c>
    </row>
    <row r="10" spans="1:9" x14ac:dyDescent="0.3">
      <c r="A10" t="s">
        <v>150</v>
      </c>
      <c r="B10" t="s">
        <v>123</v>
      </c>
      <c r="C10" t="s">
        <v>31</v>
      </c>
      <c r="D10">
        <v>0.95399999999999996</v>
      </c>
      <c r="E10">
        <v>0.96899999999999997</v>
      </c>
      <c r="F10">
        <v>0.96699999999999997</v>
      </c>
      <c r="G10">
        <v>0</v>
      </c>
      <c r="H10">
        <v>0</v>
      </c>
      <c r="I10">
        <v>0</v>
      </c>
    </row>
    <row r="11" spans="1:9" x14ac:dyDescent="0.3">
      <c r="A11" t="s">
        <v>150</v>
      </c>
      <c r="B11" t="s">
        <v>149</v>
      </c>
      <c r="C11" t="s">
        <v>147</v>
      </c>
      <c r="D11">
        <v>0.95499999999999996</v>
      </c>
      <c r="E11">
        <v>0.93600000000000005</v>
      </c>
      <c r="F11">
        <v>0.94099999999999995</v>
      </c>
      <c r="G11">
        <v>0</v>
      </c>
      <c r="H11">
        <v>0</v>
      </c>
      <c r="I11">
        <v>0</v>
      </c>
    </row>
    <row r="12" spans="1:9" x14ac:dyDescent="0.3">
      <c r="A12" t="s">
        <v>150</v>
      </c>
      <c r="B12" t="s">
        <v>149</v>
      </c>
      <c r="C12" t="s">
        <v>148</v>
      </c>
      <c r="D12">
        <v>0.95899999999999996</v>
      </c>
      <c r="E12">
        <v>0.93899999999999995</v>
      </c>
      <c r="F12">
        <v>0.94299999999999995</v>
      </c>
      <c r="G12">
        <v>0</v>
      </c>
      <c r="H12">
        <v>0</v>
      </c>
      <c r="I12">
        <v>0</v>
      </c>
    </row>
    <row r="13" spans="1:9" x14ac:dyDescent="0.3">
      <c r="A13" t="s">
        <v>150</v>
      </c>
      <c r="B13" t="s">
        <v>149</v>
      </c>
      <c r="C13" t="s">
        <v>31</v>
      </c>
      <c r="D13">
        <v>0.96099999999999997</v>
      </c>
      <c r="E13">
        <v>0.93500000000000005</v>
      </c>
      <c r="F13">
        <v>0.94199999999999995</v>
      </c>
      <c r="G13">
        <v>0</v>
      </c>
      <c r="H13">
        <v>0</v>
      </c>
      <c r="I13">
        <v>0</v>
      </c>
    </row>
    <row r="14" spans="1:9" x14ac:dyDescent="0.3">
      <c r="A14" t="s">
        <v>151</v>
      </c>
      <c r="B14" t="s">
        <v>123</v>
      </c>
      <c r="C14" t="s">
        <v>147</v>
      </c>
      <c r="D14">
        <v>0.96199999999999997</v>
      </c>
      <c r="E14">
        <v>0.97</v>
      </c>
      <c r="F14">
        <v>0.96099999999999997</v>
      </c>
      <c r="G14">
        <v>0</v>
      </c>
      <c r="H14">
        <v>0</v>
      </c>
      <c r="I14">
        <v>0</v>
      </c>
    </row>
    <row r="15" spans="1:9" x14ac:dyDescent="0.3">
      <c r="A15" t="s">
        <v>151</v>
      </c>
      <c r="B15" t="s">
        <v>123</v>
      </c>
      <c r="C15" t="s">
        <v>148</v>
      </c>
      <c r="D15">
        <v>0.95799999999999996</v>
      </c>
      <c r="E15">
        <v>0.96699999999999997</v>
      </c>
      <c r="F15">
        <v>0.96099999999999997</v>
      </c>
      <c r="G15">
        <v>0</v>
      </c>
      <c r="H15">
        <v>0</v>
      </c>
      <c r="I15">
        <v>0</v>
      </c>
    </row>
    <row r="16" spans="1:9" x14ac:dyDescent="0.3">
      <c r="A16" t="s">
        <v>151</v>
      </c>
      <c r="B16" t="s">
        <v>123</v>
      </c>
      <c r="C16" t="s">
        <v>31</v>
      </c>
      <c r="D16">
        <v>0.95799999999999996</v>
      </c>
      <c r="E16">
        <v>0.96699999999999997</v>
      </c>
      <c r="F16">
        <v>0.96299999999999997</v>
      </c>
      <c r="G16">
        <v>0</v>
      </c>
      <c r="H16">
        <v>0</v>
      </c>
      <c r="I16">
        <v>0</v>
      </c>
    </row>
    <row r="17" spans="1:9" x14ac:dyDescent="0.3">
      <c r="A17" t="s">
        <v>151</v>
      </c>
      <c r="B17" t="s">
        <v>149</v>
      </c>
      <c r="C17" t="s">
        <v>147</v>
      </c>
      <c r="D17">
        <v>0.96199999999999997</v>
      </c>
      <c r="E17">
        <v>0.95299999999999996</v>
      </c>
      <c r="F17">
        <v>0.95099999999999996</v>
      </c>
      <c r="G17">
        <v>1.8E-3</v>
      </c>
      <c r="H17">
        <v>0</v>
      </c>
      <c r="I17">
        <v>0</v>
      </c>
    </row>
    <row r="18" spans="1:9" x14ac:dyDescent="0.3">
      <c r="A18" t="s">
        <v>151</v>
      </c>
      <c r="B18" t="s">
        <v>149</v>
      </c>
      <c r="C18" t="s">
        <v>148</v>
      </c>
      <c r="D18">
        <v>0.95799999999999996</v>
      </c>
      <c r="E18">
        <v>0.95099999999999996</v>
      </c>
      <c r="F18">
        <v>0.94699999999999995</v>
      </c>
      <c r="G18">
        <v>3.3999999999999998E-3</v>
      </c>
      <c r="H18">
        <v>0</v>
      </c>
      <c r="I18">
        <v>0</v>
      </c>
    </row>
    <row r="19" spans="1:9" x14ac:dyDescent="0.3">
      <c r="A19" t="s">
        <v>151</v>
      </c>
      <c r="B19" t="s">
        <v>149</v>
      </c>
      <c r="C19" t="s">
        <v>31</v>
      </c>
      <c r="D19">
        <v>0.96399999999999997</v>
      </c>
      <c r="E19">
        <v>0.94799999999999995</v>
      </c>
      <c r="F19">
        <v>0.95099999999999996</v>
      </c>
      <c r="G19">
        <v>3.7000000000000002E-3</v>
      </c>
      <c r="H19">
        <v>0</v>
      </c>
      <c r="I19">
        <v>0</v>
      </c>
    </row>
    <row r="20" spans="1:9" x14ac:dyDescent="0.3">
      <c r="A20" t="s">
        <v>59</v>
      </c>
      <c r="B20" t="s">
        <v>123</v>
      </c>
      <c r="C20" t="s">
        <v>147</v>
      </c>
      <c r="D20">
        <v>0.624</v>
      </c>
      <c r="E20">
        <v>0.91400000000000003</v>
      </c>
      <c r="F20">
        <v>0.93600000000000005</v>
      </c>
      <c r="G20">
        <v>0</v>
      </c>
      <c r="H20">
        <v>0</v>
      </c>
      <c r="I20">
        <v>0</v>
      </c>
    </row>
    <row r="21" spans="1:9" x14ac:dyDescent="0.3">
      <c r="A21" t="s">
        <v>59</v>
      </c>
      <c r="B21" t="s">
        <v>123</v>
      </c>
      <c r="C21" t="s">
        <v>148</v>
      </c>
      <c r="D21">
        <v>0.628</v>
      </c>
      <c r="E21">
        <v>0.90900000000000003</v>
      </c>
      <c r="F21">
        <v>0.93300000000000005</v>
      </c>
      <c r="G21">
        <v>0</v>
      </c>
      <c r="H21">
        <v>0</v>
      </c>
      <c r="I21">
        <v>0</v>
      </c>
    </row>
    <row r="22" spans="1:9" x14ac:dyDescent="0.3">
      <c r="A22" t="s">
        <v>59</v>
      </c>
      <c r="B22" t="s">
        <v>123</v>
      </c>
      <c r="C22" t="s">
        <v>31</v>
      </c>
      <c r="D22">
        <v>0.63100000000000001</v>
      </c>
      <c r="E22">
        <v>0.91400000000000003</v>
      </c>
      <c r="F22">
        <v>0.93500000000000005</v>
      </c>
      <c r="G22">
        <v>0</v>
      </c>
      <c r="H22">
        <v>0</v>
      </c>
      <c r="I22">
        <v>0</v>
      </c>
    </row>
    <row r="23" spans="1:9" x14ac:dyDescent="0.3">
      <c r="A23" t="s">
        <v>59</v>
      </c>
      <c r="B23" t="s">
        <v>149</v>
      </c>
      <c r="C23" t="s">
        <v>147</v>
      </c>
      <c r="D23">
        <v>0.61799999999999999</v>
      </c>
      <c r="E23">
        <v>0.91100000000000003</v>
      </c>
      <c r="F23">
        <v>0.93700000000000006</v>
      </c>
      <c r="G23">
        <v>0.36830000000000002</v>
      </c>
      <c r="H23">
        <v>7.6399999999999996E-2</v>
      </c>
      <c r="I23">
        <v>5.4999999999999997E-3</v>
      </c>
    </row>
    <row r="24" spans="1:9" x14ac:dyDescent="0.3">
      <c r="A24" t="s">
        <v>59</v>
      </c>
      <c r="B24" t="s">
        <v>149</v>
      </c>
      <c r="C24" t="s">
        <v>148</v>
      </c>
      <c r="D24">
        <v>0.61699999999999999</v>
      </c>
      <c r="E24">
        <v>0.91400000000000003</v>
      </c>
      <c r="F24">
        <v>0.93799999999999994</v>
      </c>
      <c r="G24">
        <v>0.36549999999999999</v>
      </c>
      <c r="H24">
        <v>7.6999999999999999E-2</v>
      </c>
      <c r="I24">
        <v>5.1999999999999998E-3</v>
      </c>
    </row>
    <row r="25" spans="1:9" x14ac:dyDescent="0.3">
      <c r="A25" t="s">
        <v>59</v>
      </c>
      <c r="B25" t="s">
        <v>149</v>
      </c>
      <c r="C25" t="s">
        <v>31</v>
      </c>
      <c r="D25">
        <v>0.63</v>
      </c>
      <c r="E25">
        <v>0.90500000000000003</v>
      </c>
      <c r="F25">
        <v>0.93200000000000005</v>
      </c>
      <c r="G25">
        <v>0.35289999999999999</v>
      </c>
      <c r="H25">
        <v>8.1699999999999995E-2</v>
      </c>
      <c r="I25">
        <v>5.4999999999999997E-3</v>
      </c>
    </row>
  </sheetData>
  <pageMargins left="0.7" right="0.7" top="0.75" bottom="0.75" header="0.3" footer="0.3"/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E9974-C42B-498F-AD39-9C6130050F6B}">
  <dimension ref="A1:G829"/>
  <sheetViews>
    <sheetView workbookViewId="0">
      <selection activeCell="D1" sqref="D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60</v>
      </c>
      <c r="D1" t="s">
        <v>61</v>
      </c>
      <c r="E1" t="s">
        <v>2</v>
      </c>
      <c r="F1" t="s">
        <v>152</v>
      </c>
      <c r="G1" t="s">
        <v>153</v>
      </c>
    </row>
    <row r="2" spans="1:7" x14ac:dyDescent="0.3">
      <c r="A2" t="s">
        <v>31</v>
      </c>
      <c r="B2">
        <v>20</v>
      </c>
      <c r="C2">
        <v>0.05</v>
      </c>
      <c r="D2">
        <v>0.95</v>
      </c>
      <c r="E2" t="s">
        <v>32</v>
      </c>
      <c r="F2">
        <v>0.93918426802622001</v>
      </c>
      <c r="G2">
        <v>7254</v>
      </c>
    </row>
    <row r="3" spans="1:7" x14ac:dyDescent="0.3">
      <c r="A3" t="s">
        <v>31</v>
      </c>
      <c r="B3">
        <v>20</v>
      </c>
      <c r="C3">
        <v>0.05</v>
      </c>
      <c r="D3">
        <v>0.95</v>
      </c>
      <c r="E3" t="s">
        <v>33</v>
      </c>
      <c r="F3">
        <v>0.41204665281993902</v>
      </c>
      <c r="G3">
        <v>3741</v>
      </c>
    </row>
    <row r="4" spans="1:7" x14ac:dyDescent="0.3">
      <c r="A4" t="s">
        <v>31</v>
      </c>
      <c r="B4">
        <v>20</v>
      </c>
      <c r="C4">
        <v>0.05</v>
      </c>
      <c r="D4">
        <v>0.95</v>
      </c>
      <c r="E4" t="s">
        <v>34</v>
      </c>
      <c r="F4">
        <v>0.97132726992446405</v>
      </c>
      <c r="G4">
        <v>3513</v>
      </c>
    </row>
    <row r="5" spans="1:7" x14ac:dyDescent="0.3">
      <c r="A5" t="s">
        <v>31</v>
      </c>
      <c r="B5">
        <v>20</v>
      </c>
      <c r="C5">
        <v>0.05</v>
      </c>
      <c r="D5">
        <v>0.95</v>
      </c>
      <c r="E5" t="s">
        <v>88</v>
      </c>
      <c r="F5">
        <v>0.91412786108918698</v>
      </c>
      <c r="G5">
        <v>3665</v>
      </c>
    </row>
    <row r="6" spans="1:7" x14ac:dyDescent="0.3">
      <c r="A6" t="s">
        <v>31</v>
      </c>
      <c r="B6">
        <v>20</v>
      </c>
      <c r="C6">
        <v>0.05</v>
      </c>
      <c r="D6">
        <v>0.95</v>
      </c>
      <c r="E6" t="s">
        <v>84</v>
      </c>
      <c r="F6">
        <v>0.91744277821625897</v>
      </c>
      <c r="G6">
        <v>3665</v>
      </c>
    </row>
    <row r="7" spans="1:7" x14ac:dyDescent="0.3">
      <c r="A7" t="s">
        <v>31</v>
      </c>
      <c r="B7">
        <v>20</v>
      </c>
      <c r="C7">
        <v>0.05</v>
      </c>
      <c r="D7">
        <v>0.95</v>
      </c>
      <c r="E7" t="s">
        <v>92</v>
      </c>
      <c r="F7">
        <v>0.982688803401498</v>
      </c>
      <c r="G7">
        <v>122</v>
      </c>
    </row>
    <row r="8" spans="1:7" x14ac:dyDescent="0.3">
      <c r="A8" t="s">
        <v>31</v>
      </c>
      <c r="B8">
        <v>20</v>
      </c>
      <c r="C8">
        <v>0.05</v>
      </c>
      <c r="D8">
        <v>0.95</v>
      </c>
      <c r="E8" t="s">
        <v>90</v>
      </c>
      <c r="F8">
        <v>0.63686605981794497</v>
      </c>
      <c r="G8">
        <v>772</v>
      </c>
    </row>
    <row r="9" spans="1:7" x14ac:dyDescent="0.3">
      <c r="A9" t="s">
        <v>31</v>
      </c>
      <c r="B9">
        <v>20</v>
      </c>
      <c r="C9">
        <v>0.05</v>
      </c>
      <c r="D9">
        <v>0.95</v>
      </c>
      <c r="E9" t="s">
        <v>86</v>
      </c>
      <c r="F9">
        <v>0.64607715648027697</v>
      </c>
      <c r="G9">
        <v>772</v>
      </c>
    </row>
    <row r="10" spans="1:7" x14ac:dyDescent="0.3">
      <c r="A10" t="s">
        <v>31</v>
      </c>
      <c r="B10">
        <v>20</v>
      </c>
      <c r="C10">
        <v>0.05</v>
      </c>
      <c r="D10">
        <v>0.95</v>
      </c>
      <c r="E10" t="s">
        <v>55</v>
      </c>
      <c r="F10">
        <v>0.98329999999999995</v>
      </c>
      <c r="G10">
        <v>0</v>
      </c>
    </row>
    <row r="11" spans="1:7" x14ac:dyDescent="0.3">
      <c r="A11" t="s">
        <v>31</v>
      </c>
      <c r="B11">
        <v>20</v>
      </c>
      <c r="C11">
        <v>0.05</v>
      </c>
      <c r="D11">
        <v>0.9</v>
      </c>
      <c r="E11" t="s">
        <v>32</v>
      </c>
      <c r="F11">
        <v>0.71121631463947599</v>
      </c>
      <c r="G11">
        <v>7254</v>
      </c>
    </row>
    <row r="12" spans="1:7" x14ac:dyDescent="0.3">
      <c r="A12" t="s">
        <v>31</v>
      </c>
      <c r="B12">
        <v>20</v>
      </c>
      <c r="C12">
        <v>0.05</v>
      </c>
      <c r="D12">
        <v>0.9</v>
      </c>
      <c r="E12" t="s">
        <v>33</v>
      </c>
      <c r="F12">
        <v>0.41204665281993902</v>
      </c>
      <c r="G12">
        <v>3741</v>
      </c>
    </row>
    <row r="13" spans="1:7" x14ac:dyDescent="0.3">
      <c r="A13" t="s">
        <v>31</v>
      </c>
      <c r="B13">
        <v>20</v>
      </c>
      <c r="C13">
        <v>0.05</v>
      </c>
      <c r="D13">
        <v>0.9</v>
      </c>
      <c r="E13" t="s">
        <v>34</v>
      </c>
      <c r="F13">
        <v>0.94465854786496095</v>
      </c>
      <c r="G13">
        <v>3513</v>
      </c>
    </row>
    <row r="14" spans="1:7" x14ac:dyDescent="0.3">
      <c r="A14" t="s">
        <v>31</v>
      </c>
      <c r="B14">
        <v>20</v>
      </c>
      <c r="C14">
        <v>0.05</v>
      </c>
      <c r="D14">
        <v>0.9</v>
      </c>
      <c r="E14" t="s">
        <v>88</v>
      </c>
      <c r="F14">
        <v>0.84230465666929799</v>
      </c>
      <c r="G14">
        <v>3665</v>
      </c>
    </row>
    <row r="15" spans="1:7" x14ac:dyDescent="0.3">
      <c r="A15" t="s">
        <v>31</v>
      </c>
      <c r="B15">
        <v>20</v>
      </c>
      <c r="C15">
        <v>0.05</v>
      </c>
      <c r="D15">
        <v>0.9</v>
      </c>
      <c r="E15" t="s">
        <v>84</v>
      </c>
      <c r="F15">
        <v>0.896606156274665</v>
      </c>
      <c r="G15">
        <v>3665</v>
      </c>
    </row>
    <row r="16" spans="1:7" x14ac:dyDescent="0.3">
      <c r="A16" t="s">
        <v>31</v>
      </c>
      <c r="B16">
        <v>20</v>
      </c>
      <c r="C16">
        <v>0.05</v>
      </c>
      <c r="D16">
        <v>0.9</v>
      </c>
      <c r="E16" t="s">
        <v>92</v>
      </c>
      <c r="F16">
        <v>0.94219477627049997</v>
      </c>
      <c r="G16">
        <v>122</v>
      </c>
    </row>
    <row r="17" spans="1:7" x14ac:dyDescent="0.3">
      <c r="A17" t="s">
        <v>31</v>
      </c>
      <c r="B17">
        <v>20</v>
      </c>
      <c r="C17">
        <v>0.05</v>
      </c>
      <c r="D17">
        <v>0.9</v>
      </c>
      <c r="E17" t="s">
        <v>90</v>
      </c>
      <c r="F17">
        <v>0.62245340268747296</v>
      </c>
      <c r="G17">
        <v>772</v>
      </c>
    </row>
    <row r="18" spans="1:7" x14ac:dyDescent="0.3">
      <c r="A18" t="s">
        <v>31</v>
      </c>
      <c r="B18">
        <v>20</v>
      </c>
      <c r="C18">
        <v>0.05</v>
      </c>
      <c r="D18">
        <v>0.9</v>
      </c>
      <c r="E18" t="s">
        <v>86</v>
      </c>
      <c r="F18">
        <v>0.62516254876462896</v>
      </c>
      <c r="G18">
        <v>772</v>
      </c>
    </row>
    <row r="19" spans="1:7" x14ac:dyDescent="0.3">
      <c r="A19" t="s">
        <v>31</v>
      </c>
      <c r="B19">
        <v>20</v>
      </c>
      <c r="C19">
        <v>0.05</v>
      </c>
      <c r="D19">
        <v>0.9</v>
      </c>
      <c r="E19" t="s">
        <v>55</v>
      </c>
      <c r="F19">
        <v>0.92069999999999996</v>
      </c>
      <c r="G19">
        <v>0</v>
      </c>
    </row>
    <row r="20" spans="1:7" x14ac:dyDescent="0.3">
      <c r="A20" t="s">
        <v>56</v>
      </c>
      <c r="B20">
        <v>20</v>
      </c>
      <c r="C20">
        <v>0.05</v>
      </c>
      <c r="D20">
        <v>0.95</v>
      </c>
      <c r="E20" t="s">
        <v>32</v>
      </c>
      <c r="F20">
        <v>0.94429607020221296</v>
      </c>
      <c r="G20">
        <v>7379</v>
      </c>
    </row>
    <row r="21" spans="1:7" x14ac:dyDescent="0.3">
      <c r="A21" t="s">
        <v>56</v>
      </c>
      <c r="B21">
        <v>20</v>
      </c>
      <c r="C21">
        <v>0.05</v>
      </c>
      <c r="D21">
        <v>0.95</v>
      </c>
      <c r="E21" t="s">
        <v>33</v>
      </c>
      <c r="F21">
        <v>0.39644401729937501</v>
      </c>
      <c r="G21">
        <v>3757</v>
      </c>
    </row>
    <row r="22" spans="1:7" x14ac:dyDescent="0.3">
      <c r="A22" t="s">
        <v>56</v>
      </c>
      <c r="B22">
        <v>20</v>
      </c>
      <c r="C22">
        <v>0.05</v>
      </c>
      <c r="D22">
        <v>0.95</v>
      </c>
      <c r="E22" t="s">
        <v>34</v>
      </c>
      <c r="F22">
        <v>0.97554092191909703</v>
      </c>
      <c r="G22">
        <v>3622</v>
      </c>
    </row>
    <row r="23" spans="1:7" x14ac:dyDescent="0.3">
      <c r="A23" t="s">
        <v>56</v>
      </c>
      <c r="B23">
        <v>20</v>
      </c>
      <c r="C23">
        <v>0.05</v>
      </c>
      <c r="D23">
        <v>0.95</v>
      </c>
      <c r="E23" t="s">
        <v>88</v>
      </c>
      <c r="F23">
        <v>0.89723801787164903</v>
      </c>
      <c r="G23">
        <v>2614</v>
      </c>
    </row>
    <row r="24" spans="1:7" x14ac:dyDescent="0.3">
      <c r="A24" t="s">
        <v>56</v>
      </c>
      <c r="B24">
        <v>20</v>
      </c>
      <c r="C24">
        <v>0.05</v>
      </c>
      <c r="D24">
        <v>0.95</v>
      </c>
      <c r="E24" t="s">
        <v>84</v>
      </c>
      <c r="F24">
        <v>0.90251827782290805</v>
      </c>
      <c r="G24">
        <v>2614</v>
      </c>
    </row>
    <row r="25" spans="1:7" x14ac:dyDescent="0.3">
      <c r="A25" t="s">
        <v>56</v>
      </c>
      <c r="B25">
        <v>20</v>
      </c>
      <c r="C25">
        <v>0.05</v>
      </c>
      <c r="D25">
        <v>0.95</v>
      </c>
      <c r="E25" t="s">
        <v>92</v>
      </c>
      <c r="F25">
        <v>0.98595787362086296</v>
      </c>
      <c r="G25">
        <v>30</v>
      </c>
    </row>
    <row r="26" spans="1:7" x14ac:dyDescent="0.3">
      <c r="A26" t="s">
        <v>56</v>
      </c>
      <c r="B26">
        <v>20</v>
      </c>
      <c r="C26">
        <v>0.05</v>
      </c>
      <c r="D26">
        <v>0.95</v>
      </c>
      <c r="E26" t="s">
        <v>90</v>
      </c>
      <c r="F26">
        <v>0.68295878262622201</v>
      </c>
      <c r="G26">
        <v>77</v>
      </c>
    </row>
    <row r="27" spans="1:7" x14ac:dyDescent="0.3">
      <c r="A27" t="s">
        <v>56</v>
      </c>
      <c r="B27">
        <v>20</v>
      </c>
      <c r="C27">
        <v>0.05</v>
      </c>
      <c r="D27">
        <v>0.95</v>
      </c>
      <c r="E27" t="s">
        <v>86</v>
      </c>
      <c r="F27">
        <v>0.68860223722664504</v>
      </c>
      <c r="G27">
        <v>77</v>
      </c>
    </row>
    <row r="28" spans="1:7" x14ac:dyDescent="0.3">
      <c r="A28" t="s">
        <v>56</v>
      </c>
      <c r="B28">
        <v>20</v>
      </c>
      <c r="C28">
        <v>0.05</v>
      </c>
      <c r="D28">
        <v>0.95</v>
      </c>
      <c r="E28" t="s">
        <v>55</v>
      </c>
      <c r="F28">
        <v>0.98540000000000005</v>
      </c>
      <c r="G28">
        <v>0</v>
      </c>
    </row>
    <row r="29" spans="1:7" x14ac:dyDescent="0.3">
      <c r="A29" t="s">
        <v>56</v>
      </c>
      <c r="B29">
        <v>20</v>
      </c>
      <c r="C29">
        <v>0.05</v>
      </c>
      <c r="D29">
        <v>0.9</v>
      </c>
      <c r="E29" t="s">
        <v>32</v>
      </c>
      <c r="F29">
        <v>0.72758489126287695</v>
      </c>
      <c r="G29">
        <v>7379</v>
      </c>
    </row>
    <row r="30" spans="1:7" x14ac:dyDescent="0.3">
      <c r="A30" t="s">
        <v>56</v>
      </c>
      <c r="B30">
        <v>20</v>
      </c>
      <c r="C30">
        <v>0.05</v>
      </c>
      <c r="D30">
        <v>0.9</v>
      </c>
      <c r="E30" t="s">
        <v>33</v>
      </c>
      <c r="F30">
        <v>0.39644401729937501</v>
      </c>
      <c r="G30">
        <v>3757</v>
      </c>
    </row>
    <row r="31" spans="1:7" x14ac:dyDescent="0.3">
      <c r="A31" t="s">
        <v>56</v>
      </c>
      <c r="B31">
        <v>20</v>
      </c>
      <c r="C31">
        <v>0.05</v>
      </c>
      <c r="D31">
        <v>0.9</v>
      </c>
      <c r="E31" t="s">
        <v>34</v>
      </c>
      <c r="F31">
        <v>0.95845092505487595</v>
      </c>
      <c r="G31">
        <v>3622</v>
      </c>
    </row>
    <row r="32" spans="1:7" x14ac:dyDescent="0.3">
      <c r="A32" t="s">
        <v>56</v>
      </c>
      <c r="B32">
        <v>20</v>
      </c>
      <c r="C32">
        <v>0.05</v>
      </c>
      <c r="D32">
        <v>0.9</v>
      </c>
      <c r="E32" t="s">
        <v>88</v>
      </c>
      <c r="F32">
        <v>0.85228811264554605</v>
      </c>
      <c r="G32">
        <v>2614</v>
      </c>
    </row>
    <row r="33" spans="1:7" x14ac:dyDescent="0.3">
      <c r="A33" t="s">
        <v>56</v>
      </c>
      <c r="B33">
        <v>20</v>
      </c>
      <c r="C33">
        <v>0.05</v>
      </c>
      <c r="D33">
        <v>0.9</v>
      </c>
      <c r="E33" t="s">
        <v>84</v>
      </c>
      <c r="F33">
        <v>0.87571080422420799</v>
      </c>
      <c r="G33">
        <v>2614</v>
      </c>
    </row>
    <row r="34" spans="1:7" x14ac:dyDescent="0.3">
      <c r="A34" t="s">
        <v>56</v>
      </c>
      <c r="B34">
        <v>20</v>
      </c>
      <c r="C34">
        <v>0.05</v>
      </c>
      <c r="D34">
        <v>0.9</v>
      </c>
      <c r="E34" t="s">
        <v>92</v>
      </c>
      <c r="F34">
        <v>0.96539618856569698</v>
      </c>
      <c r="G34">
        <v>30</v>
      </c>
    </row>
    <row r="35" spans="1:7" x14ac:dyDescent="0.3">
      <c r="A35" t="s">
        <v>56</v>
      </c>
      <c r="B35">
        <v>20</v>
      </c>
      <c r="C35">
        <v>0.05</v>
      </c>
      <c r="D35">
        <v>0.9</v>
      </c>
      <c r="E35" t="s">
        <v>90</v>
      </c>
      <c r="F35">
        <v>0.66068729214955102</v>
      </c>
      <c r="G35">
        <v>77</v>
      </c>
    </row>
    <row r="36" spans="1:7" x14ac:dyDescent="0.3">
      <c r="A36" t="s">
        <v>56</v>
      </c>
      <c r="B36">
        <v>20</v>
      </c>
      <c r="C36">
        <v>0.05</v>
      </c>
      <c r="D36">
        <v>0.9</v>
      </c>
      <c r="E36" t="s">
        <v>86</v>
      </c>
      <c r="F36">
        <v>0.66481910712486103</v>
      </c>
      <c r="G36">
        <v>77</v>
      </c>
    </row>
    <row r="37" spans="1:7" x14ac:dyDescent="0.3">
      <c r="A37" t="s">
        <v>56</v>
      </c>
      <c r="B37">
        <v>20</v>
      </c>
      <c r="C37">
        <v>0.05</v>
      </c>
      <c r="D37">
        <v>0.9</v>
      </c>
      <c r="E37" t="s">
        <v>55</v>
      </c>
      <c r="F37">
        <v>0.92859999999999998</v>
      </c>
      <c r="G37">
        <v>0</v>
      </c>
    </row>
    <row r="38" spans="1:7" x14ac:dyDescent="0.3">
      <c r="A38" t="s">
        <v>57</v>
      </c>
      <c r="B38">
        <v>20</v>
      </c>
      <c r="C38">
        <v>0.05</v>
      </c>
      <c r="D38">
        <v>0.95</v>
      </c>
      <c r="E38" t="s">
        <v>32</v>
      </c>
      <c r="F38">
        <v>0.94452830188679204</v>
      </c>
      <c r="G38">
        <v>7350</v>
      </c>
    </row>
    <row r="39" spans="1:7" x14ac:dyDescent="0.3">
      <c r="A39" t="s">
        <v>57</v>
      </c>
      <c r="B39">
        <v>20</v>
      </c>
      <c r="C39">
        <v>0.05</v>
      </c>
      <c r="D39">
        <v>0.95</v>
      </c>
      <c r="E39" t="s">
        <v>33</v>
      </c>
      <c r="F39">
        <v>0.401830149301654</v>
      </c>
      <c r="G39">
        <v>3771</v>
      </c>
    </row>
    <row r="40" spans="1:7" x14ac:dyDescent="0.3">
      <c r="A40" t="s">
        <v>57</v>
      </c>
      <c r="B40">
        <v>20</v>
      </c>
      <c r="C40">
        <v>0.05</v>
      </c>
      <c r="D40">
        <v>0.95</v>
      </c>
      <c r="E40" t="s">
        <v>34</v>
      </c>
      <c r="F40">
        <v>0.97523750194673697</v>
      </c>
      <c r="G40">
        <v>3579</v>
      </c>
    </row>
    <row r="41" spans="1:7" x14ac:dyDescent="0.3">
      <c r="A41" t="s">
        <v>57</v>
      </c>
      <c r="B41">
        <v>20</v>
      </c>
      <c r="C41">
        <v>0.05</v>
      </c>
      <c r="D41">
        <v>0.95</v>
      </c>
      <c r="E41" t="s">
        <v>88</v>
      </c>
      <c r="F41">
        <v>0.86646597140092496</v>
      </c>
      <c r="G41">
        <v>699</v>
      </c>
    </row>
    <row r="42" spans="1:7" x14ac:dyDescent="0.3">
      <c r="A42" t="s">
        <v>57</v>
      </c>
      <c r="B42">
        <v>20</v>
      </c>
      <c r="C42">
        <v>0.05</v>
      </c>
      <c r="D42">
        <v>0.95</v>
      </c>
      <c r="E42" t="s">
        <v>84</v>
      </c>
      <c r="F42">
        <v>0.87452962047091698</v>
      </c>
      <c r="G42">
        <v>699</v>
      </c>
    </row>
    <row r="43" spans="1:7" x14ac:dyDescent="0.3">
      <c r="A43" t="s">
        <v>57</v>
      </c>
      <c r="B43">
        <v>20</v>
      </c>
      <c r="C43">
        <v>0.05</v>
      </c>
      <c r="D43">
        <v>0.95</v>
      </c>
      <c r="E43" t="s">
        <v>92</v>
      </c>
      <c r="F43">
        <v>0.99529999999999996</v>
      </c>
      <c r="G43">
        <v>0</v>
      </c>
    </row>
    <row r="44" spans="1:7" x14ac:dyDescent="0.3">
      <c r="A44" t="s">
        <v>57</v>
      </c>
      <c r="B44">
        <v>20</v>
      </c>
      <c r="C44">
        <v>0.05</v>
      </c>
      <c r="D44">
        <v>0.95</v>
      </c>
      <c r="E44" t="s">
        <v>90</v>
      </c>
      <c r="F44">
        <v>0.82640000000000002</v>
      </c>
      <c r="G44">
        <v>0</v>
      </c>
    </row>
    <row r="45" spans="1:7" x14ac:dyDescent="0.3">
      <c r="A45" t="s">
        <v>57</v>
      </c>
      <c r="B45">
        <v>20</v>
      </c>
      <c r="C45">
        <v>0.05</v>
      </c>
      <c r="D45">
        <v>0.95</v>
      </c>
      <c r="E45" t="s">
        <v>86</v>
      </c>
      <c r="F45">
        <v>0.83120000000000005</v>
      </c>
      <c r="G45">
        <v>0</v>
      </c>
    </row>
    <row r="46" spans="1:7" x14ac:dyDescent="0.3">
      <c r="A46" t="s">
        <v>57</v>
      </c>
      <c r="B46">
        <v>20</v>
      </c>
      <c r="C46">
        <v>0.05</v>
      </c>
      <c r="D46">
        <v>0.95</v>
      </c>
      <c r="E46" t="s">
        <v>55</v>
      </c>
      <c r="F46">
        <v>0.98529999999999995</v>
      </c>
      <c r="G46">
        <v>0</v>
      </c>
    </row>
    <row r="47" spans="1:7" x14ac:dyDescent="0.3">
      <c r="A47" t="s">
        <v>57</v>
      </c>
      <c r="B47">
        <v>20</v>
      </c>
      <c r="C47">
        <v>0.05</v>
      </c>
      <c r="D47">
        <v>0.9</v>
      </c>
      <c r="E47" t="s">
        <v>32</v>
      </c>
      <c r="F47">
        <v>0.71433962264150896</v>
      </c>
      <c r="G47">
        <v>7350</v>
      </c>
    </row>
    <row r="48" spans="1:7" x14ac:dyDescent="0.3">
      <c r="A48" t="s">
        <v>57</v>
      </c>
      <c r="B48">
        <v>20</v>
      </c>
      <c r="C48">
        <v>0.05</v>
      </c>
      <c r="D48">
        <v>0.9</v>
      </c>
      <c r="E48" t="s">
        <v>33</v>
      </c>
      <c r="F48">
        <v>0.401830149301654</v>
      </c>
      <c r="G48">
        <v>3771</v>
      </c>
    </row>
    <row r="49" spans="1:7" x14ac:dyDescent="0.3">
      <c r="A49" t="s">
        <v>57</v>
      </c>
      <c r="B49">
        <v>20</v>
      </c>
      <c r="C49">
        <v>0.05</v>
      </c>
      <c r="D49">
        <v>0.9</v>
      </c>
      <c r="E49" t="s">
        <v>34</v>
      </c>
      <c r="F49">
        <v>0.95966360380003102</v>
      </c>
      <c r="G49">
        <v>3579</v>
      </c>
    </row>
    <row r="50" spans="1:7" x14ac:dyDescent="0.3">
      <c r="A50" t="s">
        <v>57</v>
      </c>
      <c r="B50">
        <v>20</v>
      </c>
      <c r="C50">
        <v>0.05</v>
      </c>
      <c r="D50">
        <v>0.9</v>
      </c>
      <c r="E50" t="s">
        <v>88</v>
      </c>
      <c r="F50">
        <v>0.81840662294376898</v>
      </c>
      <c r="G50">
        <v>699</v>
      </c>
    </row>
    <row r="51" spans="1:7" x14ac:dyDescent="0.3">
      <c r="A51" t="s">
        <v>57</v>
      </c>
      <c r="B51">
        <v>20</v>
      </c>
      <c r="C51">
        <v>0.05</v>
      </c>
      <c r="D51">
        <v>0.9</v>
      </c>
      <c r="E51" t="s">
        <v>84</v>
      </c>
      <c r="F51">
        <v>0.82690033329749502</v>
      </c>
      <c r="G51">
        <v>699</v>
      </c>
    </row>
    <row r="52" spans="1:7" x14ac:dyDescent="0.3">
      <c r="A52" t="s">
        <v>57</v>
      </c>
      <c r="B52">
        <v>20</v>
      </c>
      <c r="C52">
        <v>0.05</v>
      </c>
      <c r="D52">
        <v>0.9</v>
      </c>
      <c r="E52" t="s">
        <v>92</v>
      </c>
      <c r="F52">
        <v>0.98570000000000002</v>
      </c>
      <c r="G52">
        <v>0</v>
      </c>
    </row>
    <row r="53" spans="1:7" x14ac:dyDescent="0.3">
      <c r="A53" t="s">
        <v>57</v>
      </c>
      <c r="B53">
        <v>20</v>
      </c>
      <c r="C53">
        <v>0.05</v>
      </c>
      <c r="D53">
        <v>0.9</v>
      </c>
      <c r="E53" t="s">
        <v>90</v>
      </c>
      <c r="F53">
        <v>0.78659999999999997</v>
      </c>
      <c r="G53">
        <v>0</v>
      </c>
    </row>
    <row r="54" spans="1:7" x14ac:dyDescent="0.3">
      <c r="A54" t="s">
        <v>57</v>
      </c>
      <c r="B54">
        <v>20</v>
      </c>
      <c r="C54">
        <v>0.05</v>
      </c>
      <c r="D54">
        <v>0.9</v>
      </c>
      <c r="E54" t="s">
        <v>86</v>
      </c>
      <c r="F54">
        <v>0.79579999999999995</v>
      </c>
      <c r="G54">
        <v>0</v>
      </c>
    </row>
    <row r="55" spans="1:7" x14ac:dyDescent="0.3">
      <c r="A55" t="s">
        <v>57</v>
      </c>
      <c r="B55">
        <v>20</v>
      </c>
      <c r="C55">
        <v>0.05</v>
      </c>
      <c r="D55">
        <v>0.9</v>
      </c>
      <c r="E55" t="s">
        <v>55</v>
      </c>
      <c r="F55">
        <v>0.92430000000000001</v>
      </c>
      <c r="G55">
        <v>0</v>
      </c>
    </row>
    <row r="56" spans="1:7" x14ac:dyDescent="0.3">
      <c r="A56" t="s">
        <v>31</v>
      </c>
      <c r="B56">
        <v>50</v>
      </c>
      <c r="C56">
        <v>0.05</v>
      </c>
      <c r="D56">
        <v>0.95</v>
      </c>
      <c r="E56" t="s">
        <v>32</v>
      </c>
      <c r="F56">
        <v>0.98655972252330404</v>
      </c>
      <c r="G56">
        <v>774</v>
      </c>
    </row>
    <row r="57" spans="1:7" x14ac:dyDescent="0.3">
      <c r="A57" t="s">
        <v>31</v>
      </c>
      <c r="B57">
        <v>50</v>
      </c>
      <c r="C57">
        <v>0.05</v>
      </c>
      <c r="D57">
        <v>0.95</v>
      </c>
      <c r="E57" t="s">
        <v>33</v>
      </c>
      <c r="F57">
        <v>0.91020000000000001</v>
      </c>
      <c r="G57">
        <v>0</v>
      </c>
    </row>
    <row r="58" spans="1:7" x14ac:dyDescent="0.3">
      <c r="A58" t="s">
        <v>31</v>
      </c>
      <c r="B58">
        <v>50</v>
      </c>
      <c r="C58">
        <v>0.05</v>
      </c>
      <c r="D58">
        <v>0.95</v>
      </c>
      <c r="E58" t="s">
        <v>34</v>
      </c>
      <c r="F58">
        <v>0.97908085844352899</v>
      </c>
      <c r="G58">
        <v>774</v>
      </c>
    </row>
    <row r="59" spans="1:7" x14ac:dyDescent="0.3">
      <c r="A59" t="s">
        <v>31</v>
      </c>
      <c r="B59">
        <v>50</v>
      </c>
      <c r="C59">
        <v>0.05</v>
      </c>
      <c r="D59">
        <v>0.95</v>
      </c>
      <c r="E59" t="s">
        <v>88</v>
      </c>
      <c r="F59">
        <v>0.96613247863247897</v>
      </c>
      <c r="G59">
        <v>640</v>
      </c>
    </row>
    <row r="60" spans="1:7" x14ac:dyDescent="0.3">
      <c r="A60" t="s">
        <v>31</v>
      </c>
      <c r="B60">
        <v>50</v>
      </c>
      <c r="C60">
        <v>0.05</v>
      </c>
      <c r="D60">
        <v>0.95</v>
      </c>
      <c r="E60" t="s">
        <v>84</v>
      </c>
      <c r="F60">
        <v>0.96784188034188001</v>
      </c>
      <c r="G60">
        <v>640</v>
      </c>
    </row>
    <row r="61" spans="1:7" x14ac:dyDescent="0.3">
      <c r="A61" t="s">
        <v>31</v>
      </c>
      <c r="B61">
        <v>50</v>
      </c>
      <c r="C61">
        <v>0.05</v>
      </c>
      <c r="D61">
        <v>0.95</v>
      </c>
      <c r="E61" t="s">
        <v>92</v>
      </c>
      <c r="F61">
        <v>0.91520000000000001</v>
      </c>
      <c r="G61">
        <v>0</v>
      </c>
    </row>
    <row r="62" spans="1:7" x14ac:dyDescent="0.3">
      <c r="A62" t="s">
        <v>31</v>
      </c>
      <c r="B62">
        <v>50</v>
      </c>
      <c r="C62">
        <v>0.05</v>
      </c>
      <c r="D62">
        <v>0.95</v>
      </c>
      <c r="E62" t="s">
        <v>90</v>
      </c>
      <c r="F62">
        <v>0.90739999999999998</v>
      </c>
      <c r="G62">
        <v>0</v>
      </c>
    </row>
    <row r="63" spans="1:7" x14ac:dyDescent="0.3">
      <c r="A63" t="s">
        <v>31</v>
      </c>
      <c r="B63">
        <v>50</v>
      </c>
      <c r="C63">
        <v>0.05</v>
      </c>
      <c r="D63">
        <v>0.95</v>
      </c>
      <c r="E63" t="s">
        <v>86</v>
      </c>
      <c r="F63">
        <v>0.90859999999999996</v>
      </c>
      <c r="G63">
        <v>0</v>
      </c>
    </row>
    <row r="64" spans="1:7" x14ac:dyDescent="0.3">
      <c r="A64" t="s">
        <v>31</v>
      </c>
      <c r="B64">
        <v>50</v>
      </c>
      <c r="C64">
        <v>0.05</v>
      </c>
      <c r="D64">
        <v>0.95</v>
      </c>
      <c r="E64" t="s">
        <v>55</v>
      </c>
      <c r="F64">
        <v>0.96140000000000003</v>
      </c>
      <c r="G64">
        <v>0</v>
      </c>
    </row>
    <row r="65" spans="1:7" x14ac:dyDescent="0.3">
      <c r="A65" t="s">
        <v>31</v>
      </c>
      <c r="B65">
        <v>50</v>
      </c>
      <c r="C65">
        <v>0.05</v>
      </c>
      <c r="D65">
        <v>0.9</v>
      </c>
      <c r="E65" t="s">
        <v>32</v>
      </c>
      <c r="F65">
        <v>0.95816171688705798</v>
      </c>
      <c r="G65">
        <v>774</v>
      </c>
    </row>
    <row r="66" spans="1:7" x14ac:dyDescent="0.3">
      <c r="A66" t="s">
        <v>31</v>
      </c>
      <c r="B66">
        <v>50</v>
      </c>
      <c r="C66">
        <v>0.05</v>
      </c>
      <c r="D66">
        <v>0.9</v>
      </c>
      <c r="E66" t="s">
        <v>33</v>
      </c>
      <c r="F66">
        <v>0.88400000000000001</v>
      </c>
      <c r="G66">
        <v>0</v>
      </c>
    </row>
    <row r="67" spans="1:7" x14ac:dyDescent="0.3">
      <c r="A67" t="s">
        <v>31</v>
      </c>
      <c r="B67">
        <v>50</v>
      </c>
      <c r="C67">
        <v>0.05</v>
      </c>
      <c r="D67">
        <v>0.9</v>
      </c>
      <c r="E67" t="s">
        <v>34</v>
      </c>
      <c r="F67">
        <v>0.95425970084543699</v>
      </c>
      <c r="G67">
        <v>774</v>
      </c>
    </row>
    <row r="68" spans="1:7" x14ac:dyDescent="0.3">
      <c r="A68" t="s">
        <v>31</v>
      </c>
      <c r="B68">
        <v>50</v>
      </c>
      <c r="C68">
        <v>0.05</v>
      </c>
      <c r="D68">
        <v>0.9</v>
      </c>
      <c r="E68" t="s">
        <v>88</v>
      </c>
      <c r="F68">
        <v>0.936324786324786</v>
      </c>
      <c r="G68">
        <v>640</v>
      </c>
    </row>
    <row r="69" spans="1:7" x14ac:dyDescent="0.3">
      <c r="A69" t="s">
        <v>31</v>
      </c>
      <c r="B69">
        <v>50</v>
      </c>
      <c r="C69">
        <v>0.05</v>
      </c>
      <c r="D69">
        <v>0.9</v>
      </c>
      <c r="E69" t="s">
        <v>84</v>
      </c>
      <c r="F69">
        <v>0.93846153846153801</v>
      </c>
      <c r="G69">
        <v>640</v>
      </c>
    </row>
    <row r="70" spans="1:7" x14ac:dyDescent="0.3">
      <c r="A70" t="s">
        <v>31</v>
      </c>
      <c r="B70">
        <v>50</v>
      </c>
      <c r="C70">
        <v>0.05</v>
      </c>
      <c r="D70">
        <v>0.9</v>
      </c>
      <c r="E70" t="s">
        <v>92</v>
      </c>
      <c r="F70">
        <v>0.88470000000000004</v>
      </c>
      <c r="G70">
        <v>0</v>
      </c>
    </row>
    <row r="71" spans="1:7" x14ac:dyDescent="0.3">
      <c r="A71" t="s">
        <v>31</v>
      </c>
      <c r="B71">
        <v>50</v>
      </c>
      <c r="C71">
        <v>0.05</v>
      </c>
      <c r="D71">
        <v>0.9</v>
      </c>
      <c r="E71" t="s">
        <v>90</v>
      </c>
      <c r="F71">
        <v>0.87919999999999998</v>
      </c>
      <c r="G71">
        <v>0</v>
      </c>
    </row>
    <row r="72" spans="1:7" x14ac:dyDescent="0.3">
      <c r="A72" t="s">
        <v>31</v>
      </c>
      <c r="B72">
        <v>50</v>
      </c>
      <c r="C72">
        <v>0.05</v>
      </c>
      <c r="D72">
        <v>0.9</v>
      </c>
      <c r="E72" t="s">
        <v>86</v>
      </c>
      <c r="F72">
        <v>0.88190000000000002</v>
      </c>
      <c r="G72">
        <v>0</v>
      </c>
    </row>
    <row r="73" spans="1:7" x14ac:dyDescent="0.3">
      <c r="A73" t="s">
        <v>31</v>
      </c>
      <c r="B73">
        <v>50</v>
      </c>
      <c r="C73">
        <v>0.05</v>
      </c>
      <c r="D73">
        <v>0.9</v>
      </c>
      <c r="E73" t="s">
        <v>55</v>
      </c>
      <c r="F73">
        <v>0.96140000000000003</v>
      </c>
      <c r="G73">
        <v>0</v>
      </c>
    </row>
    <row r="74" spans="1:7" x14ac:dyDescent="0.3">
      <c r="A74" t="s">
        <v>56</v>
      </c>
      <c r="B74">
        <v>50</v>
      </c>
      <c r="C74">
        <v>0.05</v>
      </c>
      <c r="D74">
        <v>0.95</v>
      </c>
      <c r="E74" t="s">
        <v>32</v>
      </c>
      <c r="F74">
        <v>0.98746081504702199</v>
      </c>
      <c r="G74">
        <v>749</v>
      </c>
    </row>
    <row r="75" spans="1:7" x14ac:dyDescent="0.3">
      <c r="A75" t="s">
        <v>56</v>
      </c>
      <c r="B75">
        <v>50</v>
      </c>
      <c r="C75">
        <v>0.05</v>
      </c>
      <c r="D75">
        <v>0.95</v>
      </c>
      <c r="E75" t="s">
        <v>33</v>
      </c>
      <c r="F75">
        <v>0.91349999999999998</v>
      </c>
      <c r="G75">
        <v>0</v>
      </c>
    </row>
    <row r="76" spans="1:7" x14ac:dyDescent="0.3">
      <c r="A76" t="s">
        <v>56</v>
      </c>
      <c r="B76">
        <v>50</v>
      </c>
      <c r="C76">
        <v>0.05</v>
      </c>
      <c r="D76">
        <v>0.95</v>
      </c>
      <c r="E76" t="s">
        <v>34</v>
      </c>
      <c r="F76">
        <v>0.97978596908442295</v>
      </c>
      <c r="G76">
        <v>749</v>
      </c>
    </row>
    <row r="77" spans="1:7" x14ac:dyDescent="0.3">
      <c r="A77" t="s">
        <v>56</v>
      </c>
      <c r="B77">
        <v>50</v>
      </c>
      <c r="C77">
        <v>0.05</v>
      </c>
      <c r="D77">
        <v>0.95</v>
      </c>
      <c r="E77" t="s">
        <v>88</v>
      </c>
      <c r="F77">
        <v>0.95182374024878802</v>
      </c>
      <c r="G77">
        <v>514</v>
      </c>
    </row>
    <row r="78" spans="1:7" x14ac:dyDescent="0.3">
      <c r="A78" t="s">
        <v>56</v>
      </c>
      <c r="B78">
        <v>50</v>
      </c>
      <c r="C78">
        <v>0.05</v>
      </c>
      <c r="D78">
        <v>0.95</v>
      </c>
      <c r="E78" t="s">
        <v>84</v>
      </c>
      <c r="F78">
        <v>0.95551338815095899</v>
      </c>
      <c r="G78">
        <v>514</v>
      </c>
    </row>
    <row r="79" spans="1:7" x14ac:dyDescent="0.3">
      <c r="A79" t="s">
        <v>56</v>
      </c>
      <c r="B79">
        <v>50</v>
      </c>
      <c r="C79">
        <v>0.05</v>
      </c>
      <c r="D79">
        <v>0.95</v>
      </c>
      <c r="E79" t="s">
        <v>92</v>
      </c>
      <c r="F79">
        <v>0.9244</v>
      </c>
      <c r="G79">
        <v>0</v>
      </c>
    </row>
    <row r="80" spans="1:7" x14ac:dyDescent="0.3">
      <c r="A80" t="s">
        <v>56</v>
      </c>
      <c r="B80">
        <v>50</v>
      </c>
      <c r="C80">
        <v>0.05</v>
      </c>
      <c r="D80">
        <v>0.95</v>
      </c>
      <c r="E80" t="s">
        <v>90</v>
      </c>
      <c r="F80">
        <v>0.9083</v>
      </c>
      <c r="G80">
        <v>0</v>
      </c>
    </row>
    <row r="81" spans="1:7" x14ac:dyDescent="0.3">
      <c r="A81" t="s">
        <v>56</v>
      </c>
      <c r="B81">
        <v>50</v>
      </c>
      <c r="C81">
        <v>0.05</v>
      </c>
      <c r="D81">
        <v>0.95</v>
      </c>
      <c r="E81" t="s">
        <v>86</v>
      </c>
      <c r="F81">
        <v>0.91080000000000005</v>
      </c>
      <c r="G81">
        <v>0</v>
      </c>
    </row>
    <row r="82" spans="1:7" x14ac:dyDescent="0.3">
      <c r="A82" t="s">
        <v>56</v>
      </c>
      <c r="B82">
        <v>50</v>
      </c>
      <c r="C82">
        <v>0.05</v>
      </c>
      <c r="D82">
        <v>0.95</v>
      </c>
      <c r="E82" t="s">
        <v>55</v>
      </c>
      <c r="F82">
        <v>0.96240000000000003</v>
      </c>
      <c r="G82">
        <v>0</v>
      </c>
    </row>
    <row r="83" spans="1:7" x14ac:dyDescent="0.3">
      <c r="A83" t="s">
        <v>56</v>
      </c>
      <c r="B83">
        <v>50</v>
      </c>
      <c r="C83">
        <v>0.05</v>
      </c>
      <c r="D83">
        <v>0.9</v>
      </c>
      <c r="E83" t="s">
        <v>32</v>
      </c>
      <c r="F83">
        <v>0.95935574532483003</v>
      </c>
      <c r="G83">
        <v>749</v>
      </c>
    </row>
    <row r="84" spans="1:7" x14ac:dyDescent="0.3">
      <c r="A84" t="s">
        <v>56</v>
      </c>
      <c r="B84">
        <v>50</v>
      </c>
      <c r="C84">
        <v>0.05</v>
      </c>
      <c r="D84">
        <v>0.9</v>
      </c>
      <c r="E84" t="s">
        <v>33</v>
      </c>
      <c r="F84">
        <v>0.88749999999999996</v>
      </c>
      <c r="G84">
        <v>0</v>
      </c>
    </row>
    <row r="85" spans="1:7" x14ac:dyDescent="0.3">
      <c r="A85" t="s">
        <v>56</v>
      </c>
      <c r="B85">
        <v>50</v>
      </c>
      <c r="C85">
        <v>0.05</v>
      </c>
      <c r="D85">
        <v>0.9</v>
      </c>
      <c r="E85" t="s">
        <v>34</v>
      </c>
      <c r="F85">
        <v>0.95632904550859399</v>
      </c>
      <c r="G85">
        <v>749</v>
      </c>
    </row>
    <row r="86" spans="1:7" x14ac:dyDescent="0.3">
      <c r="A86" t="s">
        <v>56</v>
      </c>
      <c r="B86">
        <v>50</v>
      </c>
      <c r="C86">
        <v>0.05</v>
      </c>
      <c r="D86">
        <v>0.9</v>
      </c>
      <c r="E86" t="s">
        <v>88</v>
      </c>
      <c r="F86">
        <v>0.92262281256588696</v>
      </c>
      <c r="G86">
        <v>514</v>
      </c>
    </row>
    <row r="87" spans="1:7" x14ac:dyDescent="0.3">
      <c r="A87" t="s">
        <v>56</v>
      </c>
      <c r="B87">
        <v>50</v>
      </c>
      <c r="C87">
        <v>0.05</v>
      </c>
      <c r="D87">
        <v>0.9</v>
      </c>
      <c r="E87" t="s">
        <v>84</v>
      </c>
      <c r="F87">
        <v>0.92578536791060495</v>
      </c>
      <c r="G87">
        <v>514</v>
      </c>
    </row>
    <row r="88" spans="1:7" x14ac:dyDescent="0.3">
      <c r="A88" t="s">
        <v>56</v>
      </c>
      <c r="B88">
        <v>50</v>
      </c>
      <c r="C88">
        <v>0.05</v>
      </c>
      <c r="D88">
        <v>0.9</v>
      </c>
      <c r="E88" t="s">
        <v>92</v>
      </c>
      <c r="F88">
        <v>0.89190000000000003</v>
      </c>
      <c r="G88">
        <v>0</v>
      </c>
    </row>
    <row r="89" spans="1:7" x14ac:dyDescent="0.3">
      <c r="A89" t="s">
        <v>56</v>
      </c>
      <c r="B89">
        <v>50</v>
      </c>
      <c r="C89">
        <v>0.05</v>
      </c>
      <c r="D89">
        <v>0.9</v>
      </c>
      <c r="E89" t="s">
        <v>90</v>
      </c>
      <c r="F89">
        <v>0.88100000000000001</v>
      </c>
      <c r="G89">
        <v>0</v>
      </c>
    </row>
    <row r="90" spans="1:7" x14ac:dyDescent="0.3">
      <c r="A90" t="s">
        <v>56</v>
      </c>
      <c r="B90">
        <v>50</v>
      </c>
      <c r="C90">
        <v>0.05</v>
      </c>
      <c r="D90">
        <v>0.9</v>
      </c>
      <c r="E90" t="s">
        <v>86</v>
      </c>
      <c r="F90">
        <v>0.88329999999999997</v>
      </c>
      <c r="G90">
        <v>0</v>
      </c>
    </row>
    <row r="91" spans="1:7" x14ac:dyDescent="0.3">
      <c r="A91" t="s">
        <v>56</v>
      </c>
      <c r="B91">
        <v>50</v>
      </c>
      <c r="C91">
        <v>0.05</v>
      </c>
      <c r="D91">
        <v>0.9</v>
      </c>
      <c r="E91" t="s">
        <v>55</v>
      </c>
      <c r="F91">
        <v>0.96240000000000003</v>
      </c>
      <c r="G91">
        <v>0</v>
      </c>
    </row>
    <row r="92" spans="1:7" x14ac:dyDescent="0.3">
      <c r="A92" t="s">
        <v>57</v>
      </c>
      <c r="B92">
        <v>50</v>
      </c>
      <c r="C92">
        <v>0.05</v>
      </c>
      <c r="D92">
        <v>0.95</v>
      </c>
      <c r="E92" t="s">
        <v>32</v>
      </c>
      <c r="F92">
        <v>0.98829268292682904</v>
      </c>
      <c r="G92">
        <v>775</v>
      </c>
    </row>
    <row r="93" spans="1:7" x14ac:dyDescent="0.3">
      <c r="A93" t="s">
        <v>57</v>
      </c>
      <c r="B93">
        <v>50</v>
      </c>
      <c r="C93">
        <v>0.05</v>
      </c>
      <c r="D93">
        <v>0.95</v>
      </c>
      <c r="E93" t="s">
        <v>33</v>
      </c>
      <c r="F93">
        <v>0.91169999999999995</v>
      </c>
      <c r="G93">
        <v>0</v>
      </c>
    </row>
    <row r="94" spans="1:7" x14ac:dyDescent="0.3">
      <c r="A94" t="s">
        <v>57</v>
      </c>
      <c r="B94">
        <v>50</v>
      </c>
      <c r="C94">
        <v>0.05</v>
      </c>
      <c r="D94">
        <v>0.95</v>
      </c>
      <c r="E94" t="s">
        <v>34</v>
      </c>
      <c r="F94">
        <v>0.982764227642276</v>
      </c>
      <c r="G94">
        <v>775</v>
      </c>
    </row>
    <row r="95" spans="1:7" x14ac:dyDescent="0.3">
      <c r="A95" t="s">
        <v>57</v>
      </c>
      <c r="B95">
        <v>50</v>
      </c>
      <c r="C95">
        <v>0.05</v>
      </c>
      <c r="D95">
        <v>0.95</v>
      </c>
      <c r="E95" t="s">
        <v>88</v>
      </c>
      <c r="F95">
        <v>0.91760642080666499</v>
      </c>
      <c r="G95">
        <v>157</v>
      </c>
    </row>
    <row r="96" spans="1:7" x14ac:dyDescent="0.3">
      <c r="A96" t="s">
        <v>57</v>
      </c>
      <c r="B96">
        <v>50</v>
      </c>
      <c r="C96">
        <v>0.05</v>
      </c>
      <c r="D96">
        <v>0.95</v>
      </c>
      <c r="E96" t="s">
        <v>84</v>
      </c>
      <c r="F96">
        <v>0.92268617291476196</v>
      </c>
      <c r="G96">
        <v>157</v>
      </c>
    </row>
    <row r="97" spans="1:7" x14ac:dyDescent="0.3">
      <c r="A97" t="s">
        <v>57</v>
      </c>
      <c r="B97">
        <v>50</v>
      </c>
      <c r="C97">
        <v>0.05</v>
      </c>
      <c r="D97">
        <v>0.95</v>
      </c>
      <c r="E97" t="s">
        <v>92</v>
      </c>
      <c r="F97">
        <v>0.96330000000000005</v>
      </c>
      <c r="G97">
        <v>0</v>
      </c>
    </row>
    <row r="98" spans="1:7" x14ac:dyDescent="0.3">
      <c r="A98" t="s">
        <v>57</v>
      </c>
      <c r="B98">
        <v>50</v>
      </c>
      <c r="C98">
        <v>0.05</v>
      </c>
      <c r="D98">
        <v>0.95</v>
      </c>
      <c r="E98" t="s">
        <v>90</v>
      </c>
      <c r="F98">
        <v>0.91090000000000004</v>
      </c>
      <c r="G98">
        <v>0</v>
      </c>
    </row>
    <row r="99" spans="1:7" x14ac:dyDescent="0.3">
      <c r="A99" t="s">
        <v>57</v>
      </c>
      <c r="B99">
        <v>50</v>
      </c>
      <c r="C99">
        <v>0.05</v>
      </c>
      <c r="D99">
        <v>0.95</v>
      </c>
      <c r="E99" t="s">
        <v>86</v>
      </c>
      <c r="F99">
        <v>0.91710000000000003</v>
      </c>
      <c r="G99">
        <v>0</v>
      </c>
    </row>
    <row r="100" spans="1:7" x14ac:dyDescent="0.3">
      <c r="A100" t="s">
        <v>57</v>
      </c>
      <c r="B100">
        <v>50</v>
      </c>
      <c r="C100">
        <v>0.05</v>
      </c>
      <c r="D100">
        <v>0.95</v>
      </c>
      <c r="E100" t="s">
        <v>55</v>
      </c>
      <c r="F100">
        <v>0.96340000000000003</v>
      </c>
      <c r="G100">
        <v>0</v>
      </c>
    </row>
    <row r="101" spans="1:7" x14ac:dyDescent="0.3">
      <c r="A101" t="s">
        <v>57</v>
      </c>
      <c r="B101">
        <v>50</v>
      </c>
      <c r="C101">
        <v>0.05</v>
      </c>
      <c r="D101">
        <v>0.9</v>
      </c>
      <c r="E101" t="s">
        <v>32</v>
      </c>
      <c r="F101">
        <v>0.96032520325203297</v>
      </c>
      <c r="G101">
        <v>775</v>
      </c>
    </row>
    <row r="102" spans="1:7" x14ac:dyDescent="0.3">
      <c r="A102" t="s">
        <v>57</v>
      </c>
      <c r="B102">
        <v>50</v>
      </c>
      <c r="C102">
        <v>0.05</v>
      </c>
      <c r="D102">
        <v>0.9</v>
      </c>
      <c r="E102" t="s">
        <v>33</v>
      </c>
      <c r="F102">
        <v>0.88590000000000002</v>
      </c>
      <c r="G102">
        <v>0</v>
      </c>
    </row>
    <row r="103" spans="1:7" x14ac:dyDescent="0.3">
      <c r="A103" t="s">
        <v>57</v>
      </c>
      <c r="B103">
        <v>50</v>
      </c>
      <c r="C103">
        <v>0.05</v>
      </c>
      <c r="D103">
        <v>0.9</v>
      </c>
      <c r="E103" t="s">
        <v>34</v>
      </c>
      <c r="F103">
        <v>0.95750677506775095</v>
      </c>
      <c r="G103">
        <v>775</v>
      </c>
    </row>
    <row r="104" spans="1:7" x14ac:dyDescent="0.3">
      <c r="A104" t="s">
        <v>57</v>
      </c>
      <c r="B104">
        <v>50</v>
      </c>
      <c r="C104">
        <v>0.05</v>
      </c>
      <c r="D104">
        <v>0.9</v>
      </c>
      <c r="E104" t="s">
        <v>88</v>
      </c>
      <c r="F104">
        <v>0.87564766839378205</v>
      </c>
      <c r="G104">
        <v>157</v>
      </c>
    </row>
    <row r="105" spans="1:7" x14ac:dyDescent="0.3">
      <c r="A105" t="s">
        <v>57</v>
      </c>
      <c r="B105">
        <v>50</v>
      </c>
      <c r="C105">
        <v>0.05</v>
      </c>
      <c r="D105">
        <v>0.9</v>
      </c>
      <c r="E105" t="s">
        <v>84</v>
      </c>
      <c r="F105">
        <v>0.88509600731484295</v>
      </c>
      <c r="G105">
        <v>157</v>
      </c>
    </row>
    <row r="106" spans="1:7" x14ac:dyDescent="0.3">
      <c r="A106" t="s">
        <v>57</v>
      </c>
      <c r="B106">
        <v>50</v>
      </c>
      <c r="C106">
        <v>0.05</v>
      </c>
      <c r="D106">
        <v>0.9</v>
      </c>
      <c r="E106" t="s">
        <v>92</v>
      </c>
      <c r="F106">
        <v>0.92510000000000003</v>
      </c>
      <c r="G106">
        <v>0</v>
      </c>
    </row>
    <row r="107" spans="1:7" x14ac:dyDescent="0.3">
      <c r="A107" t="s">
        <v>57</v>
      </c>
      <c r="B107">
        <v>50</v>
      </c>
      <c r="C107">
        <v>0.05</v>
      </c>
      <c r="D107">
        <v>0.9</v>
      </c>
      <c r="E107" t="s">
        <v>90</v>
      </c>
      <c r="F107">
        <v>0.87390000000000001</v>
      </c>
      <c r="G107">
        <v>0</v>
      </c>
    </row>
    <row r="108" spans="1:7" x14ac:dyDescent="0.3">
      <c r="A108" t="s">
        <v>57</v>
      </c>
      <c r="B108">
        <v>50</v>
      </c>
      <c r="C108">
        <v>0.05</v>
      </c>
      <c r="D108">
        <v>0.9</v>
      </c>
      <c r="E108" t="s">
        <v>86</v>
      </c>
      <c r="F108">
        <v>0.88329999999999997</v>
      </c>
      <c r="G108">
        <v>0</v>
      </c>
    </row>
    <row r="109" spans="1:7" x14ac:dyDescent="0.3">
      <c r="A109" t="s">
        <v>57</v>
      </c>
      <c r="B109">
        <v>50</v>
      </c>
      <c r="C109">
        <v>0.05</v>
      </c>
      <c r="D109">
        <v>0.9</v>
      </c>
      <c r="E109" t="s">
        <v>55</v>
      </c>
      <c r="F109">
        <v>0.96340000000000003</v>
      </c>
      <c r="G109">
        <v>0</v>
      </c>
    </row>
    <row r="110" spans="1:7" x14ac:dyDescent="0.3">
      <c r="A110" t="s">
        <v>31</v>
      </c>
      <c r="B110">
        <v>100</v>
      </c>
      <c r="C110">
        <v>0.05</v>
      </c>
      <c r="D110">
        <v>0.95</v>
      </c>
      <c r="E110" t="s">
        <v>32</v>
      </c>
      <c r="F110">
        <v>0.92625260320960401</v>
      </c>
      <c r="G110">
        <v>1837</v>
      </c>
    </row>
    <row r="111" spans="1:7" x14ac:dyDescent="0.3">
      <c r="A111" t="s">
        <v>31</v>
      </c>
      <c r="B111">
        <v>100</v>
      </c>
      <c r="C111">
        <v>0.05</v>
      </c>
      <c r="D111">
        <v>0.95</v>
      </c>
      <c r="E111" t="s">
        <v>33</v>
      </c>
      <c r="F111">
        <v>0.92106224875136999</v>
      </c>
      <c r="G111">
        <v>1791</v>
      </c>
    </row>
    <row r="112" spans="1:7" x14ac:dyDescent="0.3">
      <c r="A112" t="s">
        <v>31</v>
      </c>
      <c r="B112">
        <v>100</v>
      </c>
      <c r="C112">
        <v>0.05</v>
      </c>
      <c r="D112">
        <v>0.95</v>
      </c>
      <c r="E112" t="s">
        <v>34</v>
      </c>
      <c r="F112">
        <v>0.96092023307213204</v>
      </c>
      <c r="G112">
        <v>46</v>
      </c>
    </row>
    <row r="113" spans="1:7" x14ac:dyDescent="0.3">
      <c r="A113" t="s">
        <v>31</v>
      </c>
      <c r="B113">
        <v>100</v>
      </c>
      <c r="C113">
        <v>0.05</v>
      </c>
      <c r="D113">
        <v>0.95</v>
      </c>
      <c r="E113" t="s">
        <v>88</v>
      </c>
      <c r="F113">
        <v>0.937862032648763</v>
      </c>
      <c r="G113">
        <v>505</v>
      </c>
    </row>
    <row r="114" spans="1:7" x14ac:dyDescent="0.3">
      <c r="A114" t="s">
        <v>31</v>
      </c>
      <c r="B114">
        <v>100</v>
      </c>
      <c r="C114">
        <v>0.05</v>
      </c>
      <c r="D114">
        <v>0.95</v>
      </c>
      <c r="E114" t="s">
        <v>84</v>
      </c>
      <c r="F114">
        <v>0.94081095313322805</v>
      </c>
      <c r="G114">
        <v>505</v>
      </c>
    </row>
    <row r="115" spans="1:7" x14ac:dyDescent="0.3">
      <c r="A115" t="s">
        <v>31</v>
      </c>
      <c r="B115">
        <v>100</v>
      </c>
      <c r="C115">
        <v>0.05</v>
      </c>
      <c r="D115">
        <v>0.95</v>
      </c>
      <c r="E115" t="s">
        <v>92</v>
      </c>
      <c r="F115">
        <v>0.93867258422432898</v>
      </c>
      <c r="G115">
        <v>86</v>
      </c>
    </row>
    <row r="116" spans="1:7" x14ac:dyDescent="0.3">
      <c r="A116" t="s">
        <v>31</v>
      </c>
      <c r="B116">
        <v>100</v>
      </c>
      <c r="C116">
        <v>0.05</v>
      </c>
      <c r="D116">
        <v>0.95</v>
      </c>
      <c r="E116" t="s">
        <v>90</v>
      </c>
      <c r="F116">
        <v>0.93715303236618797</v>
      </c>
      <c r="G116">
        <v>453</v>
      </c>
    </row>
    <row r="117" spans="1:7" x14ac:dyDescent="0.3">
      <c r="A117" t="s">
        <v>31</v>
      </c>
      <c r="B117">
        <v>100</v>
      </c>
      <c r="C117">
        <v>0.05</v>
      </c>
      <c r="D117">
        <v>0.95</v>
      </c>
      <c r="E117" t="s">
        <v>86</v>
      </c>
      <c r="F117">
        <v>0.95108411019168304</v>
      </c>
      <c r="G117">
        <v>453</v>
      </c>
    </row>
    <row r="118" spans="1:7" x14ac:dyDescent="0.3">
      <c r="A118" t="s">
        <v>31</v>
      </c>
      <c r="B118">
        <v>100</v>
      </c>
      <c r="C118">
        <v>0.05</v>
      </c>
      <c r="D118">
        <v>0.95</v>
      </c>
      <c r="E118" t="s">
        <v>55</v>
      </c>
      <c r="F118">
        <v>0.96599999999999997</v>
      </c>
      <c r="G118">
        <v>0</v>
      </c>
    </row>
    <row r="119" spans="1:7" x14ac:dyDescent="0.3">
      <c r="A119" t="s">
        <v>31</v>
      </c>
      <c r="B119">
        <v>100</v>
      </c>
      <c r="C119">
        <v>0.05</v>
      </c>
      <c r="D119">
        <v>0.9</v>
      </c>
      <c r="E119" t="s">
        <v>32</v>
      </c>
      <c r="F119">
        <v>0.88668381722405998</v>
      </c>
      <c r="G119">
        <v>1837</v>
      </c>
    </row>
    <row r="120" spans="1:7" x14ac:dyDescent="0.3">
      <c r="A120" t="s">
        <v>31</v>
      </c>
      <c r="B120">
        <v>100</v>
      </c>
      <c r="C120">
        <v>0.05</v>
      </c>
      <c r="D120">
        <v>0.9</v>
      </c>
      <c r="E120" t="s">
        <v>33</v>
      </c>
      <c r="F120">
        <v>0.92106224875136999</v>
      </c>
      <c r="G120">
        <v>1791</v>
      </c>
    </row>
    <row r="121" spans="1:7" x14ac:dyDescent="0.3">
      <c r="A121" t="s">
        <v>31</v>
      </c>
      <c r="B121">
        <v>100</v>
      </c>
      <c r="C121">
        <v>0.05</v>
      </c>
      <c r="D121">
        <v>0.9</v>
      </c>
      <c r="E121" t="s">
        <v>34</v>
      </c>
      <c r="F121">
        <v>0.91179425356640498</v>
      </c>
      <c r="G121">
        <v>46</v>
      </c>
    </row>
    <row r="122" spans="1:7" x14ac:dyDescent="0.3">
      <c r="A122" t="s">
        <v>31</v>
      </c>
      <c r="B122">
        <v>100</v>
      </c>
      <c r="C122">
        <v>0.05</v>
      </c>
      <c r="D122">
        <v>0.9</v>
      </c>
      <c r="E122" t="s">
        <v>88</v>
      </c>
      <c r="F122">
        <v>0.90500263296471795</v>
      </c>
      <c r="G122">
        <v>505</v>
      </c>
    </row>
    <row r="123" spans="1:7" x14ac:dyDescent="0.3">
      <c r="A123" t="s">
        <v>31</v>
      </c>
      <c r="B123">
        <v>100</v>
      </c>
      <c r="C123">
        <v>0.05</v>
      </c>
      <c r="D123">
        <v>0.9</v>
      </c>
      <c r="E123" t="s">
        <v>84</v>
      </c>
      <c r="F123">
        <v>0.92438125329120602</v>
      </c>
      <c r="G123">
        <v>505</v>
      </c>
    </row>
    <row r="124" spans="1:7" x14ac:dyDescent="0.3">
      <c r="A124" t="s">
        <v>31</v>
      </c>
      <c r="B124">
        <v>100</v>
      </c>
      <c r="C124">
        <v>0.05</v>
      </c>
      <c r="D124">
        <v>0.9</v>
      </c>
      <c r="E124" t="s">
        <v>92</v>
      </c>
      <c r="F124">
        <v>0.90770627395602199</v>
      </c>
      <c r="G124">
        <v>86</v>
      </c>
    </row>
    <row r="125" spans="1:7" x14ac:dyDescent="0.3">
      <c r="A125" t="s">
        <v>31</v>
      </c>
      <c r="B125">
        <v>100</v>
      </c>
      <c r="C125">
        <v>0.05</v>
      </c>
      <c r="D125">
        <v>0.9</v>
      </c>
      <c r="E125" t="s">
        <v>90</v>
      </c>
      <c r="F125">
        <v>0.923012464648581</v>
      </c>
      <c r="G125">
        <v>453</v>
      </c>
    </row>
    <row r="126" spans="1:7" x14ac:dyDescent="0.3">
      <c r="A126" t="s">
        <v>31</v>
      </c>
      <c r="B126">
        <v>100</v>
      </c>
      <c r="C126">
        <v>0.05</v>
      </c>
      <c r="D126">
        <v>0.9</v>
      </c>
      <c r="E126" t="s">
        <v>86</v>
      </c>
      <c r="F126">
        <v>0.92510736356970802</v>
      </c>
      <c r="G126">
        <v>453</v>
      </c>
    </row>
    <row r="127" spans="1:7" x14ac:dyDescent="0.3">
      <c r="A127" t="s">
        <v>31</v>
      </c>
      <c r="B127">
        <v>100</v>
      </c>
      <c r="C127">
        <v>0.05</v>
      </c>
      <c r="D127">
        <v>0.9</v>
      </c>
      <c r="E127" t="s">
        <v>55</v>
      </c>
      <c r="F127">
        <v>0.93520000000000003</v>
      </c>
      <c r="G127">
        <v>0</v>
      </c>
    </row>
    <row r="128" spans="1:7" x14ac:dyDescent="0.3">
      <c r="A128" t="s">
        <v>56</v>
      </c>
      <c r="B128">
        <v>100</v>
      </c>
      <c r="C128">
        <v>0.05</v>
      </c>
      <c r="D128">
        <v>0.95</v>
      </c>
      <c r="E128" t="s">
        <v>32</v>
      </c>
      <c r="F128">
        <v>0.92368098159509204</v>
      </c>
      <c r="G128">
        <v>1850</v>
      </c>
    </row>
    <row r="129" spans="1:7" x14ac:dyDescent="0.3">
      <c r="A129" t="s">
        <v>56</v>
      </c>
      <c r="B129">
        <v>100</v>
      </c>
      <c r="C129">
        <v>0.05</v>
      </c>
      <c r="D129">
        <v>0.95</v>
      </c>
      <c r="E129" t="s">
        <v>33</v>
      </c>
      <c r="F129">
        <v>0.91715399610136406</v>
      </c>
      <c r="G129">
        <v>1792</v>
      </c>
    </row>
    <row r="130" spans="1:7" x14ac:dyDescent="0.3">
      <c r="A130" t="s">
        <v>56</v>
      </c>
      <c r="B130">
        <v>100</v>
      </c>
      <c r="C130">
        <v>0.05</v>
      </c>
      <c r="D130">
        <v>0.95</v>
      </c>
      <c r="E130" t="s">
        <v>34</v>
      </c>
      <c r="F130">
        <v>0.95855964594649001</v>
      </c>
      <c r="G130">
        <v>58</v>
      </c>
    </row>
    <row r="131" spans="1:7" x14ac:dyDescent="0.3">
      <c r="A131" t="s">
        <v>56</v>
      </c>
      <c r="B131">
        <v>100</v>
      </c>
      <c r="C131">
        <v>0.05</v>
      </c>
      <c r="D131">
        <v>0.95</v>
      </c>
      <c r="E131" t="s">
        <v>88</v>
      </c>
      <c r="F131">
        <v>0.93846623270952001</v>
      </c>
      <c r="G131">
        <v>168</v>
      </c>
    </row>
    <row r="132" spans="1:7" x14ac:dyDescent="0.3">
      <c r="A132" t="s">
        <v>56</v>
      </c>
      <c r="B132">
        <v>100</v>
      </c>
      <c r="C132">
        <v>0.05</v>
      </c>
      <c r="D132">
        <v>0.95</v>
      </c>
      <c r="E132" t="s">
        <v>84</v>
      </c>
      <c r="F132">
        <v>0.94395850284784399</v>
      </c>
      <c r="G132">
        <v>168</v>
      </c>
    </row>
    <row r="133" spans="1:7" x14ac:dyDescent="0.3">
      <c r="A133" t="s">
        <v>56</v>
      </c>
      <c r="B133">
        <v>100</v>
      </c>
      <c r="C133">
        <v>0.05</v>
      </c>
      <c r="D133">
        <v>0.95</v>
      </c>
      <c r="E133" t="s">
        <v>92</v>
      </c>
      <c r="F133">
        <v>0.94013058764440005</v>
      </c>
      <c r="G133">
        <v>45</v>
      </c>
    </row>
    <row r="134" spans="1:7" x14ac:dyDescent="0.3">
      <c r="A134" t="s">
        <v>56</v>
      </c>
      <c r="B134">
        <v>100</v>
      </c>
      <c r="C134">
        <v>0.05</v>
      </c>
      <c r="D134">
        <v>0.95</v>
      </c>
      <c r="E134" t="s">
        <v>90</v>
      </c>
      <c r="F134">
        <v>0.93987245672638897</v>
      </c>
      <c r="G134">
        <v>121</v>
      </c>
    </row>
    <row r="135" spans="1:7" x14ac:dyDescent="0.3">
      <c r="A135" t="s">
        <v>56</v>
      </c>
      <c r="B135">
        <v>100</v>
      </c>
      <c r="C135">
        <v>0.05</v>
      </c>
      <c r="D135">
        <v>0.95</v>
      </c>
      <c r="E135" t="s">
        <v>86</v>
      </c>
      <c r="F135">
        <v>0.95050106286061298</v>
      </c>
      <c r="G135">
        <v>121</v>
      </c>
    </row>
    <row r="136" spans="1:7" x14ac:dyDescent="0.3">
      <c r="A136" t="s">
        <v>56</v>
      </c>
      <c r="B136">
        <v>100</v>
      </c>
      <c r="C136">
        <v>0.05</v>
      </c>
      <c r="D136">
        <v>0.95</v>
      </c>
      <c r="E136" t="s">
        <v>55</v>
      </c>
      <c r="F136">
        <v>0.96440000000000003</v>
      </c>
      <c r="G136">
        <v>0</v>
      </c>
    </row>
    <row r="137" spans="1:7" x14ac:dyDescent="0.3">
      <c r="A137" t="s">
        <v>56</v>
      </c>
      <c r="B137">
        <v>100</v>
      </c>
      <c r="C137">
        <v>0.05</v>
      </c>
      <c r="D137">
        <v>0.9</v>
      </c>
      <c r="E137" t="s">
        <v>32</v>
      </c>
      <c r="F137">
        <v>0.88159509202454001</v>
      </c>
      <c r="G137">
        <v>1850</v>
      </c>
    </row>
    <row r="138" spans="1:7" x14ac:dyDescent="0.3">
      <c r="A138" t="s">
        <v>56</v>
      </c>
      <c r="B138">
        <v>100</v>
      </c>
      <c r="C138">
        <v>0.05</v>
      </c>
      <c r="D138">
        <v>0.9</v>
      </c>
      <c r="E138" t="s">
        <v>33</v>
      </c>
      <c r="F138">
        <v>0.91715399610136406</v>
      </c>
      <c r="G138">
        <v>1792</v>
      </c>
    </row>
    <row r="139" spans="1:7" x14ac:dyDescent="0.3">
      <c r="A139" t="s">
        <v>56</v>
      </c>
      <c r="B139">
        <v>100</v>
      </c>
      <c r="C139">
        <v>0.05</v>
      </c>
      <c r="D139">
        <v>0.9</v>
      </c>
      <c r="E139" t="s">
        <v>34</v>
      </c>
      <c r="F139">
        <v>0.91027962180647803</v>
      </c>
      <c r="G139">
        <v>58</v>
      </c>
    </row>
    <row r="140" spans="1:7" x14ac:dyDescent="0.3">
      <c r="A140" t="s">
        <v>56</v>
      </c>
      <c r="B140">
        <v>100</v>
      </c>
      <c r="C140">
        <v>0.05</v>
      </c>
      <c r="D140">
        <v>0.9</v>
      </c>
      <c r="E140" t="s">
        <v>88</v>
      </c>
      <c r="F140">
        <v>0.90530919446704605</v>
      </c>
      <c r="G140">
        <v>168</v>
      </c>
    </row>
    <row r="141" spans="1:7" x14ac:dyDescent="0.3">
      <c r="A141" t="s">
        <v>56</v>
      </c>
      <c r="B141">
        <v>100</v>
      </c>
      <c r="C141">
        <v>0.05</v>
      </c>
      <c r="D141">
        <v>0.9</v>
      </c>
      <c r="E141" t="s">
        <v>84</v>
      </c>
      <c r="F141">
        <v>0.91863303498779503</v>
      </c>
      <c r="G141">
        <v>168</v>
      </c>
    </row>
    <row r="142" spans="1:7" x14ac:dyDescent="0.3">
      <c r="A142" t="s">
        <v>56</v>
      </c>
      <c r="B142">
        <v>100</v>
      </c>
      <c r="C142">
        <v>0.05</v>
      </c>
      <c r="D142">
        <v>0.9</v>
      </c>
      <c r="E142" t="s">
        <v>92</v>
      </c>
      <c r="F142">
        <v>0.90647915620291297</v>
      </c>
      <c r="G142">
        <v>45</v>
      </c>
    </row>
    <row r="143" spans="1:7" x14ac:dyDescent="0.3">
      <c r="A143" t="s">
        <v>56</v>
      </c>
      <c r="B143">
        <v>100</v>
      </c>
      <c r="C143">
        <v>0.05</v>
      </c>
      <c r="D143">
        <v>0.9</v>
      </c>
      <c r="E143" t="s">
        <v>90</v>
      </c>
      <c r="F143">
        <v>0.91679319769207401</v>
      </c>
      <c r="G143">
        <v>121</v>
      </c>
    </row>
    <row r="144" spans="1:7" x14ac:dyDescent="0.3">
      <c r="A144" t="s">
        <v>56</v>
      </c>
      <c r="B144">
        <v>100</v>
      </c>
      <c r="C144">
        <v>0.05</v>
      </c>
      <c r="D144">
        <v>0.9</v>
      </c>
      <c r="E144" t="s">
        <v>86</v>
      </c>
      <c r="F144">
        <v>0.91962749266120003</v>
      </c>
      <c r="G144">
        <v>121</v>
      </c>
    </row>
    <row r="145" spans="1:7" x14ac:dyDescent="0.3">
      <c r="A145" t="s">
        <v>56</v>
      </c>
      <c r="B145">
        <v>100</v>
      </c>
      <c r="C145">
        <v>0.05</v>
      </c>
      <c r="D145">
        <v>0.9</v>
      </c>
      <c r="E145" t="s">
        <v>55</v>
      </c>
      <c r="F145">
        <v>0.93200000000000005</v>
      </c>
      <c r="G145">
        <v>0</v>
      </c>
    </row>
    <row r="146" spans="1:7" x14ac:dyDescent="0.3">
      <c r="A146" t="s">
        <v>57</v>
      </c>
      <c r="B146">
        <v>100</v>
      </c>
      <c r="C146">
        <v>0.05</v>
      </c>
      <c r="D146">
        <v>0.95</v>
      </c>
      <c r="E146" t="s">
        <v>32</v>
      </c>
      <c r="F146">
        <v>0.92679592344021899</v>
      </c>
      <c r="G146">
        <v>1954</v>
      </c>
    </row>
    <row r="147" spans="1:7" x14ac:dyDescent="0.3">
      <c r="A147" t="s">
        <v>57</v>
      </c>
      <c r="B147">
        <v>100</v>
      </c>
      <c r="C147">
        <v>0.05</v>
      </c>
      <c r="D147">
        <v>0.95</v>
      </c>
      <c r="E147" t="s">
        <v>33</v>
      </c>
      <c r="F147">
        <v>0.91982237572468195</v>
      </c>
      <c r="G147">
        <v>1893</v>
      </c>
    </row>
    <row r="148" spans="1:7" x14ac:dyDescent="0.3">
      <c r="A148" t="s">
        <v>57</v>
      </c>
      <c r="B148">
        <v>100</v>
      </c>
      <c r="C148">
        <v>0.05</v>
      </c>
      <c r="D148">
        <v>0.95</v>
      </c>
      <c r="E148" t="s">
        <v>34</v>
      </c>
      <c r="F148">
        <v>0.95733977261293901</v>
      </c>
      <c r="G148">
        <v>61</v>
      </c>
    </row>
    <row r="149" spans="1:7" x14ac:dyDescent="0.3">
      <c r="A149" t="s">
        <v>57</v>
      </c>
      <c r="B149">
        <v>100</v>
      </c>
      <c r="C149">
        <v>0.05</v>
      </c>
      <c r="D149">
        <v>0.95</v>
      </c>
      <c r="E149" t="s">
        <v>88</v>
      </c>
      <c r="F149">
        <v>0.94271407110665995</v>
      </c>
      <c r="G149">
        <v>15</v>
      </c>
    </row>
    <row r="150" spans="1:7" x14ac:dyDescent="0.3">
      <c r="A150" t="s">
        <v>57</v>
      </c>
      <c r="B150">
        <v>100</v>
      </c>
      <c r="C150">
        <v>0.05</v>
      </c>
      <c r="D150">
        <v>0.95</v>
      </c>
      <c r="E150" t="s">
        <v>84</v>
      </c>
      <c r="F150">
        <v>0.95012518778167299</v>
      </c>
      <c r="G150">
        <v>15</v>
      </c>
    </row>
    <row r="151" spans="1:7" x14ac:dyDescent="0.3">
      <c r="A151" t="s">
        <v>57</v>
      </c>
      <c r="B151">
        <v>100</v>
      </c>
      <c r="C151">
        <v>0.05</v>
      </c>
      <c r="D151">
        <v>0.95</v>
      </c>
      <c r="E151" t="s">
        <v>92</v>
      </c>
      <c r="F151">
        <v>0.95699999999999996</v>
      </c>
      <c r="G151">
        <v>0</v>
      </c>
    </row>
    <row r="152" spans="1:7" x14ac:dyDescent="0.3">
      <c r="A152" t="s">
        <v>57</v>
      </c>
      <c r="B152">
        <v>100</v>
      </c>
      <c r="C152">
        <v>0.05</v>
      </c>
      <c r="D152">
        <v>0.95</v>
      </c>
      <c r="E152" t="s">
        <v>90</v>
      </c>
      <c r="F152">
        <v>0.94710000000000005</v>
      </c>
      <c r="G152">
        <v>0</v>
      </c>
    </row>
    <row r="153" spans="1:7" x14ac:dyDescent="0.3">
      <c r="A153" t="s">
        <v>57</v>
      </c>
      <c r="B153">
        <v>100</v>
      </c>
      <c r="C153">
        <v>0.05</v>
      </c>
      <c r="D153">
        <v>0.95</v>
      </c>
      <c r="E153" t="s">
        <v>86</v>
      </c>
      <c r="F153">
        <v>0.95479999999999998</v>
      </c>
      <c r="G153">
        <v>0</v>
      </c>
    </row>
    <row r="154" spans="1:7" x14ac:dyDescent="0.3">
      <c r="A154" t="s">
        <v>57</v>
      </c>
      <c r="B154">
        <v>100</v>
      </c>
      <c r="C154">
        <v>0.05</v>
      </c>
      <c r="D154">
        <v>0.95</v>
      </c>
      <c r="E154" t="s">
        <v>55</v>
      </c>
      <c r="F154">
        <v>0.96660000000000001</v>
      </c>
      <c r="G154">
        <v>0</v>
      </c>
    </row>
    <row r="155" spans="1:7" x14ac:dyDescent="0.3">
      <c r="A155" t="s">
        <v>57</v>
      </c>
      <c r="B155">
        <v>100</v>
      </c>
      <c r="C155">
        <v>0.05</v>
      </c>
      <c r="D155">
        <v>0.9</v>
      </c>
      <c r="E155" t="s">
        <v>32</v>
      </c>
      <c r="F155">
        <v>0.88714889386030304</v>
      </c>
      <c r="G155">
        <v>1954</v>
      </c>
    </row>
    <row r="156" spans="1:7" x14ac:dyDescent="0.3">
      <c r="A156" t="s">
        <v>57</v>
      </c>
      <c r="B156">
        <v>100</v>
      </c>
      <c r="C156">
        <v>0.05</v>
      </c>
      <c r="D156">
        <v>0.9</v>
      </c>
      <c r="E156" t="s">
        <v>33</v>
      </c>
      <c r="F156">
        <v>0.91982237572468195</v>
      </c>
      <c r="G156">
        <v>1893</v>
      </c>
    </row>
    <row r="157" spans="1:7" x14ac:dyDescent="0.3">
      <c r="A157" t="s">
        <v>57</v>
      </c>
      <c r="B157">
        <v>100</v>
      </c>
      <c r="C157">
        <v>0.05</v>
      </c>
      <c r="D157">
        <v>0.9</v>
      </c>
      <c r="E157" t="s">
        <v>34</v>
      </c>
      <c r="F157">
        <v>0.91296911158064198</v>
      </c>
      <c r="G157">
        <v>61</v>
      </c>
    </row>
    <row r="158" spans="1:7" x14ac:dyDescent="0.3">
      <c r="A158" t="s">
        <v>57</v>
      </c>
      <c r="B158">
        <v>100</v>
      </c>
      <c r="C158">
        <v>0.05</v>
      </c>
      <c r="D158">
        <v>0.9</v>
      </c>
      <c r="E158" t="s">
        <v>88</v>
      </c>
      <c r="F158">
        <v>0.901251877816725</v>
      </c>
      <c r="G158">
        <v>15</v>
      </c>
    </row>
    <row r="159" spans="1:7" x14ac:dyDescent="0.3">
      <c r="A159" t="s">
        <v>57</v>
      </c>
      <c r="B159">
        <v>100</v>
      </c>
      <c r="C159">
        <v>0.05</v>
      </c>
      <c r="D159">
        <v>0.9</v>
      </c>
      <c r="E159" t="s">
        <v>84</v>
      </c>
      <c r="F159">
        <v>0.90916374561842805</v>
      </c>
      <c r="G159">
        <v>15</v>
      </c>
    </row>
    <row r="160" spans="1:7" x14ac:dyDescent="0.3">
      <c r="A160" t="s">
        <v>57</v>
      </c>
      <c r="B160">
        <v>100</v>
      </c>
      <c r="C160">
        <v>0.05</v>
      </c>
      <c r="D160">
        <v>0.9</v>
      </c>
      <c r="E160" t="s">
        <v>92</v>
      </c>
      <c r="F160">
        <v>0.91869999999999996</v>
      </c>
      <c r="G160">
        <v>0</v>
      </c>
    </row>
    <row r="161" spans="1:7" x14ac:dyDescent="0.3">
      <c r="A161" t="s">
        <v>57</v>
      </c>
      <c r="B161">
        <v>100</v>
      </c>
      <c r="C161">
        <v>0.05</v>
      </c>
      <c r="D161">
        <v>0.9</v>
      </c>
      <c r="E161" t="s">
        <v>90</v>
      </c>
      <c r="F161">
        <v>0.90600000000000003</v>
      </c>
      <c r="G161">
        <v>0</v>
      </c>
    </row>
    <row r="162" spans="1:7" x14ac:dyDescent="0.3">
      <c r="A162" t="s">
        <v>57</v>
      </c>
      <c r="B162">
        <v>100</v>
      </c>
      <c r="C162">
        <v>0.05</v>
      </c>
      <c r="D162">
        <v>0.9</v>
      </c>
      <c r="E162" t="s">
        <v>86</v>
      </c>
      <c r="F162">
        <v>0.91320000000000001</v>
      </c>
      <c r="G162">
        <v>0</v>
      </c>
    </row>
    <row r="163" spans="1:7" x14ac:dyDescent="0.3">
      <c r="A163" t="s">
        <v>57</v>
      </c>
      <c r="B163">
        <v>100</v>
      </c>
      <c r="C163">
        <v>0.05</v>
      </c>
      <c r="D163">
        <v>0.9</v>
      </c>
      <c r="E163" t="s">
        <v>55</v>
      </c>
      <c r="F163">
        <v>0.93500000000000005</v>
      </c>
      <c r="G163">
        <v>0</v>
      </c>
    </row>
    <row r="164" spans="1:7" x14ac:dyDescent="0.3">
      <c r="A164" t="s">
        <v>31</v>
      </c>
      <c r="B164">
        <v>20</v>
      </c>
      <c r="C164">
        <v>0.1</v>
      </c>
      <c r="D164">
        <v>0.95</v>
      </c>
      <c r="E164" t="s">
        <v>32</v>
      </c>
      <c r="F164">
        <v>0.983795522886736</v>
      </c>
      <c r="G164">
        <v>4014</v>
      </c>
    </row>
    <row r="165" spans="1:7" x14ac:dyDescent="0.3">
      <c r="A165" t="s">
        <v>31</v>
      </c>
      <c r="B165">
        <v>20</v>
      </c>
      <c r="C165">
        <v>0.1</v>
      </c>
      <c r="D165">
        <v>0.95</v>
      </c>
      <c r="E165" t="s">
        <v>33</v>
      </c>
      <c r="F165">
        <v>0.81599002355549399</v>
      </c>
      <c r="G165">
        <v>2783</v>
      </c>
    </row>
    <row r="166" spans="1:7" x14ac:dyDescent="0.3">
      <c r="A166" t="s">
        <v>31</v>
      </c>
      <c r="B166">
        <v>20</v>
      </c>
      <c r="C166">
        <v>0.1</v>
      </c>
      <c r="D166">
        <v>0.95</v>
      </c>
      <c r="E166" t="s">
        <v>34</v>
      </c>
      <c r="F166">
        <v>0.980499486828601</v>
      </c>
      <c r="G166">
        <v>1231</v>
      </c>
    </row>
    <row r="167" spans="1:7" x14ac:dyDescent="0.3">
      <c r="A167" t="s">
        <v>31</v>
      </c>
      <c r="B167">
        <v>20</v>
      </c>
      <c r="C167">
        <v>0.1</v>
      </c>
      <c r="D167">
        <v>0.95</v>
      </c>
      <c r="E167" t="s">
        <v>88</v>
      </c>
      <c r="F167">
        <v>0.95239714382863006</v>
      </c>
      <c r="G167">
        <v>1177</v>
      </c>
    </row>
    <row r="168" spans="1:7" x14ac:dyDescent="0.3">
      <c r="A168" t="s">
        <v>31</v>
      </c>
      <c r="B168">
        <v>20</v>
      </c>
      <c r="C168">
        <v>0.1</v>
      </c>
      <c r="D168">
        <v>0.95</v>
      </c>
      <c r="E168" t="s">
        <v>84</v>
      </c>
      <c r="F168">
        <v>0.95500396690468103</v>
      </c>
      <c r="G168">
        <v>1177</v>
      </c>
    </row>
    <row r="169" spans="1:7" x14ac:dyDescent="0.3">
      <c r="A169" t="s">
        <v>31</v>
      </c>
      <c r="B169">
        <v>20</v>
      </c>
      <c r="C169">
        <v>0.1</v>
      </c>
      <c r="D169">
        <v>0.95</v>
      </c>
      <c r="E169" t="s">
        <v>92</v>
      </c>
      <c r="F169">
        <v>0.90015282730514501</v>
      </c>
      <c r="G169">
        <v>185</v>
      </c>
    </row>
    <row r="170" spans="1:7" x14ac:dyDescent="0.3">
      <c r="A170" t="s">
        <v>31</v>
      </c>
      <c r="B170">
        <v>20</v>
      </c>
      <c r="C170">
        <v>0.1</v>
      </c>
      <c r="D170">
        <v>0.95</v>
      </c>
      <c r="E170" t="s">
        <v>90</v>
      </c>
      <c r="F170">
        <v>0.86713715863761898</v>
      </c>
      <c r="G170">
        <v>223</v>
      </c>
    </row>
    <row r="171" spans="1:7" x14ac:dyDescent="0.3">
      <c r="A171" t="s">
        <v>31</v>
      </c>
      <c r="B171">
        <v>20</v>
      </c>
      <c r="C171">
        <v>0.1</v>
      </c>
      <c r="D171">
        <v>0.95</v>
      </c>
      <c r="E171" t="s">
        <v>86</v>
      </c>
      <c r="F171">
        <v>0.86856909072312605</v>
      </c>
      <c r="G171">
        <v>223</v>
      </c>
    </row>
    <row r="172" spans="1:7" x14ac:dyDescent="0.3">
      <c r="A172" t="s">
        <v>31</v>
      </c>
      <c r="B172">
        <v>20</v>
      </c>
      <c r="C172">
        <v>0.1</v>
      </c>
      <c r="D172">
        <v>0.95</v>
      </c>
      <c r="E172" t="s">
        <v>55</v>
      </c>
      <c r="F172">
        <v>0.95889999999999997</v>
      </c>
      <c r="G172">
        <v>0</v>
      </c>
    </row>
    <row r="173" spans="1:7" x14ac:dyDescent="0.3">
      <c r="A173" t="s">
        <v>31</v>
      </c>
      <c r="B173">
        <v>20</v>
      </c>
      <c r="C173">
        <v>0.1</v>
      </c>
      <c r="D173">
        <v>0.9</v>
      </c>
      <c r="E173" t="s">
        <v>32</v>
      </c>
      <c r="F173">
        <v>0.93133979284998303</v>
      </c>
      <c r="G173">
        <v>4014</v>
      </c>
    </row>
    <row r="174" spans="1:7" x14ac:dyDescent="0.3">
      <c r="A174" t="s">
        <v>31</v>
      </c>
      <c r="B174">
        <v>20</v>
      </c>
      <c r="C174">
        <v>0.1</v>
      </c>
      <c r="D174">
        <v>0.9</v>
      </c>
      <c r="E174" t="s">
        <v>33</v>
      </c>
      <c r="F174">
        <v>0.77248164057087398</v>
      </c>
      <c r="G174">
        <v>2783</v>
      </c>
    </row>
    <row r="175" spans="1:7" x14ac:dyDescent="0.3">
      <c r="A175" t="s">
        <v>31</v>
      </c>
      <c r="B175">
        <v>20</v>
      </c>
      <c r="C175">
        <v>0.1</v>
      </c>
      <c r="D175">
        <v>0.9</v>
      </c>
      <c r="E175" t="s">
        <v>34</v>
      </c>
      <c r="F175">
        <v>0.95552514539856304</v>
      </c>
      <c r="G175">
        <v>1231</v>
      </c>
    </row>
    <row r="176" spans="1:7" x14ac:dyDescent="0.3">
      <c r="A176" t="s">
        <v>31</v>
      </c>
      <c r="B176">
        <v>20</v>
      </c>
      <c r="C176">
        <v>0.1</v>
      </c>
      <c r="D176">
        <v>0.9</v>
      </c>
      <c r="E176" t="s">
        <v>88</v>
      </c>
      <c r="F176">
        <v>0.91397483849030903</v>
      </c>
      <c r="G176">
        <v>1177</v>
      </c>
    </row>
    <row r="177" spans="1:7" x14ac:dyDescent="0.3">
      <c r="A177" t="s">
        <v>31</v>
      </c>
      <c r="B177">
        <v>20</v>
      </c>
      <c r="C177">
        <v>0.1</v>
      </c>
      <c r="D177">
        <v>0.9</v>
      </c>
      <c r="E177" t="s">
        <v>84</v>
      </c>
      <c r="F177">
        <v>0.91748838263629195</v>
      </c>
      <c r="G177">
        <v>1177</v>
      </c>
    </row>
    <row r="178" spans="1:7" x14ac:dyDescent="0.3">
      <c r="A178" t="s">
        <v>31</v>
      </c>
      <c r="B178">
        <v>20</v>
      </c>
      <c r="C178">
        <v>0.1</v>
      </c>
      <c r="D178">
        <v>0.9</v>
      </c>
      <c r="E178" t="s">
        <v>92</v>
      </c>
      <c r="F178">
        <v>0.85277636271013801</v>
      </c>
      <c r="G178">
        <v>185</v>
      </c>
    </row>
    <row r="179" spans="1:7" x14ac:dyDescent="0.3">
      <c r="A179" t="s">
        <v>31</v>
      </c>
      <c r="B179">
        <v>20</v>
      </c>
      <c r="C179">
        <v>0.1</v>
      </c>
      <c r="D179">
        <v>0.9</v>
      </c>
      <c r="E179" t="s">
        <v>90</v>
      </c>
      <c r="F179">
        <v>0.839725887286489</v>
      </c>
      <c r="G179">
        <v>223</v>
      </c>
    </row>
    <row r="180" spans="1:7" x14ac:dyDescent="0.3">
      <c r="A180" t="s">
        <v>31</v>
      </c>
      <c r="B180">
        <v>20</v>
      </c>
      <c r="C180">
        <v>0.1</v>
      </c>
      <c r="D180">
        <v>0.9</v>
      </c>
      <c r="E180" t="s">
        <v>86</v>
      </c>
      <c r="F180">
        <v>0.84473764958576203</v>
      </c>
      <c r="G180">
        <v>223</v>
      </c>
    </row>
    <row r="181" spans="1:7" x14ac:dyDescent="0.3">
      <c r="A181" t="s">
        <v>31</v>
      </c>
      <c r="B181">
        <v>20</v>
      </c>
      <c r="C181">
        <v>0.1</v>
      </c>
      <c r="D181">
        <v>0.9</v>
      </c>
      <c r="E181" t="s">
        <v>55</v>
      </c>
      <c r="F181">
        <v>0.95889999999999997</v>
      </c>
      <c r="G181">
        <v>0</v>
      </c>
    </row>
    <row r="182" spans="1:7" x14ac:dyDescent="0.3">
      <c r="A182" t="s">
        <v>56</v>
      </c>
      <c r="B182">
        <v>20</v>
      </c>
      <c r="C182">
        <v>0.1</v>
      </c>
      <c r="D182">
        <v>0.95</v>
      </c>
      <c r="E182" t="s">
        <v>32</v>
      </c>
      <c r="F182">
        <v>0.981870068826591</v>
      </c>
      <c r="G182">
        <v>4043</v>
      </c>
    </row>
    <row r="183" spans="1:7" x14ac:dyDescent="0.3">
      <c r="A183" t="s">
        <v>56</v>
      </c>
      <c r="B183">
        <v>20</v>
      </c>
      <c r="C183">
        <v>0.1</v>
      </c>
      <c r="D183">
        <v>0.95</v>
      </c>
      <c r="E183" t="s">
        <v>33</v>
      </c>
      <c r="F183">
        <v>0.82022156780255195</v>
      </c>
      <c r="G183">
        <v>2869</v>
      </c>
    </row>
    <row r="184" spans="1:7" x14ac:dyDescent="0.3">
      <c r="A184" t="s">
        <v>56</v>
      </c>
      <c r="B184">
        <v>20</v>
      </c>
      <c r="C184">
        <v>0.1</v>
      </c>
      <c r="D184">
        <v>0.95</v>
      </c>
      <c r="E184" t="s">
        <v>34</v>
      </c>
      <c r="F184">
        <v>0.98085202809879901</v>
      </c>
      <c r="G184">
        <v>1174</v>
      </c>
    </row>
    <row r="185" spans="1:7" x14ac:dyDescent="0.3">
      <c r="A185" t="s">
        <v>56</v>
      </c>
      <c r="B185">
        <v>20</v>
      </c>
      <c r="C185">
        <v>0.1</v>
      </c>
      <c r="D185">
        <v>0.95</v>
      </c>
      <c r="E185" t="s">
        <v>88</v>
      </c>
      <c r="F185">
        <v>0.94628281491286104</v>
      </c>
      <c r="G185">
        <v>934</v>
      </c>
    </row>
    <row r="186" spans="1:7" x14ac:dyDescent="0.3">
      <c r="A186" t="s">
        <v>56</v>
      </c>
      <c r="B186">
        <v>20</v>
      </c>
      <c r="C186">
        <v>0.1</v>
      </c>
      <c r="D186">
        <v>0.95</v>
      </c>
      <c r="E186" t="s">
        <v>84</v>
      </c>
      <c r="F186">
        <v>0.950033090668432</v>
      </c>
      <c r="G186">
        <v>934</v>
      </c>
    </row>
    <row r="187" spans="1:7" x14ac:dyDescent="0.3">
      <c r="A187" t="s">
        <v>56</v>
      </c>
      <c r="B187">
        <v>20</v>
      </c>
      <c r="C187">
        <v>0.1</v>
      </c>
      <c r="D187">
        <v>0.95</v>
      </c>
      <c r="E187" t="s">
        <v>92</v>
      </c>
      <c r="F187">
        <v>0.91096305269533595</v>
      </c>
      <c r="G187">
        <v>94</v>
      </c>
    </row>
    <row r="188" spans="1:7" x14ac:dyDescent="0.3">
      <c r="A188" t="s">
        <v>56</v>
      </c>
      <c r="B188">
        <v>20</v>
      </c>
      <c r="C188">
        <v>0.1</v>
      </c>
      <c r="D188">
        <v>0.95</v>
      </c>
      <c r="E188" t="s">
        <v>90</v>
      </c>
      <c r="F188">
        <v>0.87527727364387997</v>
      </c>
      <c r="G188">
        <v>82</v>
      </c>
    </row>
    <row r="189" spans="1:7" x14ac:dyDescent="0.3">
      <c r="A189" t="s">
        <v>56</v>
      </c>
      <c r="B189">
        <v>20</v>
      </c>
      <c r="C189">
        <v>0.1</v>
      </c>
      <c r="D189">
        <v>0.95</v>
      </c>
      <c r="E189" t="s">
        <v>86</v>
      </c>
      <c r="F189">
        <v>0.87689050211736197</v>
      </c>
      <c r="G189">
        <v>82</v>
      </c>
    </row>
    <row r="190" spans="1:7" x14ac:dyDescent="0.3">
      <c r="A190" t="s">
        <v>56</v>
      </c>
      <c r="B190">
        <v>20</v>
      </c>
      <c r="C190">
        <v>0.1</v>
      </c>
      <c r="D190">
        <v>0.95</v>
      </c>
      <c r="E190" t="s">
        <v>55</v>
      </c>
      <c r="F190">
        <v>0.95709999999999995</v>
      </c>
      <c r="G190">
        <v>0</v>
      </c>
    </row>
    <row r="191" spans="1:7" x14ac:dyDescent="0.3">
      <c r="A191" t="s">
        <v>56</v>
      </c>
      <c r="B191">
        <v>20</v>
      </c>
      <c r="C191">
        <v>0.1</v>
      </c>
      <c r="D191">
        <v>0.9</v>
      </c>
      <c r="E191" t="s">
        <v>32</v>
      </c>
      <c r="F191">
        <v>0.92798388450562397</v>
      </c>
      <c r="G191">
        <v>4043</v>
      </c>
    </row>
    <row r="192" spans="1:7" x14ac:dyDescent="0.3">
      <c r="A192" t="s">
        <v>56</v>
      </c>
      <c r="B192">
        <v>20</v>
      </c>
      <c r="C192">
        <v>0.1</v>
      </c>
      <c r="D192">
        <v>0.9</v>
      </c>
      <c r="E192" t="s">
        <v>33</v>
      </c>
      <c r="F192">
        <v>0.77520684335997803</v>
      </c>
      <c r="G192">
        <v>2869</v>
      </c>
    </row>
    <row r="193" spans="1:7" x14ac:dyDescent="0.3">
      <c r="A193" t="s">
        <v>56</v>
      </c>
      <c r="B193">
        <v>20</v>
      </c>
      <c r="C193">
        <v>0.1</v>
      </c>
      <c r="D193">
        <v>0.9</v>
      </c>
      <c r="E193" t="s">
        <v>34</v>
      </c>
      <c r="F193">
        <v>0.95354634035803298</v>
      </c>
      <c r="G193">
        <v>1174</v>
      </c>
    </row>
    <row r="194" spans="1:7" x14ac:dyDescent="0.3">
      <c r="A194" t="s">
        <v>56</v>
      </c>
      <c r="B194">
        <v>20</v>
      </c>
      <c r="C194">
        <v>0.1</v>
      </c>
      <c r="D194">
        <v>0.9</v>
      </c>
      <c r="E194" t="s">
        <v>88</v>
      </c>
      <c r="F194">
        <v>0.91043459077873401</v>
      </c>
      <c r="G194">
        <v>934</v>
      </c>
    </row>
    <row r="195" spans="1:7" x14ac:dyDescent="0.3">
      <c r="A195" t="s">
        <v>56</v>
      </c>
      <c r="B195">
        <v>20</v>
      </c>
      <c r="C195">
        <v>0.1</v>
      </c>
      <c r="D195">
        <v>0.9</v>
      </c>
      <c r="E195" t="s">
        <v>84</v>
      </c>
      <c r="F195">
        <v>0.91495698213103904</v>
      </c>
      <c r="G195">
        <v>934</v>
      </c>
    </row>
    <row r="196" spans="1:7" x14ac:dyDescent="0.3">
      <c r="A196" t="s">
        <v>56</v>
      </c>
      <c r="B196">
        <v>20</v>
      </c>
      <c r="C196">
        <v>0.1</v>
      </c>
      <c r="D196">
        <v>0.9</v>
      </c>
      <c r="E196" t="s">
        <v>92</v>
      </c>
      <c r="F196">
        <v>0.86351706036745401</v>
      </c>
      <c r="G196">
        <v>94</v>
      </c>
    </row>
    <row r="197" spans="1:7" x14ac:dyDescent="0.3">
      <c r="A197" t="s">
        <v>56</v>
      </c>
      <c r="B197">
        <v>20</v>
      </c>
      <c r="C197">
        <v>0.1</v>
      </c>
      <c r="D197">
        <v>0.9</v>
      </c>
      <c r="E197" t="s">
        <v>90</v>
      </c>
      <c r="F197">
        <v>0.84785238959467601</v>
      </c>
      <c r="G197">
        <v>82</v>
      </c>
    </row>
    <row r="198" spans="1:7" x14ac:dyDescent="0.3">
      <c r="A198" t="s">
        <v>56</v>
      </c>
      <c r="B198">
        <v>20</v>
      </c>
      <c r="C198">
        <v>0.1</v>
      </c>
      <c r="D198">
        <v>0.9</v>
      </c>
      <c r="E198" t="s">
        <v>86</v>
      </c>
      <c r="F198">
        <v>0.85208711433756801</v>
      </c>
      <c r="G198">
        <v>82</v>
      </c>
    </row>
    <row r="199" spans="1:7" x14ac:dyDescent="0.3">
      <c r="A199" t="s">
        <v>56</v>
      </c>
      <c r="B199">
        <v>20</v>
      </c>
      <c r="C199">
        <v>0.1</v>
      </c>
      <c r="D199">
        <v>0.9</v>
      </c>
      <c r="E199" t="s">
        <v>55</v>
      </c>
      <c r="F199">
        <v>0.95709999999999995</v>
      </c>
      <c r="G199">
        <v>0</v>
      </c>
    </row>
    <row r="200" spans="1:7" x14ac:dyDescent="0.3">
      <c r="A200" t="s">
        <v>57</v>
      </c>
      <c r="B200">
        <v>20</v>
      </c>
      <c r="C200">
        <v>0.1</v>
      </c>
      <c r="D200">
        <v>0.95</v>
      </c>
      <c r="E200" t="s">
        <v>32</v>
      </c>
      <c r="F200">
        <v>0.97772903661211397</v>
      </c>
      <c r="G200">
        <v>4073</v>
      </c>
    </row>
    <row r="201" spans="1:7" x14ac:dyDescent="0.3">
      <c r="A201" t="s">
        <v>57</v>
      </c>
      <c r="B201">
        <v>20</v>
      </c>
      <c r="C201">
        <v>0.1</v>
      </c>
      <c r="D201">
        <v>0.95</v>
      </c>
      <c r="E201" t="s">
        <v>33</v>
      </c>
      <c r="F201">
        <v>0.81424757622593802</v>
      </c>
      <c r="G201">
        <v>2883</v>
      </c>
    </row>
    <row r="202" spans="1:7" x14ac:dyDescent="0.3">
      <c r="A202" t="s">
        <v>57</v>
      </c>
      <c r="B202">
        <v>20</v>
      </c>
      <c r="C202">
        <v>0.1</v>
      </c>
      <c r="D202">
        <v>0.95</v>
      </c>
      <c r="E202" t="s">
        <v>34</v>
      </c>
      <c r="F202">
        <v>0.980136208853575</v>
      </c>
      <c r="G202">
        <v>1190</v>
      </c>
    </row>
    <row r="203" spans="1:7" x14ac:dyDescent="0.3">
      <c r="A203" t="s">
        <v>57</v>
      </c>
      <c r="B203">
        <v>20</v>
      </c>
      <c r="C203">
        <v>0.1</v>
      </c>
      <c r="D203">
        <v>0.95</v>
      </c>
      <c r="E203" t="s">
        <v>88</v>
      </c>
      <c r="F203">
        <v>0.90797800601722201</v>
      </c>
      <c r="G203">
        <v>361</v>
      </c>
    </row>
    <row r="204" spans="1:7" x14ac:dyDescent="0.3">
      <c r="A204" t="s">
        <v>57</v>
      </c>
      <c r="B204">
        <v>20</v>
      </c>
      <c r="C204">
        <v>0.1</v>
      </c>
      <c r="D204">
        <v>0.95</v>
      </c>
      <c r="E204" t="s">
        <v>84</v>
      </c>
      <c r="F204">
        <v>0.91409897292250197</v>
      </c>
      <c r="G204">
        <v>361</v>
      </c>
    </row>
    <row r="205" spans="1:7" x14ac:dyDescent="0.3">
      <c r="A205" t="s">
        <v>57</v>
      </c>
      <c r="B205">
        <v>20</v>
      </c>
      <c r="C205">
        <v>0.1</v>
      </c>
      <c r="D205">
        <v>0.95</v>
      </c>
      <c r="E205" t="s">
        <v>92</v>
      </c>
      <c r="F205">
        <v>0.97099999999999997</v>
      </c>
      <c r="G205">
        <v>0</v>
      </c>
    </row>
    <row r="206" spans="1:7" x14ac:dyDescent="0.3">
      <c r="A206" t="s">
        <v>57</v>
      </c>
      <c r="B206">
        <v>20</v>
      </c>
      <c r="C206">
        <v>0.1</v>
      </c>
      <c r="D206">
        <v>0.95</v>
      </c>
      <c r="E206" t="s">
        <v>90</v>
      </c>
      <c r="F206">
        <v>0.89400000000000002</v>
      </c>
      <c r="G206">
        <v>0</v>
      </c>
    </row>
    <row r="207" spans="1:7" x14ac:dyDescent="0.3">
      <c r="A207" t="s">
        <v>57</v>
      </c>
      <c r="B207">
        <v>20</v>
      </c>
      <c r="C207">
        <v>0.1</v>
      </c>
      <c r="D207">
        <v>0.95</v>
      </c>
      <c r="E207" t="s">
        <v>86</v>
      </c>
      <c r="F207">
        <v>0.89680000000000004</v>
      </c>
      <c r="G207">
        <v>0</v>
      </c>
    </row>
    <row r="208" spans="1:7" x14ac:dyDescent="0.3">
      <c r="A208" t="s">
        <v>57</v>
      </c>
      <c r="B208">
        <v>20</v>
      </c>
      <c r="C208">
        <v>0.1</v>
      </c>
      <c r="D208">
        <v>0.95</v>
      </c>
      <c r="E208" t="s">
        <v>55</v>
      </c>
      <c r="F208">
        <v>0.95669999999999999</v>
      </c>
      <c r="G208">
        <v>0</v>
      </c>
    </row>
    <row r="209" spans="1:7" x14ac:dyDescent="0.3">
      <c r="A209" t="s">
        <v>57</v>
      </c>
      <c r="B209">
        <v>20</v>
      </c>
      <c r="C209">
        <v>0.1</v>
      </c>
      <c r="D209">
        <v>0.9</v>
      </c>
      <c r="E209" t="s">
        <v>32</v>
      </c>
      <c r="F209">
        <v>0.92694449131095003</v>
      </c>
      <c r="G209">
        <v>4073</v>
      </c>
    </row>
    <row r="210" spans="1:7" x14ac:dyDescent="0.3">
      <c r="A210" t="s">
        <v>57</v>
      </c>
      <c r="B210">
        <v>20</v>
      </c>
      <c r="C210">
        <v>0.1</v>
      </c>
      <c r="D210">
        <v>0.9</v>
      </c>
      <c r="E210" t="s">
        <v>33</v>
      </c>
      <c r="F210">
        <v>0.77195447520022498</v>
      </c>
      <c r="G210">
        <v>2883</v>
      </c>
    </row>
    <row r="211" spans="1:7" x14ac:dyDescent="0.3">
      <c r="A211" t="s">
        <v>57</v>
      </c>
      <c r="B211">
        <v>20</v>
      </c>
      <c r="C211">
        <v>0.1</v>
      </c>
      <c r="D211">
        <v>0.9</v>
      </c>
      <c r="E211" t="s">
        <v>34</v>
      </c>
      <c r="F211">
        <v>0.95289443813847896</v>
      </c>
      <c r="G211">
        <v>1190</v>
      </c>
    </row>
    <row r="212" spans="1:7" x14ac:dyDescent="0.3">
      <c r="A212" t="s">
        <v>57</v>
      </c>
      <c r="B212">
        <v>20</v>
      </c>
      <c r="C212">
        <v>0.1</v>
      </c>
      <c r="D212">
        <v>0.9</v>
      </c>
      <c r="E212" t="s">
        <v>88</v>
      </c>
      <c r="F212">
        <v>0.87228965660338198</v>
      </c>
      <c r="G212">
        <v>361</v>
      </c>
    </row>
    <row r="213" spans="1:7" x14ac:dyDescent="0.3">
      <c r="A213" t="s">
        <v>57</v>
      </c>
      <c r="B213">
        <v>20</v>
      </c>
      <c r="C213">
        <v>0.1</v>
      </c>
      <c r="D213">
        <v>0.9</v>
      </c>
      <c r="E213" t="s">
        <v>84</v>
      </c>
      <c r="F213">
        <v>0.87934433032472203</v>
      </c>
      <c r="G213">
        <v>361</v>
      </c>
    </row>
    <row r="214" spans="1:7" x14ac:dyDescent="0.3">
      <c r="A214" t="s">
        <v>57</v>
      </c>
      <c r="B214">
        <v>20</v>
      </c>
      <c r="C214">
        <v>0.1</v>
      </c>
      <c r="D214">
        <v>0.9</v>
      </c>
      <c r="E214" t="s">
        <v>92</v>
      </c>
      <c r="F214">
        <v>0.92520000000000002</v>
      </c>
      <c r="G214">
        <v>0</v>
      </c>
    </row>
    <row r="215" spans="1:7" x14ac:dyDescent="0.3">
      <c r="A215" t="s">
        <v>57</v>
      </c>
      <c r="B215">
        <v>20</v>
      </c>
      <c r="C215">
        <v>0.1</v>
      </c>
      <c r="D215">
        <v>0.9</v>
      </c>
      <c r="E215" t="s">
        <v>90</v>
      </c>
      <c r="F215">
        <v>0.86209999999999998</v>
      </c>
      <c r="G215">
        <v>0</v>
      </c>
    </row>
    <row r="216" spans="1:7" x14ac:dyDescent="0.3">
      <c r="A216" t="s">
        <v>57</v>
      </c>
      <c r="B216">
        <v>20</v>
      </c>
      <c r="C216">
        <v>0.1</v>
      </c>
      <c r="D216">
        <v>0.9</v>
      </c>
      <c r="E216" t="s">
        <v>86</v>
      </c>
      <c r="F216">
        <v>0.86709999999999998</v>
      </c>
      <c r="G216">
        <v>0</v>
      </c>
    </row>
    <row r="217" spans="1:7" x14ac:dyDescent="0.3">
      <c r="A217" t="s">
        <v>57</v>
      </c>
      <c r="B217">
        <v>20</v>
      </c>
      <c r="C217">
        <v>0.1</v>
      </c>
      <c r="D217">
        <v>0.9</v>
      </c>
      <c r="E217" t="s">
        <v>55</v>
      </c>
      <c r="F217">
        <v>0.95669999999999999</v>
      </c>
      <c r="G217">
        <v>0</v>
      </c>
    </row>
    <row r="218" spans="1:7" x14ac:dyDescent="0.3">
      <c r="A218" t="s">
        <v>31</v>
      </c>
      <c r="B218">
        <v>50</v>
      </c>
      <c r="C218">
        <v>0.1</v>
      </c>
      <c r="D218">
        <v>0.95</v>
      </c>
      <c r="E218" t="s">
        <v>32</v>
      </c>
      <c r="F218">
        <v>0.93170550322260803</v>
      </c>
      <c r="G218">
        <v>1932</v>
      </c>
    </row>
    <row r="219" spans="1:7" x14ac:dyDescent="0.3">
      <c r="A219" t="s">
        <v>31</v>
      </c>
      <c r="B219">
        <v>50</v>
      </c>
      <c r="C219">
        <v>0.1</v>
      </c>
      <c r="D219">
        <v>0.95</v>
      </c>
      <c r="E219" t="s">
        <v>33</v>
      </c>
      <c r="F219">
        <v>0.92528311176760203</v>
      </c>
      <c r="G219">
        <v>1876</v>
      </c>
    </row>
    <row r="220" spans="1:7" x14ac:dyDescent="0.3">
      <c r="A220" t="s">
        <v>31</v>
      </c>
      <c r="B220">
        <v>50</v>
      </c>
      <c r="C220">
        <v>0.1</v>
      </c>
      <c r="D220">
        <v>0.95</v>
      </c>
      <c r="E220" t="s">
        <v>34</v>
      </c>
      <c r="F220">
        <v>0.95625502815768304</v>
      </c>
      <c r="G220">
        <v>56</v>
      </c>
    </row>
    <row r="221" spans="1:7" x14ac:dyDescent="0.3">
      <c r="A221" t="s">
        <v>31</v>
      </c>
      <c r="B221">
        <v>50</v>
      </c>
      <c r="C221">
        <v>0.1</v>
      </c>
      <c r="D221">
        <v>0.95</v>
      </c>
      <c r="E221" t="s">
        <v>88</v>
      </c>
      <c r="F221">
        <v>0.94136907807224002</v>
      </c>
      <c r="G221">
        <v>227</v>
      </c>
    </row>
    <row r="222" spans="1:7" x14ac:dyDescent="0.3">
      <c r="A222" t="s">
        <v>31</v>
      </c>
      <c r="B222">
        <v>50</v>
      </c>
      <c r="C222">
        <v>0.1</v>
      </c>
      <c r="D222">
        <v>0.95</v>
      </c>
      <c r="E222" t="s">
        <v>84</v>
      </c>
      <c r="F222">
        <v>0.94402946894505302</v>
      </c>
      <c r="G222">
        <v>227</v>
      </c>
    </row>
    <row r="223" spans="1:7" x14ac:dyDescent="0.3">
      <c r="A223" t="s">
        <v>31</v>
      </c>
      <c r="B223">
        <v>50</v>
      </c>
      <c r="C223">
        <v>0.1</v>
      </c>
      <c r="D223">
        <v>0.95</v>
      </c>
      <c r="E223" t="s">
        <v>92</v>
      </c>
      <c r="F223">
        <v>0.94152165115337905</v>
      </c>
      <c r="G223">
        <v>116</v>
      </c>
    </row>
    <row r="224" spans="1:7" x14ac:dyDescent="0.3">
      <c r="A224" t="s">
        <v>31</v>
      </c>
      <c r="B224">
        <v>50</v>
      </c>
      <c r="C224">
        <v>0.1</v>
      </c>
      <c r="D224">
        <v>0.95</v>
      </c>
      <c r="E224" t="s">
        <v>90</v>
      </c>
      <c r="F224">
        <v>0.94234289200732202</v>
      </c>
      <c r="G224">
        <v>166</v>
      </c>
    </row>
    <row r="225" spans="1:7" x14ac:dyDescent="0.3">
      <c r="A225" t="s">
        <v>31</v>
      </c>
      <c r="B225">
        <v>50</v>
      </c>
      <c r="C225">
        <v>0.1</v>
      </c>
      <c r="D225">
        <v>0.95</v>
      </c>
      <c r="E225" t="s">
        <v>86</v>
      </c>
      <c r="F225">
        <v>0.94671547691681901</v>
      </c>
      <c r="G225">
        <v>166</v>
      </c>
    </row>
    <row r="226" spans="1:7" x14ac:dyDescent="0.3">
      <c r="A226" t="s">
        <v>31</v>
      </c>
      <c r="B226">
        <v>50</v>
      </c>
      <c r="C226">
        <v>0.1</v>
      </c>
      <c r="D226">
        <v>0.95</v>
      </c>
      <c r="E226" t="s">
        <v>55</v>
      </c>
      <c r="F226">
        <v>0.97030000000000005</v>
      </c>
      <c r="G226">
        <v>0</v>
      </c>
    </row>
    <row r="227" spans="1:7" x14ac:dyDescent="0.3">
      <c r="A227" t="s">
        <v>31</v>
      </c>
      <c r="B227">
        <v>50</v>
      </c>
      <c r="C227">
        <v>0.1</v>
      </c>
      <c r="D227">
        <v>0.9</v>
      </c>
      <c r="E227" t="s">
        <v>32</v>
      </c>
      <c r="F227">
        <v>0.88844819038175504</v>
      </c>
      <c r="G227">
        <v>1932</v>
      </c>
    </row>
    <row r="228" spans="1:7" x14ac:dyDescent="0.3">
      <c r="A228" t="s">
        <v>31</v>
      </c>
      <c r="B228">
        <v>50</v>
      </c>
      <c r="C228">
        <v>0.1</v>
      </c>
      <c r="D228">
        <v>0.9</v>
      </c>
      <c r="E228" t="s">
        <v>33</v>
      </c>
      <c r="F228">
        <v>0.92528311176760203</v>
      </c>
      <c r="G228">
        <v>1876</v>
      </c>
    </row>
    <row r="229" spans="1:7" x14ac:dyDescent="0.3">
      <c r="A229" t="s">
        <v>31</v>
      </c>
      <c r="B229">
        <v>50</v>
      </c>
      <c r="C229">
        <v>0.1</v>
      </c>
      <c r="D229">
        <v>0.9</v>
      </c>
      <c r="E229" t="s">
        <v>34</v>
      </c>
      <c r="F229">
        <v>0.90647626709573603</v>
      </c>
      <c r="G229">
        <v>56</v>
      </c>
    </row>
    <row r="230" spans="1:7" x14ac:dyDescent="0.3">
      <c r="A230" t="s">
        <v>31</v>
      </c>
      <c r="B230">
        <v>50</v>
      </c>
      <c r="C230">
        <v>0.1</v>
      </c>
      <c r="D230">
        <v>0.9</v>
      </c>
      <c r="E230" t="s">
        <v>88</v>
      </c>
      <c r="F230">
        <v>0.90453289675637005</v>
      </c>
      <c r="G230">
        <v>227</v>
      </c>
    </row>
    <row r="231" spans="1:7" x14ac:dyDescent="0.3">
      <c r="A231" t="s">
        <v>31</v>
      </c>
      <c r="B231">
        <v>50</v>
      </c>
      <c r="C231">
        <v>0.1</v>
      </c>
      <c r="D231">
        <v>0.9</v>
      </c>
      <c r="E231" t="s">
        <v>84</v>
      </c>
      <c r="F231">
        <v>0.90760257853269199</v>
      </c>
      <c r="G231">
        <v>227</v>
      </c>
    </row>
    <row r="232" spans="1:7" x14ac:dyDescent="0.3">
      <c r="A232" t="s">
        <v>31</v>
      </c>
      <c r="B232">
        <v>50</v>
      </c>
      <c r="C232">
        <v>0.1</v>
      </c>
      <c r="D232">
        <v>0.9</v>
      </c>
      <c r="E232" t="s">
        <v>92</v>
      </c>
      <c r="F232">
        <v>0.90489680291380004</v>
      </c>
      <c r="G232">
        <v>116</v>
      </c>
    </row>
    <row r="233" spans="1:7" x14ac:dyDescent="0.3">
      <c r="A233" t="s">
        <v>31</v>
      </c>
      <c r="B233">
        <v>50</v>
      </c>
      <c r="C233">
        <v>0.1</v>
      </c>
      <c r="D233">
        <v>0.9</v>
      </c>
      <c r="E233" t="s">
        <v>90</v>
      </c>
      <c r="F233">
        <v>0.92414073622127302</v>
      </c>
      <c r="G233">
        <v>166</v>
      </c>
    </row>
    <row r="234" spans="1:7" x14ac:dyDescent="0.3">
      <c r="A234" t="s">
        <v>31</v>
      </c>
      <c r="B234">
        <v>50</v>
      </c>
      <c r="C234">
        <v>0.1</v>
      </c>
      <c r="D234">
        <v>0.9</v>
      </c>
      <c r="E234" t="s">
        <v>86</v>
      </c>
      <c r="F234">
        <v>0.92739475289810902</v>
      </c>
      <c r="G234">
        <v>166</v>
      </c>
    </row>
    <row r="235" spans="1:7" x14ac:dyDescent="0.3">
      <c r="A235" t="s">
        <v>31</v>
      </c>
      <c r="B235">
        <v>50</v>
      </c>
      <c r="C235">
        <v>0.1</v>
      </c>
      <c r="D235">
        <v>0.9</v>
      </c>
      <c r="E235" t="s">
        <v>55</v>
      </c>
      <c r="F235">
        <v>0.90439999999999998</v>
      </c>
      <c r="G235">
        <v>0</v>
      </c>
    </row>
    <row r="236" spans="1:7" x14ac:dyDescent="0.3">
      <c r="A236" t="s">
        <v>56</v>
      </c>
      <c r="B236">
        <v>50</v>
      </c>
      <c r="C236">
        <v>0.1</v>
      </c>
      <c r="D236">
        <v>0.95</v>
      </c>
      <c r="E236" t="s">
        <v>32</v>
      </c>
      <c r="F236">
        <v>0.93387215282880198</v>
      </c>
      <c r="G236">
        <v>1834</v>
      </c>
    </row>
    <row r="237" spans="1:7" x14ac:dyDescent="0.3">
      <c r="A237" t="s">
        <v>56</v>
      </c>
      <c r="B237">
        <v>50</v>
      </c>
      <c r="C237">
        <v>0.1</v>
      </c>
      <c r="D237">
        <v>0.95</v>
      </c>
      <c r="E237" t="s">
        <v>33</v>
      </c>
      <c r="F237">
        <v>0.926835196888673</v>
      </c>
      <c r="G237">
        <v>1772</v>
      </c>
    </row>
    <row r="238" spans="1:7" x14ac:dyDescent="0.3">
      <c r="A238" t="s">
        <v>56</v>
      </c>
      <c r="B238">
        <v>50</v>
      </c>
      <c r="C238">
        <v>0.1</v>
      </c>
      <c r="D238">
        <v>0.95</v>
      </c>
      <c r="E238" t="s">
        <v>34</v>
      </c>
      <c r="F238">
        <v>0.95612799356007205</v>
      </c>
      <c r="G238">
        <v>62</v>
      </c>
    </row>
    <row r="239" spans="1:7" x14ac:dyDescent="0.3">
      <c r="A239" t="s">
        <v>56</v>
      </c>
      <c r="B239">
        <v>50</v>
      </c>
      <c r="C239">
        <v>0.1</v>
      </c>
      <c r="D239">
        <v>0.95</v>
      </c>
      <c r="E239" t="s">
        <v>88</v>
      </c>
      <c r="F239">
        <v>0.94264288609647295</v>
      </c>
      <c r="G239">
        <v>132</v>
      </c>
    </row>
    <row r="240" spans="1:7" x14ac:dyDescent="0.3">
      <c r="A240" t="s">
        <v>56</v>
      </c>
      <c r="B240">
        <v>50</v>
      </c>
      <c r="C240">
        <v>0.1</v>
      </c>
      <c r="D240">
        <v>0.95</v>
      </c>
      <c r="E240" t="s">
        <v>84</v>
      </c>
      <c r="F240">
        <v>0.94669639237940795</v>
      </c>
      <c r="G240">
        <v>132</v>
      </c>
    </row>
    <row r="241" spans="1:7" x14ac:dyDescent="0.3">
      <c r="A241" t="s">
        <v>56</v>
      </c>
      <c r="B241">
        <v>50</v>
      </c>
      <c r="C241">
        <v>0.1</v>
      </c>
      <c r="D241">
        <v>0.95</v>
      </c>
      <c r="E241" t="s">
        <v>92</v>
      </c>
      <c r="F241">
        <v>0.94447803305118905</v>
      </c>
      <c r="G241">
        <v>76</v>
      </c>
    </row>
    <row r="242" spans="1:7" x14ac:dyDescent="0.3">
      <c r="A242" t="s">
        <v>56</v>
      </c>
      <c r="B242">
        <v>50</v>
      </c>
      <c r="C242">
        <v>0.1</v>
      </c>
      <c r="D242">
        <v>0.95</v>
      </c>
      <c r="E242" t="s">
        <v>90</v>
      </c>
      <c r="F242">
        <v>0.94578495709237798</v>
      </c>
      <c r="G242">
        <v>95</v>
      </c>
    </row>
    <row r="243" spans="1:7" x14ac:dyDescent="0.3">
      <c r="A243" t="s">
        <v>56</v>
      </c>
      <c r="B243">
        <v>50</v>
      </c>
      <c r="C243">
        <v>0.1</v>
      </c>
      <c r="D243">
        <v>0.95</v>
      </c>
      <c r="E243" t="s">
        <v>86</v>
      </c>
      <c r="F243">
        <v>0.95002523977789</v>
      </c>
      <c r="G243">
        <v>95</v>
      </c>
    </row>
    <row r="244" spans="1:7" x14ac:dyDescent="0.3">
      <c r="A244" t="s">
        <v>56</v>
      </c>
      <c r="B244">
        <v>50</v>
      </c>
      <c r="C244">
        <v>0.1</v>
      </c>
      <c r="D244">
        <v>0.95</v>
      </c>
      <c r="E244" t="s">
        <v>55</v>
      </c>
      <c r="F244">
        <v>0.96740000000000004</v>
      </c>
      <c r="G244">
        <v>0</v>
      </c>
    </row>
    <row r="245" spans="1:7" x14ac:dyDescent="0.3">
      <c r="A245" t="s">
        <v>56</v>
      </c>
      <c r="B245">
        <v>50</v>
      </c>
      <c r="C245">
        <v>0.1</v>
      </c>
      <c r="D245">
        <v>0.9</v>
      </c>
      <c r="E245" t="s">
        <v>32</v>
      </c>
      <c r="F245">
        <v>0.89395052657359797</v>
      </c>
      <c r="G245">
        <v>1834</v>
      </c>
    </row>
    <row r="246" spans="1:7" x14ac:dyDescent="0.3">
      <c r="A246" t="s">
        <v>56</v>
      </c>
      <c r="B246">
        <v>50</v>
      </c>
      <c r="C246">
        <v>0.1</v>
      </c>
      <c r="D246">
        <v>0.9</v>
      </c>
      <c r="E246" t="s">
        <v>33</v>
      </c>
      <c r="F246">
        <v>0.926835196888673</v>
      </c>
      <c r="G246">
        <v>1772</v>
      </c>
    </row>
    <row r="247" spans="1:7" x14ac:dyDescent="0.3">
      <c r="A247" t="s">
        <v>56</v>
      </c>
      <c r="B247">
        <v>50</v>
      </c>
      <c r="C247">
        <v>0.1</v>
      </c>
      <c r="D247">
        <v>0.9</v>
      </c>
      <c r="E247" t="s">
        <v>34</v>
      </c>
      <c r="F247">
        <v>0.91296035419601496</v>
      </c>
      <c r="G247">
        <v>62</v>
      </c>
    </row>
    <row r="248" spans="1:7" x14ac:dyDescent="0.3">
      <c r="A248" t="s">
        <v>56</v>
      </c>
      <c r="B248">
        <v>50</v>
      </c>
      <c r="C248">
        <v>0.1</v>
      </c>
      <c r="D248">
        <v>0.9</v>
      </c>
      <c r="E248" t="s">
        <v>88</v>
      </c>
      <c r="F248">
        <v>0.90869477097689499</v>
      </c>
      <c r="G248">
        <v>132</v>
      </c>
    </row>
    <row r="249" spans="1:7" x14ac:dyDescent="0.3">
      <c r="A249" t="s">
        <v>56</v>
      </c>
      <c r="B249">
        <v>50</v>
      </c>
      <c r="C249">
        <v>0.1</v>
      </c>
      <c r="D249">
        <v>0.9</v>
      </c>
      <c r="E249" t="s">
        <v>84</v>
      </c>
      <c r="F249">
        <v>0.91193757600324299</v>
      </c>
      <c r="G249">
        <v>132</v>
      </c>
    </row>
    <row r="250" spans="1:7" x14ac:dyDescent="0.3">
      <c r="A250" t="s">
        <v>56</v>
      </c>
      <c r="B250">
        <v>50</v>
      </c>
      <c r="C250">
        <v>0.1</v>
      </c>
      <c r="D250">
        <v>0.9</v>
      </c>
      <c r="E250" t="s">
        <v>92</v>
      </c>
      <c r="F250">
        <v>0.90880693268843205</v>
      </c>
      <c r="G250">
        <v>76</v>
      </c>
    </row>
    <row r="251" spans="1:7" x14ac:dyDescent="0.3">
      <c r="A251" t="s">
        <v>56</v>
      </c>
      <c r="B251">
        <v>50</v>
      </c>
      <c r="C251">
        <v>0.1</v>
      </c>
      <c r="D251">
        <v>0.9</v>
      </c>
      <c r="E251" t="s">
        <v>90</v>
      </c>
      <c r="F251">
        <v>0.92488642099949503</v>
      </c>
      <c r="G251">
        <v>95</v>
      </c>
    </row>
    <row r="252" spans="1:7" x14ac:dyDescent="0.3">
      <c r="A252" t="s">
        <v>56</v>
      </c>
      <c r="B252">
        <v>50</v>
      </c>
      <c r="C252">
        <v>0.1</v>
      </c>
      <c r="D252">
        <v>0.9</v>
      </c>
      <c r="E252" t="s">
        <v>86</v>
      </c>
      <c r="F252">
        <v>0.92730943967693102</v>
      </c>
      <c r="G252">
        <v>95</v>
      </c>
    </row>
    <row r="253" spans="1:7" x14ac:dyDescent="0.3">
      <c r="A253" t="s">
        <v>56</v>
      </c>
      <c r="B253">
        <v>50</v>
      </c>
      <c r="C253">
        <v>0.1</v>
      </c>
      <c r="D253">
        <v>0.9</v>
      </c>
      <c r="E253" t="s">
        <v>55</v>
      </c>
      <c r="F253">
        <v>0.90720000000000001</v>
      </c>
      <c r="G253">
        <v>0</v>
      </c>
    </row>
    <row r="254" spans="1:7" x14ac:dyDescent="0.3">
      <c r="A254" t="s">
        <v>57</v>
      </c>
      <c r="B254">
        <v>50</v>
      </c>
      <c r="C254">
        <v>0.1</v>
      </c>
      <c r="D254">
        <v>0.95</v>
      </c>
      <c r="E254" t="s">
        <v>32</v>
      </c>
      <c r="F254">
        <v>0.93237907206317905</v>
      </c>
      <c r="G254">
        <v>1896</v>
      </c>
    </row>
    <row r="255" spans="1:7" x14ac:dyDescent="0.3">
      <c r="A255" t="s">
        <v>57</v>
      </c>
      <c r="B255">
        <v>50</v>
      </c>
      <c r="C255">
        <v>0.1</v>
      </c>
      <c r="D255">
        <v>0.95</v>
      </c>
      <c r="E255" t="s">
        <v>33</v>
      </c>
      <c r="F255">
        <v>0.92711656441717805</v>
      </c>
      <c r="G255">
        <v>1850</v>
      </c>
    </row>
    <row r="256" spans="1:7" x14ac:dyDescent="0.3">
      <c r="A256" t="s">
        <v>57</v>
      </c>
      <c r="B256">
        <v>50</v>
      </c>
      <c r="C256">
        <v>0.1</v>
      </c>
      <c r="D256">
        <v>0.95</v>
      </c>
      <c r="E256" t="s">
        <v>34</v>
      </c>
      <c r="F256">
        <v>0.95459111914808104</v>
      </c>
      <c r="G256">
        <v>46</v>
      </c>
    </row>
    <row r="257" spans="1:7" x14ac:dyDescent="0.3">
      <c r="A257" t="s">
        <v>57</v>
      </c>
      <c r="B257">
        <v>50</v>
      </c>
      <c r="C257">
        <v>0.1</v>
      </c>
      <c r="D257">
        <v>0.95</v>
      </c>
      <c r="E257" t="s">
        <v>88</v>
      </c>
      <c r="F257">
        <v>0.94413855240764799</v>
      </c>
      <c r="G257">
        <v>11</v>
      </c>
    </row>
    <row r="258" spans="1:7" x14ac:dyDescent="0.3">
      <c r="A258" t="s">
        <v>57</v>
      </c>
      <c r="B258">
        <v>50</v>
      </c>
      <c r="C258">
        <v>0.1</v>
      </c>
      <c r="D258">
        <v>0.95</v>
      </c>
      <c r="E258" t="s">
        <v>84</v>
      </c>
      <c r="F258">
        <v>0.94834317749524499</v>
      </c>
      <c r="G258">
        <v>11</v>
      </c>
    </row>
    <row r="259" spans="1:7" x14ac:dyDescent="0.3">
      <c r="A259" t="s">
        <v>57</v>
      </c>
      <c r="B259">
        <v>50</v>
      </c>
      <c r="C259">
        <v>0.1</v>
      </c>
      <c r="D259">
        <v>0.95</v>
      </c>
      <c r="E259" t="s">
        <v>92</v>
      </c>
      <c r="F259">
        <v>0.95689999999999997</v>
      </c>
      <c r="G259">
        <v>0</v>
      </c>
    </row>
    <row r="260" spans="1:7" x14ac:dyDescent="0.3">
      <c r="A260" t="s">
        <v>57</v>
      </c>
      <c r="B260">
        <v>50</v>
      </c>
      <c r="C260">
        <v>0.1</v>
      </c>
      <c r="D260">
        <v>0.95</v>
      </c>
      <c r="E260" t="s">
        <v>90</v>
      </c>
      <c r="F260">
        <v>0.95069999999999999</v>
      </c>
      <c r="G260">
        <v>0</v>
      </c>
    </row>
    <row r="261" spans="1:7" x14ac:dyDescent="0.3">
      <c r="A261" t="s">
        <v>57</v>
      </c>
      <c r="B261">
        <v>50</v>
      </c>
      <c r="C261">
        <v>0.1</v>
      </c>
      <c r="D261">
        <v>0.95</v>
      </c>
      <c r="E261" t="s">
        <v>86</v>
      </c>
      <c r="F261">
        <v>0.95669999999999999</v>
      </c>
      <c r="G261">
        <v>0</v>
      </c>
    </row>
    <row r="262" spans="1:7" x14ac:dyDescent="0.3">
      <c r="A262" t="s">
        <v>57</v>
      </c>
      <c r="B262">
        <v>50</v>
      </c>
      <c r="C262">
        <v>0.1</v>
      </c>
      <c r="D262">
        <v>0.95</v>
      </c>
      <c r="E262" t="s">
        <v>55</v>
      </c>
      <c r="F262">
        <v>0.9677</v>
      </c>
      <c r="G262">
        <v>0</v>
      </c>
    </row>
    <row r="263" spans="1:7" x14ac:dyDescent="0.3">
      <c r="A263" t="s">
        <v>57</v>
      </c>
      <c r="B263">
        <v>50</v>
      </c>
      <c r="C263">
        <v>0.1</v>
      </c>
      <c r="D263">
        <v>0.9</v>
      </c>
      <c r="E263" t="s">
        <v>32</v>
      </c>
      <c r="F263">
        <v>0.88857354392892396</v>
      </c>
      <c r="G263">
        <v>1896</v>
      </c>
    </row>
    <row r="264" spans="1:7" x14ac:dyDescent="0.3">
      <c r="A264" t="s">
        <v>57</v>
      </c>
      <c r="B264">
        <v>50</v>
      </c>
      <c r="C264">
        <v>0.1</v>
      </c>
      <c r="D264">
        <v>0.9</v>
      </c>
      <c r="E264" t="s">
        <v>33</v>
      </c>
      <c r="F264">
        <v>0.92711656441717805</v>
      </c>
      <c r="G264">
        <v>1850</v>
      </c>
    </row>
    <row r="265" spans="1:7" x14ac:dyDescent="0.3">
      <c r="A265" t="s">
        <v>57</v>
      </c>
      <c r="B265">
        <v>50</v>
      </c>
      <c r="C265">
        <v>0.1</v>
      </c>
      <c r="D265">
        <v>0.9</v>
      </c>
      <c r="E265" t="s">
        <v>34</v>
      </c>
      <c r="F265">
        <v>0.91018685955394796</v>
      </c>
      <c r="G265">
        <v>46</v>
      </c>
    </row>
    <row r="266" spans="1:7" x14ac:dyDescent="0.3">
      <c r="A266" t="s">
        <v>57</v>
      </c>
      <c r="B266">
        <v>50</v>
      </c>
      <c r="C266">
        <v>0.1</v>
      </c>
      <c r="D266">
        <v>0.9</v>
      </c>
      <c r="E266" t="s">
        <v>88</v>
      </c>
      <c r="F266">
        <v>0.89718690559615599</v>
      </c>
      <c r="G266">
        <v>11</v>
      </c>
    </row>
    <row r="267" spans="1:7" x14ac:dyDescent="0.3">
      <c r="A267" t="s">
        <v>57</v>
      </c>
      <c r="B267">
        <v>50</v>
      </c>
      <c r="C267">
        <v>0.1</v>
      </c>
      <c r="D267">
        <v>0.9</v>
      </c>
      <c r="E267" t="s">
        <v>84</v>
      </c>
      <c r="F267">
        <v>0.90529582540794895</v>
      </c>
      <c r="G267">
        <v>11</v>
      </c>
    </row>
    <row r="268" spans="1:7" x14ac:dyDescent="0.3">
      <c r="A268" t="s">
        <v>57</v>
      </c>
      <c r="B268">
        <v>50</v>
      </c>
      <c r="C268">
        <v>0.1</v>
      </c>
      <c r="D268">
        <v>0.9</v>
      </c>
      <c r="E268" t="s">
        <v>92</v>
      </c>
      <c r="F268">
        <v>0.91869999999999996</v>
      </c>
      <c r="G268">
        <v>0</v>
      </c>
    </row>
    <row r="269" spans="1:7" x14ac:dyDescent="0.3">
      <c r="A269" t="s">
        <v>57</v>
      </c>
      <c r="B269">
        <v>50</v>
      </c>
      <c r="C269">
        <v>0.1</v>
      </c>
      <c r="D269">
        <v>0.9</v>
      </c>
      <c r="E269" t="s">
        <v>90</v>
      </c>
      <c r="F269">
        <v>0.91039999999999999</v>
      </c>
      <c r="G269">
        <v>0</v>
      </c>
    </row>
    <row r="270" spans="1:7" x14ac:dyDescent="0.3">
      <c r="A270" t="s">
        <v>57</v>
      </c>
      <c r="B270">
        <v>50</v>
      </c>
      <c r="C270">
        <v>0.1</v>
      </c>
      <c r="D270">
        <v>0.9</v>
      </c>
      <c r="E270" t="s">
        <v>86</v>
      </c>
      <c r="F270">
        <v>0.91839999999999999</v>
      </c>
      <c r="G270">
        <v>0</v>
      </c>
    </row>
    <row r="271" spans="1:7" x14ac:dyDescent="0.3">
      <c r="A271" t="s">
        <v>57</v>
      </c>
      <c r="B271">
        <v>50</v>
      </c>
      <c r="C271">
        <v>0.1</v>
      </c>
      <c r="D271">
        <v>0.9</v>
      </c>
      <c r="E271" t="s">
        <v>55</v>
      </c>
      <c r="F271">
        <v>0.90510000000000002</v>
      </c>
      <c r="G271">
        <v>0</v>
      </c>
    </row>
    <row r="272" spans="1:7" x14ac:dyDescent="0.3">
      <c r="A272" t="s">
        <v>31</v>
      </c>
      <c r="B272">
        <v>100</v>
      </c>
      <c r="C272">
        <v>0.1</v>
      </c>
      <c r="D272">
        <v>0.95</v>
      </c>
      <c r="E272" t="s">
        <v>32</v>
      </c>
      <c r="F272">
        <v>0.94663017447827602</v>
      </c>
      <c r="G272">
        <v>1231</v>
      </c>
    </row>
    <row r="273" spans="1:7" x14ac:dyDescent="0.3">
      <c r="A273" t="s">
        <v>31</v>
      </c>
      <c r="B273">
        <v>100</v>
      </c>
      <c r="C273">
        <v>0.1</v>
      </c>
      <c r="D273">
        <v>0.95</v>
      </c>
      <c r="E273" t="s">
        <v>33</v>
      </c>
      <c r="F273">
        <v>0.94663017447827602</v>
      </c>
      <c r="G273">
        <v>1231</v>
      </c>
    </row>
    <row r="274" spans="1:7" x14ac:dyDescent="0.3">
      <c r="A274" t="s">
        <v>31</v>
      </c>
      <c r="B274">
        <v>100</v>
      </c>
      <c r="C274">
        <v>0.1</v>
      </c>
      <c r="D274">
        <v>0.95</v>
      </c>
      <c r="E274" t="s">
        <v>34</v>
      </c>
      <c r="F274">
        <v>0.94879999999999998</v>
      </c>
      <c r="G274">
        <v>0</v>
      </c>
    </row>
    <row r="275" spans="1:7" x14ac:dyDescent="0.3">
      <c r="A275" t="s">
        <v>31</v>
      </c>
      <c r="B275">
        <v>100</v>
      </c>
      <c r="C275">
        <v>0.1</v>
      </c>
      <c r="D275">
        <v>0.95</v>
      </c>
      <c r="E275" t="s">
        <v>88</v>
      </c>
      <c r="F275">
        <v>0.95033951555690699</v>
      </c>
      <c r="G275">
        <v>133</v>
      </c>
    </row>
    <row r="276" spans="1:7" x14ac:dyDescent="0.3">
      <c r="A276" t="s">
        <v>31</v>
      </c>
      <c r="B276">
        <v>100</v>
      </c>
      <c r="C276">
        <v>0.1</v>
      </c>
      <c r="D276">
        <v>0.95</v>
      </c>
      <c r="E276" t="s">
        <v>84</v>
      </c>
      <c r="F276">
        <v>0.95054221141177697</v>
      </c>
      <c r="G276">
        <v>133</v>
      </c>
    </row>
    <row r="277" spans="1:7" x14ac:dyDescent="0.3">
      <c r="A277" t="s">
        <v>31</v>
      </c>
      <c r="B277">
        <v>100</v>
      </c>
      <c r="C277">
        <v>0.1</v>
      </c>
      <c r="D277">
        <v>0.95</v>
      </c>
      <c r="E277" t="s">
        <v>92</v>
      </c>
      <c r="F277">
        <v>0.95121212121212095</v>
      </c>
      <c r="G277">
        <v>100</v>
      </c>
    </row>
    <row r="278" spans="1:7" x14ac:dyDescent="0.3">
      <c r="A278" t="s">
        <v>31</v>
      </c>
      <c r="B278">
        <v>100</v>
      </c>
      <c r="C278">
        <v>0.1</v>
      </c>
      <c r="D278">
        <v>0.95</v>
      </c>
      <c r="E278" t="s">
        <v>90</v>
      </c>
      <c r="F278">
        <v>0.95168152350081003</v>
      </c>
      <c r="G278">
        <v>128</v>
      </c>
    </row>
    <row r="279" spans="1:7" x14ac:dyDescent="0.3">
      <c r="A279" t="s">
        <v>31</v>
      </c>
      <c r="B279">
        <v>100</v>
      </c>
      <c r="C279">
        <v>0.1</v>
      </c>
      <c r="D279">
        <v>0.95</v>
      </c>
      <c r="E279" t="s">
        <v>86</v>
      </c>
      <c r="F279">
        <v>0.95208670988654798</v>
      </c>
      <c r="G279">
        <v>128</v>
      </c>
    </row>
    <row r="280" spans="1:7" x14ac:dyDescent="0.3">
      <c r="A280" t="s">
        <v>31</v>
      </c>
      <c r="B280">
        <v>100</v>
      </c>
      <c r="C280">
        <v>0.1</v>
      </c>
      <c r="D280">
        <v>0.95</v>
      </c>
      <c r="E280" t="s">
        <v>55</v>
      </c>
      <c r="F280">
        <v>0.95320000000000005</v>
      </c>
      <c r="G280">
        <v>0</v>
      </c>
    </row>
    <row r="281" spans="1:7" x14ac:dyDescent="0.3">
      <c r="A281" t="s">
        <v>31</v>
      </c>
      <c r="B281">
        <v>100</v>
      </c>
      <c r="C281">
        <v>0.1</v>
      </c>
      <c r="D281">
        <v>0.9</v>
      </c>
      <c r="E281" t="s">
        <v>32</v>
      </c>
      <c r="F281">
        <v>0.88197057817310998</v>
      </c>
      <c r="G281">
        <v>1231</v>
      </c>
    </row>
    <row r="282" spans="1:7" x14ac:dyDescent="0.3">
      <c r="A282" t="s">
        <v>31</v>
      </c>
      <c r="B282">
        <v>100</v>
      </c>
      <c r="C282">
        <v>0.1</v>
      </c>
      <c r="D282">
        <v>0.9</v>
      </c>
      <c r="E282" t="s">
        <v>33</v>
      </c>
      <c r="F282">
        <v>0.88197057817310998</v>
      </c>
      <c r="G282">
        <v>1231</v>
      </c>
    </row>
    <row r="283" spans="1:7" x14ac:dyDescent="0.3">
      <c r="A283" t="s">
        <v>31</v>
      </c>
      <c r="B283">
        <v>100</v>
      </c>
      <c r="C283">
        <v>0.1</v>
      </c>
      <c r="D283">
        <v>0.9</v>
      </c>
      <c r="E283" t="s">
        <v>34</v>
      </c>
      <c r="F283">
        <v>0.89429999999999998</v>
      </c>
      <c r="G283">
        <v>0</v>
      </c>
    </row>
    <row r="284" spans="1:7" x14ac:dyDescent="0.3">
      <c r="A284" t="s">
        <v>31</v>
      </c>
      <c r="B284">
        <v>100</v>
      </c>
      <c r="C284">
        <v>0.1</v>
      </c>
      <c r="D284">
        <v>0.9</v>
      </c>
      <c r="E284" t="s">
        <v>88</v>
      </c>
      <c r="F284">
        <v>0.890949630080065</v>
      </c>
      <c r="G284">
        <v>133</v>
      </c>
    </row>
    <row r="285" spans="1:7" x14ac:dyDescent="0.3">
      <c r="A285" t="s">
        <v>31</v>
      </c>
      <c r="B285">
        <v>100</v>
      </c>
      <c r="C285">
        <v>0.1</v>
      </c>
      <c r="D285">
        <v>0.9</v>
      </c>
      <c r="E285" t="s">
        <v>84</v>
      </c>
      <c r="F285">
        <v>0.89165906557210906</v>
      </c>
      <c r="G285">
        <v>133</v>
      </c>
    </row>
    <row r="286" spans="1:7" x14ac:dyDescent="0.3">
      <c r="A286" t="s">
        <v>31</v>
      </c>
      <c r="B286">
        <v>100</v>
      </c>
      <c r="C286">
        <v>0.1</v>
      </c>
      <c r="D286">
        <v>0.9</v>
      </c>
      <c r="E286" t="s">
        <v>92</v>
      </c>
      <c r="F286">
        <v>0.89252525252525206</v>
      </c>
      <c r="G286">
        <v>100</v>
      </c>
    </row>
    <row r="287" spans="1:7" x14ac:dyDescent="0.3">
      <c r="A287" t="s">
        <v>31</v>
      </c>
      <c r="B287">
        <v>100</v>
      </c>
      <c r="C287">
        <v>0.1</v>
      </c>
      <c r="D287">
        <v>0.9</v>
      </c>
      <c r="E287" t="s">
        <v>90</v>
      </c>
      <c r="F287">
        <v>0.89384116693679105</v>
      </c>
      <c r="G287">
        <v>128</v>
      </c>
    </row>
    <row r="288" spans="1:7" x14ac:dyDescent="0.3">
      <c r="A288" t="s">
        <v>31</v>
      </c>
      <c r="B288">
        <v>100</v>
      </c>
      <c r="C288">
        <v>0.1</v>
      </c>
      <c r="D288">
        <v>0.9</v>
      </c>
      <c r="E288" t="s">
        <v>86</v>
      </c>
      <c r="F288">
        <v>0.895056726094003</v>
      </c>
      <c r="G288">
        <v>128</v>
      </c>
    </row>
    <row r="289" spans="1:7" x14ac:dyDescent="0.3">
      <c r="A289" t="s">
        <v>31</v>
      </c>
      <c r="B289">
        <v>100</v>
      </c>
      <c r="C289">
        <v>0.1</v>
      </c>
      <c r="D289">
        <v>0.9</v>
      </c>
      <c r="E289" t="s">
        <v>55</v>
      </c>
      <c r="F289">
        <v>0.90090000000000003</v>
      </c>
      <c r="G289">
        <v>0</v>
      </c>
    </row>
    <row r="290" spans="1:7" x14ac:dyDescent="0.3">
      <c r="A290" t="s">
        <v>56</v>
      </c>
      <c r="B290">
        <v>100</v>
      </c>
      <c r="C290">
        <v>0.1</v>
      </c>
      <c r="D290">
        <v>0.95</v>
      </c>
      <c r="E290" t="s">
        <v>32</v>
      </c>
      <c r="F290">
        <v>0.95020126509488201</v>
      </c>
      <c r="G290">
        <v>1305</v>
      </c>
    </row>
    <row r="291" spans="1:7" x14ac:dyDescent="0.3">
      <c r="A291" t="s">
        <v>56</v>
      </c>
      <c r="B291">
        <v>100</v>
      </c>
      <c r="C291">
        <v>0.1</v>
      </c>
      <c r="D291">
        <v>0.95</v>
      </c>
      <c r="E291" t="s">
        <v>33</v>
      </c>
      <c r="F291">
        <v>0.95020126509488201</v>
      </c>
      <c r="G291">
        <v>1305</v>
      </c>
    </row>
    <row r="292" spans="1:7" x14ac:dyDescent="0.3">
      <c r="A292" t="s">
        <v>56</v>
      </c>
      <c r="B292">
        <v>100</v>
      </c>
      <c r="C292">
        <v>0.1</v>
      </c>
      <c r="D292">
        <v>0.95</v>
      </c>
      <c r="E292" t="s">
        <v>34</v>
      </c>
      <c r="F292">
        <v>0.95209999999999995</v>
      </c>
      <c r="G292">
        <v>0</v>
      </c>
    </row>
    <row r="293" spans="1:7" x14ac:dyDescent="0.3">
      <c r="A293" t="s">
        <v>56</v>
      </c>
      <c r="B293">
        <v>100</v>
      </c>
      <c r="C293">
        <v>0.1</v>
      </c>
      <c r="D293">
        <v>0.95</v>
      </c>
      <c r="E293" t="s">
        <v>88</v>
      </c>
      <c r="F293">
        <v>0.95222255820985802</v>
      </c>
      <c r="G293">
        <v>79</v>
      </c>
    </row>
    <row r="294" spans="1:7" x14ac:dyDescent="0.3">
      <c r="A294" t="s">
        <v>56</v>
      </c>
      <c r="B294">
        <v>100</v>
      </c>
      <c r="C294">
        <v>0.1</v>
      </c>
      <c r="D294">
        <v>0.95</v>
      </c>
      <c r="E294" t="s">
        <v>84</v>
      </c>
      <c r="F294">
        <v>0.95312972482612601</v>
      </c>
      <c r="G294">
        <v>79</v>
      </c>
    </row>
    <row r="295" spans="1:7" x14ac:dyDescent="0.3">
      <c r="A295" t="s">
        <v>56</v>
      </c>
      <c r="B295">
        <v>100</v>
      </c>
      <c r="C295">
        <v>0.1</v>
      </c>
      <c r="D295">
        <v>0.95</v>
      </c>
      <c r="E295" t="s">
        <v>92</v>
      </c>
      <c r="F295">
        <v>0.95436687821094002</v>
      </c>
      <c r="G295">
        <v>73</v>
      </c>
    </row>
    <row r="296" spans="1:7" x14ac:dyDescent="0.3">
      <c r="A296" t="s">
        <v>56</v>
      </c>
      <c r="B296">
        <v>100</v>
      </c>
      <c r="C296">
        <v>0.1</v>
      </c>
      <c r="D296">
        <v>0.95</v>
      </c>
      <c r="E296" t="s">
        <v>90</v>
      </c>
      <c r="F296">
        <v>0.95541465378421897</v>
      </c>
      <c r="G296">
        <v>64</v>
      </c>
    </row>
    <row r="297" spans="1:7" x14ac:dyDescent="0.3">
      <c r="A297" t="s">
        <v>56</v>
      </c>
      <c r="B297">
        <v>100</v>
      </c>
      <c r="C297">
        <v>0.1</v>
      </c>
      <c r="D297">
        <v>0.95</v>
      </c>
      <c r="E297" t="s">
        <v>86</v>
      </c>
      <c r="F297">
        <v>0.95611916264090202</v>
      </c>
      <c r="G297">
        <v>64</v>
      </c>
    </row>
    <row r="298" spans="1:7" x14ac:dyDescent="0.3">
      <c r="A298" t="s">
        <v>56</v>
      </c>
      <c r="B298">
        <v>100</v>
      </c>
      <c r="C298">
        <v>0.1</v>
      </c>
      <c r="D298">
        <v>0.95</v>
      </c>
      <c r="E298" t="s">
        <v>55</v>
      </c>
      <c r="F298">
        <v>0.95669999999999999</v>
      </c>
      <c r="G298">
        <v>0</v>
      </c>
    </row>
    <row r="299" spans="1:7" x14ac:dyDescent="0.3">
      <c r="A299" t="s">
        <v>56</v>
      </c>
      <c r="B299">
        <v>100</v>
      </c>
      <c r="C299">
        <v>0.1</v>
      </c>
      <c r="D299">
        <v>0.9</v>
      </c>
      <c r="E299" t="s">
        <v>32</v>
      </c>
      <c r="F299">
        <v>0.88752156411730898</v>
      </c>
      <c r="G299">
        <v>1305</v>
      </c>
    </row>
    <row r="300" spans="1:7" x14ac:dyDescent="0.3">
      <c r="A300" t="s">
        <v>56</v>
      </c>
      <c r="B300">
        <v>100</v>
      </c>
      <c r="C300">
        <v>0.1</v>
      </c>
      <c r="D300">
        <v>0.9</v>
      </c>
      <c r="E300" t="s">
        <v>33</v>
      </c>
      <c r="F300">
        <v>0.88752156411730898</v>
      </c>
      <c r="G300">
        <v>1305</v>
      </c>
    </row>
    <row r="301" spans="1:7" x14ac:dyDescent="0.3">
      <c r="A301" t="s">
        <v>56</v>
      </c>
      <c r="B301">
        <v>100</v>
      </c>
      <c r="C301">
        <v>0.1</v>
      </c>
      <c r="D301">
        <v>0.9</v>
      </c>
      <c r="E301" t="s">
        <v>34</v>
      </c>
      <c r="F301">
        <v>0.9</v>
      </c>
      <c r="G301">
        <v>0</v>
      </c>
    </row>
    <row r="302" spans="1:7" x14ac:dyDescent="0.3">
      <c r="A302" t="s">
        <v>56</v>
      </c>
      <c r="B302">
        <v>100</v>
      </c>
      <c r="C302">
        <v>0.1</v>
      </c>
      <c r="D302">
        <v>0.9</v>
      </c>
      <c r="E302" t="s">
        <v>88</v>
      </c>
      <c r="F302">
        <v>0.89708698719887103</v>
      </c>
      <c r="G302">
        <v>79</v>
      </c>
    </row>
    <row r="303" spans="1:7" x14ac:dyDescent="0.3">
      <c r="A303" t="s">
        <v>56</v>
      </c>
      <c r="B303">
        <v>100</v>
      </c>
      <c r="C303">
        <v>0.1</v>
      </c>
      <c r="D303">
        <v>0.9</v>
      </c>
      <c r="E303" t="s">
        <v>84</v>
      </c>
      <c r="F303">
        <v>0.89869972785001495</v>
      </c>
      <c r="G303">
        <v>79</v>
      </c>
    </row>
    <row r="304" spans="1:7" x14ac:dyDescent="0.3">
      <c r="A304" t="s">
        <v>56</v>
      </c>
      <c r="B304">
        <v>100</v>
      </c>
      <c r="C304">
        <v>0.1</v>
      </c>
      <c r="D304">
        <v>0.9</v>
      </c>
      <c r="E304" t="s">
        <v>92</v>
      </c>
      <c r="F304">
        <v>0.90007051475773103</v>
      </c>
      <c r="G304">
        <v>73</v>
      </c>
    </row>
    <row r="305" spans="1:7" x14ac:dyDescent="0.3">
      <c r="A305" t="s">
        <v>56</v>
      </c>
      <c r="B305">
        <v>100</v>
      </c>
      <c r="C305">
        <v>0.1</v>
      </c>
      <c r="D305">
        <v>0.9</v>
      </c>
      <c r="E305" t="s">
        <v>90</v>
      </c>
      <c r="F305">
        <v>0.90096618357487901</v>
      </c>
      <c r="G305">
        <v>64</v>
      </c>
    </row>
    <row r="306" spans="1:7" x14ac:dyDescent="0.3">
      <c r="A306" t="s">
        <v>56</v>
      </c>
      <c r="B306">
        <v>100</v>
      </c>
      <c r="C306">
        <v>0.1</v>
      </c>
      <c r="D306">
        <v>0.9</v>
      </c>
      <c r="E306" t="s">
        <v>86</v>
      </c>
      <c r="F306">
        <v>0.90267713365539404</v>
      </c>
      <c r="G306">
        <v>64</v>
      </c>
    </row>
    <row r="307" spans="1:7" x14ac:dyDescent="0.3">
      <c r="A307" t="s">
        <v>56</v>
      </c>
      <c r="B307">
        <v>100</v>
      </c>
      <c r="C307">
        <v>0.1</v>
      </c>
      <c r="D307">
        <v>0.9</v>
      </c>
      <c r="E307" t="s">
        <v>55</v>
      </c>
      <c r="F307">
        <v>0.90459999999999996</v>
      </c>
      <c r="G307">
        <v>0</v>
      </c>
    </row>
    <row r="308" spans="1:7" x14ac:dyDescent="0.3">
      <c r="A308" t="s">
        <v>57</v>
      </c>
      <c r="B308">
        <v>100</v>
      </c>
      <c r="C308">
        <v>0.1</v>
      </c>
      <c r="D308">
        <v>0.95</v>
      </c>
      <c r="E308" t="s">
        <v>32</v>
      </c>
      <c r="F308">
        <v>0.94703584558823495</v>
      </c>
      <c r="G308">
        <v>1296</v>
      </c>
    </row>
    <row r="309" spans="1:7" x14ac:dyDescent="0.3">
      <c r="A309" t="s">
        <v>57</v>
      </c>
      <c r="B309">
        <v>100</v>
      </c>
      <c r="C309">
        <v>0.1</v>
      </c>
      <c r="D309">
        <v>0.95</v>
      </c>
      <c r="E309" t="s">
        <v>33</v>
      </c>
      <c r="F309">
        <v>0.94703584558823495</v>
      </c>
      <c r="G309">
        <v>1296</v>
      </c>
    </row>
    <row r="310" spans="1:7" x14ac:dyDescent="0.3">
      <c r="A310" t="s">
        <v>57</v>
      </c>
      <c r="B310">
        <v>100</v>
      </c>
      <c r="C310">
        <v>0.1</v>
      </c>
      <c r="D310">
        <v>0.95</v>
      </c>
      <c r="E310" t="s">
        <v>34</v>
      </c>
      <c r="F310">
        <v>0.95020000000000004</v>
      </c>
      <c r="G310">
        <v>0</v>
      </c>
    </row>
    <row r="311" spans="1:7" x14ac:dyDescent="0.3">
      <c r="A311" t="s">
        <v>57</v>
      </c>
      <c r="B311">
        <v>100</v>
      </c>
      <c r="C311">
        <v>0.1</v>
      </c>
      <c r="D311">
        <v>0.95</v>
      </c>
      <c r="E311" t="s">
        <v>88</v>
      </c>
      <c r="F311">
        <v>0.94820000000000004</v>
      </c>
      <c r="G311">
        <v>0</v>
      </c>
    </row>
    <row r="312" spans="1:7" x14ac:dyDescent="0.3">
      <c r="A312" t="s">
        <v>57</v>
      </c>
      <c r="B312">
        <v>100</v>
      </c>
      <c r="C312">
        <v>0.1</v>
      </c>
      <c r="D312">
        <v>0.95</v>
      </c>
      <c r="E312" t="s">
        <v>84</v>
      </c>
      <c r="F312">
        <v>0.9506</v>
      </c>
      <c r="G312">
        <v>0</v>
      </c>
    </row>
    <row r="313" spans="1:7" x14ac:dyDescent="0.3">
      <c r="A313" t="s">
        <v>57</v>
      </c>
      <c r="B313">
        <v>100</v>
      </c>
      <c r="C313">
        <v>0.1</v>
      </c>
      <c r="D313">
        <v>0.95</v>
      </c>
      <c r="E313" t="s">
        <v>92</v>
      </c>
      <c r="F313">
        <v>0.95420000000000005</v>
      </c>
      <c r="G313">
        <v>0</v>
      </c>
    </row>
    <row r="314" spans="1:7" x14ac:dyDescent="0.3">
      <c r="A314" t="s">
        <v>57</v>
      </c>
      <c r="B314">
        <v>100</v>
      </c>
      <c r="C314">
        <v>0.1</v>
      </c>
      <c r="D314">
        <v>0.95</v>
      </c>
      <c r="E314" t="s">
        <v>90</v>
      </c>
      <c r="F314">
        <v>0.95199999999999996</v>
      </c>
      <c r="G314">
        <v>0</v>
      </c>
    </row>
    <row r="315" spans="1:7" x14ac:dyDescent="0.3">
      <c r="A315" t="s">
        <v>57</v>
      </c>
      <c r="B315">
        <v>100</v>
      </c>
      <c r="C315">
        <v>0.1</v>
      </c>
      <c r="D315">
        <v>0.95</v>
      </c>
      <c r="E315" t="s">
        <v>86</v>
      </c>
      <c r="F315">
        <v>0.95399999999999996</v>
      </c>
      <c r="G315">
        <v>0</v>
      </c>
    </row>
    <row r="316" spans="1:7" x14ac:dyDescent="0.3">
      <c r="A316" t="s">
        <v>57</v>
      </c>
      <c r="B316">
        <v>100</v>
      </c>
      <c r="C316">
        <v>0.1</v>
      </c>
      <c r="D316">
        <v>0.95</v>
      </c>
      <c r="E316" t="s">
        <v>55</v>
      </c>
      <c r="F316">
        <v>0.95389999999999997</v>
      </c>
      <c r="G316">
        <v>0</v>
      </c>
    </row>
    <row r="317" spans="1:7" x14ac:dyDescent="0.3">
      <c r="A317" t="s">
        <v>57</v>
      </c>
      <c r="B317">
        <v>100</v>
      </c>
      <c r="C317">
        <v>0.1</v>
      </c>
      <c r="D317">
        <v>0.9</v>
      </c>
      <c r="E317" t="s">
        <v>32</v>
      </c>
      <c r="F317">
        <v>0.88430606617647101</v>
      </c>
      <c r="G317">
        <v>1296</v>
      </c>
    </row>
    <row r="318" spans="1:7" x14ac:dyDescent="0.3">
      <c r="A318" t="s">
        <v>57</v>
      </c>
      <c r="B318">
        <v>100</v>
      </c>
      <c r="C318">
        <v>0.1</v>
      </c>
      <c r="D318">
        <v>0.9</v>
      </c>
      <c r="E318" t="s">
        <v>33</v>
      </c>
      <c r="F318">
        <v>0.88430606617647101</v>
      </c>
      <c r="G318">
        <v>1296</v>
      </c>
    </row>
    <row r="319" spans="1:7" x14ac:dyDescent="0.3">
      <c r="A319" t="s">
        <v>57</v>
      </c>
      <c r="B319">
        <v>100</v>
      </c>
      <c r="C319">
        <v>0.1</v>
      </c>
      <c r="D319">
        <v>0.9</v>
      </c>
      <c r="E319" t="s">
        <v>34</v>
      </c>
      <c r="F319">
        <v>0.89749999999999996</v>
      </c>
      <c r="G319">
        <v>0</v>
      </c>
    </row>
    <row r="320" spans="1:7" x14ac:dyDescent="0.3">
      <c r="A320" t="s">
        <v>57</v>
      </c>
      <c r="B320">
        <v>100</v>
      </c>
      <c r="C320">
        <v>0.1</v>
      </c>
      <c r="D320">
        <v>0.9</v>
      </c>
      <c r="E320" t="s">
        <v>88</v>
      </c>
      <c r="F320">
        <v>0.89100000000000001</v>
      </c>
      <c r="G320">
        <v>0</v>
      </c>
    </row>
    <row r="321" spans="1:7" x14ac:dyDescent="0.3">
      <c r="A321" t="s">
        <v>57</v>
      </c>
      <c r="B321">
        <v>100</v>
      </c>
      <c r="C321">
        <v>0.1</v>
      </c>
      <c r="D321">
        <v>0.9</v>
      </c>
      <c r="E321" t="s">
        <v>84</v>
      </c>
      <c r="F321">
        <v>0.89419999999999999</v>
      </c>
      <c r="G321">
        <v>0</v>
      </c>
    </row>
    <row r="322" spans="1:7" x14ac:dyDescent="0.3">
      <c r="A322" t="s">
        <v>57</v>
      </c>
      <c r="B322">
        <v>100</v>
      </c>
      <c r="C322">
        <v>0.1</v>
      </c>
      <c r="D322">
        <v>0.9</v>
      </c>
      <c r="E322" t="s">
        <v>92</v>
      </c>
      <c r="F322">
        <v>0.90190000000000003</v>
      </c>
      <c r="G322">
        <v>0</v>
      </c>
    </row>
    <row r="323" spans="1:7" x14ac:dyDescent="0.3">
      <c r="A323" t="s">
        <v>57</v>
      </c>
      <c r="B323">
        <v>100</v>
      </c>
      <c r="C323">
        <v>0.1</v>
      </c>
      <c r="D323">
        <v>0.9</v>
      </c>
      <c r="E323" t="s">
        <v>90</v>
      </c>
      <c r="F323">
        <v>0.89790000000000003</v>
      </c>
      <c r="G323">
        <v>0</v>
      </c>
    </row>
    <row r="324" spans="1:7" x14ac:dyDescent="0.3">
      <c r="A324" t="s">
        <v>57</v>
      </c>
      <c r="B324">
        <v>100</v>
      </c>
      <c r="C324">
        <v>0.1</v>
      </c>
      <c r="D324">
        <v>0.9</v>
      </c>
      <c r="E324" t="s">
        <v>86</v>
      </c>
      <c r="F324">
        <v>0.9022</v>
      </c>
      <c r="G324">
        <v>0</v>
      </c>
    </row>
    <row r="325" spans="1:7" x14ac:dyDescent="0.3">
      <c r="A325" t="s">
        <v>57</v>
      </c>
      <c r="B325">
        <v>100</v>
      </c>
      <c r="C325">
        <v>0.1</v>
      </c>
      <c r="D325">
        <v>0.9</v>
      </c>
      <c r="E325" t="s">
        <v>55</v>
      </c>
      <c r="F325">
        <v>0.90110000000000001</v>
      </c>
      <c r="G325">
        <v>0</v>
      </c>
    </row>
    <row r="326" spans="1:7" x14ac:dyDescent="0.3">
      <c r="A326" t="s">
        <v>31</v>
      </c>
      <c r="B326">
        <v>20</v>
      </c>
      <c r="C326">
        <v>0.5</v>
      </c>
      <c r="D326">
        <v>0.95</v>
      </c>
      <c r="E326" t="s">
        <v>32</v>
      </c>
      <c r="F326">
        <v>0.95609999999999995</v>
      </c>
      <c r="G326">
        <v>0</v>
      </c>
    </row>
    <row r="327" spans="1:7" x14ac:dyDescent="0.3">
      <c r="A327" t="s">
        <v>31</v>
      </c>
      <c r="B327">
        <v>20</v>
      </c>
      <c r="C327">
        <v>0.5</v>
      </c>
      <c r="D327">
        <v>0.95</v>
      </c>
      <c r="E327" t="s">
        <v>33</v>
      </c>
      <c r="F327">
        <v>0.95609999999999995</v>
      </c>
      <c r="G327">
        <v>0</v>
      </c>
    </row>
    <row r="328" spans="1:7" x14ac:dyDescent="0.3">
      <c r="A328" t="s">
        <v>31</v>
      </c>
      <c r="B328">
        <v>20</v>
      </c>
      <c r="C328">
        <v>0.5</v>
      </c>
      <c r="D328">
        <v>0.95</v>
      </c>
      <c r="E328" t="s">
        <v>34</v>
      </c>
      <c r="F328">
        <v>0.94969999999999999</v>
      </c>
      <c r="G328">
        <v>0</v>
      </c>
    </row>
    <row r="329" spans="1:7" x14ac:dyDescent="0.3">
      <c r="A329" t="s">
        <v>31</v>
      </c>
      <c r="B329">
        <v>20</v>
      </c>
      <c r="C329">
        <v>0.5</v>
      </c>
      <c r="D329">
        <v>0.95</v>
      </c>
      <c r="E329" t="s">
        <v>88</v>
      </c>
      <c r="F329">
        <v>0.94874361797977802</v>
      </c>
      <c r="G329">
        <v>11</v>
      </c>
    </row>
    <row r="330" spans="1:7" x14ac:dyDescent="0.3">
      <c r="A330" t="s">
        <v>31</v>
      </c>
      <c r="B330">
        <v>20</v>
      </c>
      <c r="C330">
        <v>0.5</v>
      </c>
      <c r="D330">
        <v>0.95</v>
      </c>
      <c r="E330" t="s">
        <v>84</v>
      </c>
      <c r="F330">
        <v>0.94974471919111003</v>
      </c>
      <c r="G330">
        <v>11</v>
      </c>
    </row>
    <row r="331" spans="1:7" x14ac:dyDescent="0.3">
      <c r="A331" t="s">
        <v>31</v>
      </c>
      <c r="B331">
        <v>20</v>
      </c>
      <c r="C331">
        <v>0.5</v>
      </c>
      <c r="D331">
        <v>0.95</v>
      </c>
      <c r="E331" t="s">
        <v>92</v>
      </c>
      <c r="F331">
        <v>0.95347673836918501</v>
      </c>
      <c r="G331">
        <v>5</v>
      </c>
    </row>
    <row r="332" spans="1:7" x14ac:dyDescent="0.3">
      <c r="A332" t="s">
        <v>31</v>
      </c>
      <c r="B332">
        <v>20</v>
      </c>
      <c r="C332">
        <v>0.5</v>
      </c>
      <c r="D332">
        <v>0.95</v>
      </c>
      <c r="E332" t="s">
        <v>90</v>
      </c>
      <c r="F332">
        <v>0.95915915915915895</v>
      </c>
      <c r="G332">
        <v>10</v>
      </c>
    </row>
    <row r="333" spans="1:7" x14ac:dyDescent="0.3">
      <c r="A333" t="s">
        <v>31</v>
      </c>
      <c r="B333">
        <v>20</v>
      </c>
      <c r="C333">
        <v>0.5</v>
      </c>
      <c r="D333">
        <v>0.95</v>
      </c>
      <c r="E333" t="s">
        <v>86</v>
      </c>
      <c r="F333">
        <v>0.960760760760761</v>
      </c>
      <c r="G333">
        <v>10</v>
      </c>
    </row>
    <row r="334" spans="1:7" x14ac:dyDescent="0.3">
      <c r="A334" t="s">
        <v>31</v>
      </c>
      <c r="B334">
        <v>20</v>
      </c>
      <c r="C334">
        <v>0.5</v>
      </c>
      <c r="D334">
        <v>0.95</v>
      </c>
      <c r="E334" t="s">
        <v>55</v>
      </c>
      <c r="F334">
        <v>0.95609999999999995</v>
      </c>
      <c r="G334">
        <v>0</v>
      </c>
    </row>
    <row r="335" spans="1:7" x14ac:dyDescent="0.3">
      <c r="A335" t="s">
        <v>31</v>
      </c>
      <c r="B335">
        <v>20</v>
      </c>
      <c r="C335">
        <v>0.5</v>
      </c>
      <c r="D335">
        <v>0.95</v>
      </c>
      <c r="E335" t="s">
        <v>58</v>
      </c>
      <c r="F335">
        <v>0.95430000000000004</v>
      </c>
      <c r="G335">
        <v>0</v>
      </c>
    </row>
    <row r="336" spans="1:7" x14ac:dyDescent="0.3">
      <c r="A336" t="s">
        <v>31</v>
      </c>
      <c r="B336">
        <v>20</v>
      </c>
      <c r="C336">
        <v>0.5</v>
      </c>
      <c r="D336">
        <v>0.9</v>
      </c>
      <c r="E336" t="s">
        <v>32</v>
      </c>
      <c r="F336">
        <v>0.88900000000000001</v>
      </c>
      <c r="G336">
        <v>0</v>
      </c>
    </row>
    <row r="337" spans="1:7" x14ac:dyDescent="0.3">
      <c r="A337" t="s">
        <v>31</v>
      </c>
      <c r="B337">
        <v>20</v>
      </c>
      <c r="C337">
        <v>0.5</v>
      </c>
      <c r="D337">
        <v>0.9</v>
      </c>
      <c r="E337" t="s">
        <v>33</v>
      </c>
      <c r="F337">
        <v>0.88900000000000001</v>
      </c>
      <c r="G337">
        <v>0</v>
      </c>
    </row>
    <row r="338" spans="1:7" x14ac:dyDescent="0.3">
      <c r="A338" t="s">
        <v>31</v>
      </c>
      <c r="B338">
        <v>20</v>
      </c>
      <c r="C338">
        <v>0.5</v>
      </c>
      <c r="D338">
        <v>0.9</v>
      </c>
      <c r="E338" t="s">
        <v>34</v>
      </c>
      <c r="F338">
        <v>0.90720000000000001</v>
      </c>
      <c r="G338">
        <v>0</v>
      </c>
    </row>
    <row r="339" spans="1:7" x14ac:dyDescent="0.3">
      <c r="A339" t="s">
        <v>31</v>
      </c>
      <c r="B339">
        <v>20</v>
      </c>
      <c r="C339">
        <v>0.5</v>
      </c>
      <c r="D339">
        <v>0.9</v>
      </c>
      <c r="E339" t="s">
        <v>88</v>
      </c>
      <c r="F339">
        <v>0.89418360196215796</v>
      </c>
      <c r="G339">
        <v>11</v>
      </c>
    </row>
    <row r="340" spans="1:7" x14ac:dyDescent="0.3">
      <c r="A340" t="s">
        <v>31</v>
      </c>
      <c r="B340">
        <v>20</v>
      </c>
      <c r="C340">
        <v>0.5</v>
      </c>
      <c r="D340">
        <v>0.9</v>
      </c>
      <c r="E340" t="s">
        <v>84</v>
      </c>
      <c r="F340">
        <v>0.89658624486935601</v>
      </c>
      <c r="G340">
        <v>11</v>
      </c>
    </row>
    <row r="341" spans="1:7" x14ac:dyDescent="0.3">
      <c r="A341" t="s">
        <v>31</v>
      </c>
      <c r="B341">
        <v>20</v>
      </c>
      <c r="C341">
        <v>0.5</v>
      </c>
      <c r="D341">
        <v>0.9</v>
      </c>
      <c r="E341" t="s">
        <v>92</v>
      </c>
      <c r="F341">
        <v>0.90295147573786905</v>
      </c>
      <c r="G341">
        <v>5</v>
      </c>
    </row>
    <row r="342" spans="1:7" x14ac:dyDescent="0.3">
      <c r="A342" t="s">
        <v>31</v>
      </c>
      <c r="B342">
        <v>20</v>
      </c>
      <c r="C342">
        <v>0.5</v>
      </c>
      <c r="D342">
        <v>0.9</v>
      </c>
      <c r="E342" t="s">
        <v>90</v>
      </c>
      <c r="F342">
        <v>0.91781781781781802</v>
      </c>
      <c r="G342">
        <v>10</v>
      </c>
    </row>
    <row r="343" spans="1:7" x14ac:dyDescent="0.3">
      <c r="A343" t="s">
        <v>31</v>
      </c>
      <c r="B343">
        <v>20</v>
      </c>
      <c r="C343">
        <v>0.5</v>
      </c>
      <c r="D343">
        <v>0.9</v>
      </c>
      <c r="E343" t="s">
        <v>86</v>
      </c>
      <c r="F343">
        <v>0.92782782782782802</v>
      </c>
      <c r="G343">
        <v>10</v>
      </c>
    </row>
    <row r="344" spans="1:7" x14ac:dyDescent="0.3">
      <c r="A344" t="s">
        <v>31</v>
      </c>
      <c r="B344">
        <v>20</v>
      </c>
      <c r="C344">
        <v>0.5</v>
      </c>
      <c r="D344">
        <v>0.9</v>
      </c>
      <c r="E344" t="s">
        <v>55</v>
      </c>
      <c r="F344">
        <v>0.95609999999999995</v>
      </c>
      <c r="G344">
        <v>0</v>
      </c>
    </row>
    <row r="345" spans="1:7" x14ac:dyDescent="0.3">
      <c r="A345" t="s">
        <v>31</v>
      </c>
      <c r="B345">
        <v>20</v>
      </c>
      <c r="C345">
        <v>0.5</v>
      </c>
      <c r="D345">
        <v>0.9</v>
      </c>
      <c r="E345" t="s">
        <v>58</v>
      </c>
      <c r="F345">
        <v>0.90639999999999998</v>
      </c>
      <c r="G345">
        <v>0</v>
      </c>
    </row>
    <row r="346" spans="1:7" x14ac:dyDescent="0.3">
      <c r="A346" t="s">
        <v>56</v>
      </c>
      <c r="B346">
        <v>20</v>
      </c>
      <c r="C346">
        <v>0.5</v>
      </c>
      <c r="D346">
        <v>0.95</v>
      </c>
      <c r="E346" t="s">
        <v>32</v>
      </c>
      <c r="F346">
        <v>0.95640000000000003</v>
      </c>
      <c r="G346">
        <v>0</v>
      </c>
    </row>
    <row r="347" spans="1:7" x14ac:dyDescent="0.3">
      <c r="A347" t="s">
        <v>56</v>
      </c>
      <c r="B347">
        <v>20</v>
      </c>
      <c r="C347">
        <v>0.5</v>
      </c>
      <c r="D347">
        <v>0.95</v>
      </c>
      <c r="E347" t="s">
        <v>33</v>
      </c>
      <c r="F347">
        <v>0.95640000000000003</v>
      </c>
      <c r="G347">
        <v>0</v>
      </c>
    </row>
    <row r="348" spans="1:7" x14ac:dyDescent="0.3">
      <c r="A348" t="s">
        <v>56</v>
      </c>
      <c r="B348">
        <v>20</v>
      </c>
      <c r="C348">
        <v>0.5</v>
      </c>
      <c r="D348">
        <v>0.95</v>
      </c>
      <c r="E348" t="s">
        <v>34</v>
      </c>
      <c r="F348">
        <v>0.94930000000000003</v>
      </c>
      <c r="G348">
        <v>0</v>
      </c>
    </row>
    <row r="349" spans="1:7" x14ac:dyDescent="0.3">
      <c r="A349" t="s">
        <v>56</v>
      </c>
      <c r="B349">
        <v>20</v>
      </c>
      <c r="C349">
        <v>0.5</v>
      </c>
      <c r="D349">
        <v>0.95</v>
      </c>
      <c r="E349" t="s">
        <v>88</v>
      </c>
      <c r="F349">
        <v>0.95086442220200196</v>
      </c>
      <c r="G349">
        <v>109</v>
      </c>
    </row>
    <row r="350" spans="1:7" x14ac:dyDescent="0.3">
      <c r="A350" t="s">
        <v>56</v>
      </c>
      <c r="B350">
        <v>20</v>
      </c>
      <c r="C350">
        <v>0.5</v>
      </c>
      <c r="D350">
        <v>0.95</v>
      </c>
      <c r="E350" t="s">
        <v>84</v>
      </c>
      <c r="F350">
        <v>0.95147103427358204</v>
      </c>
      <c r="G350">
        <v>109</v>
      </c>
    </row>
    <row r="351" spans="1:7" x14ac:dyDescent="0.3">
      <c r="A351" t="s">
        <v>56</v>
      </c>
      <c r="B351">
        <v>20</v>
      </c>
      <c r="C351">
        <v>0.5</v>
      </c>
      <c r="D351">
        <v>0.95</v>
      </c>
      <c r="E351" t="s">
        <v>92</v>
      </c>
      <c r="F351">
        <v>0.95325977933801398</v>
      </c>
      <c r="G351">
        <v>30</v>
      </c>
    </row>
    <row r="352" spans="1:7" x14ac:dyDescent="0.3">
      <c r="A352" t="s">
        <v>56</v>
      </c>
      <c r="B352">
        <v>20</v>
      </c>
      <c r="C352">
        <v>0.5</v>
      </c>
      <c r="D352">
        <v>0.95</v>
      </c>
      <c r="E352" t="s">
        <v>90</v>
      </c>
      <c r="F352">
        <v>0.95717171717171701</v>
      </c>
      <c r="G352">
        <v>100</v>
      </c>
    </row>
    <row r="353" spans="1:7" x14ac:dyDescent="0.3">
      <c r="A353" t="s">
        <v>56</v>
      </c>
      <c r="B353">
        <v>20</v>
      </c>
      <c r="C353">
        <v>0.5</v>
      </c>
      <c r="D353">
        <v>0.95</v>
      </c>
      <c r="E353" t="s">
        <v>86</v>
      </c>
      <c r="F353">
        <v>0.95828282828282796</v>
      </c>
      <c r="G353">
        <v>100</v>
      </c>
    </row>
    <row r="354" spans="1:7" x14ac:dyDescent="0.3">
      <c r="A354" t="s">
        <v>56</v>
      </c>
      <c r="B354">
        <v>20</v>
      </c>
      <c r="C354">
        <v>0.5</v>
      </c>
      <c r="D354">
        <v>0.95</v>
      </c>
      <c r="E354" t="s">
        <v>55</v>
      </c>
      <c r="F354">
        <v>0.95640000000000003</v>
      </c>
      <c r="G354">
        <v>0</v>
      </c>
    </row>
    <row r="355" spans="1:7" x14ac:dyDescent="0.3">
      <c r="A355" t="s">
        <v>56</v>
      </c>
      <c r="B355">
        <v>20</v>
      </c>
      <c r="C355">
        <v>0.5</v>
      </c>
      <c r="D355">
        <v>0.95</v>
      </c>
      <c r="E355" t="s">
        <v>58</v>
      </c>
      <c r="F355">
        <v>0.91539999999999999</v>
      </c>
      <c r="G355">
        <v>0</v>
      </c>
    </row>
    <row r="356" spans="1:7" x14ac:dyDescent="0.3">
      <c r="A356" t="s">
        <v>56</v>
      </c>
      <c r="B356">
        <v>20</v>
      </c>
      <c r="C356">
        <v>0.5</v>
      </c>
      <c r="D356">
        <v>0.9</v>
      </c>
      <c r="E356" t="s">
        <v>32</v>
      </c>
      <c r="F356">
        <v>0.87880000000000003</v>
      </c>
      <c r="G356">
        <v>0</v>
      </c>
    </row>
    <row r="357" spans="1:7" x14ac:dyDescent="0.3">
      <c r="A357" t="s">
        <v>56</v>
      </c>
      <c r="B357">
        <v>20</v>
      </c>
      <c r="C357">
        <v>0.5</v>
      </c>
      <c r="D357">
        <v>0.9</v>
      </c>
      <c r="E357" t="s">
        <v>33</v>
      </c>
      <c r="F357">
        <v>0.87880000000000003</v>
      </c>
      <c r="G357">
        <v>0</v>
      </c>
    </row>
    <row r="358" spans="1:7" x14ac:dyDescent="0.3">
      <c r="A358" t="s">
        <v>56</v>
      </c>
      <c r="B358">
        <v>20</v>
      </c>
      <c r="C358">
        <v>0.5</v>
      </c>
      <c r="D358">
        <v>0.9</v>
      </c>
      <c r="E358" t="s">
        <v>34</v>
      </c>
      <c r="F358">
        <v>0.89870000000000005</v>
      </c>
      <c r="G358">
        <v>0</v>
      </c>
    </row>
    <row r="359" spans="1:7" x14ac:dyDescent="0.3">
      <c r="A359" t="s">
        <v>56</v>
      </c>
      <c r="B359">
        <v>20</v>
      </c>
      <c r="C359">
        <v>0.5</v>
      </c>
      <c r="D359">
        <v>0.9</v>
      </c>
      <c r="E359" t="s">
        <v>88</v>
      </c>
      <c r="F359">
        <v>0.88009301385097605</v>
      </c>
      <c r="G359">
        <v>109</v>
      </c>
    </row>
    <row r="360" spans="1:7" x14ac:dyDescent="0.3">
      <c r="A360" t="s">
        <v>56</v>
      </c>
      <c r="B360">
        <v>20</v>
      </c>
      <c r="C360">
        <v>0.5</v>
      </c>
      <c r="D360">
        <v>0.9</v>
      </c>
      <c r="E360" t="s">
        <v>84</v>
      </c>
      <c r="F360">
        <v>0.88231725811343598</v>
      </c>
      <c r="G360">
        <v>109</v>
      </c>
    </row>
    <row r="361" spans="1:7" x14ac:dyDescent="0.3">
      <c r="A361" t="s">
        <v>56</v>
      </c>
      <c r="B361">
        <v>20</v>
      </c>
      <c r="C361">
        <v>0.5</v>
      </c>
      <c r="D361">
        <v>0.9</v>
      </c>
      <c r="E361" t="s">
        <v>92</v>
      </c>
      <c r="F361">
        <v>0.88515546639919795</v>
      </c>
      <c r="G361">
        <v>30</v>
      </c>
    </row>
    <row r="362" spans="1:7" x14ac:dyDescent="0.3">
      <c r="A362" t="s">
        <v>56</v>
      </c>
      <c r="B362">
        <v>20</v>
      </c>
      <c r="C362">
        <v>0.5</v>
      </c>
      <c r="D362">
        <v>0.9</v>
      </c>
      <c r="E362" t="s">
        <v>90</v>
      </c>
      <c r="F362">
        <v>0.90040404040403998</v>
      </c>
      <c r="G362">
        <v>100</v>
      </c>
    </row>
    <row r="363" spans="1:7" x14ac:dyDescent="0.3">
      <c r="A363" t="s">
        <v>56</v>
      </c>
      <c r="B363">
        <v>20</v>
      </c>
      <c r="C363">
        <v>0.5</v>
      </c>
      <c r="D363">
        <v>0.9</v>
      </c>
      <c r="E363" t="s">
        <v>86</v>
      </c>
      <c r="F363">
        <v>0.91323232323232295</v>
      </c>
      <c r="G363">
        <v>100</v>
      </c>
    </row>
    <row r="364" spans="1:7" x14ac:dyDescent="0.3">
      <c r="A364" t="s">
        <v>56</v>
      </c>
      <c r="B364">
        <v>20</v>
      </c>
      <c r="C364">
        <v>0.5</v>
      </c>
      <c r="D364">
        <v>0.9</v>
      </c>
      <c r="E364" t="s">
        <v>55</v>
      </c>
      <c r="F364">
        <v>0.95640000000000003</v>
      </c>
      <c r="G364">
        <v>0</v>
      </c>
    </row>
    <row r="365" spans="1:7" x14ac:dyDescent="0.3">
      <c r="A365" t="s">
        <v>56</v>
      </c>
      <c r="B365">
        <v>20</v>
      </c>
      <c r="C365">
        <v>0.5</v>
      </c>
      <c r="D365">
        <v>0.9</v>
      </c>
      <c r="E365" t="s">
        <v>58</v>
      </c>
      <c r="F365">
        <v>0.8448</v>
      </c>
      <c r="G365">
        <v>0</v>
      </c>
    </row>
    <row r="366" spans="1:7" x14ac:dyDescent="0.3">
      <c r="A366" t="s">
        <v>57</v>
      </c>
      <c r="B366">
        <v>20</v>
      </c>
      <c r="C366">
        <v>0.5</v>
      </c>
      <c r="D366">
        <v>0.95</v>
      </c>
      <c r="E366" t="s">
        <v>32</v>
      </c>
      <c r="F366">
        <v>0.96020000000000005</v>
      </c>
      <c r="G366">
        <v>0</v>
      </c>
    </row>
    <row r="367" spans="1:7" x14ac:dyDescent="0.3">
      <c r="A367" t="s">
        <v>57</v>
      </c>
      <c r="B367">
        <v>20</v>
      </c>
      <c r="C367">
        <v>0.5</v>
      </c>
      <c r="D367">
        <v>0.95</v>
      </c>
      <c r="E367" t="s">
        <v>33</v>
      </c>
      <c r="F367">
        <v>0.96020000000000005</v>
      </c>
      <c r="G367">
        <v>0</v>
      </c>
    </row>
    <row r="368" spans="1:7" x14ac:dyDescent="0.3">
      <c r="A368" t="s">
        <v>57</v>
      </c>
      <c r="B368">
        <v>20</v>
      </c>
      <c r="C368">
        <v>0.5</v>
      </c>
      <c r="D368">
        <v>0.95</v>
      </c>
      <c r="E368" t="s">
        <v>34</v>
      </c>
      <c r="F368">
        <v>0.95340000000000003</v>
      </c>
      <c r="G368">
        <v>0</v>
      </c>
    </row>
    <row r="369" spans="1:7" x14ac:dyDescent="0.3">
      <c r="A369" t="s">
        <v>57</v>
      </c>
      <c r="B369">
        <v>20</v>
      </c>
      <c r="C369">
        <v>0.5</v>
      </c>
      <c r="D369">
        <v>0.95</v>
      </c>
      <c r="E369" t="s">
        <v>88</v>
      </c>
      <c r="F369">
        <v>0.94978995799159804</v>
      </c>
      <c r="G369">
        <v>2</v>
      </c>
    </row>
    <row r="370" spans="1:7" x14ac:dyDescent="0.3">
      <c r="A370" t="s">
        <v>57</v>
      </c>
      <c r="B370">
        <v>20</v>
      </c>
      <c r="C370">
        <v>0.5</v>
      </c>
      <c r="D370">
        <v>0.95</v>
      </c>
      <c r="E370" t="s">
        <v>84</v>
      </c>
      <c r="F370">
        <v>0.95169033806761305</v>
      </c>
      <c r="G370">
        <v>2</v>
      </c>
    </row>
    <row r="371" spans="1:7" x14ac:dyDescent="0.3">
      <c r="A371" t="s">
        <v>57</v>
      </c>
      <c r="B371">
        <v>20</v>
      </c>
      <c r="C371">
        <v>0.5</v>
      </c>
      <c r="D371">
        <v>0.95</v>
      </c>
      <c r="E371" t="s">
        <v>92</v>
      </c>
      <c r="F371">
        <v>0.95669999999999999</v>
      </c>
      <c r="G371">
        <v>0</v>
      </c>
    </row>
    <row r="372" spans="1:7" x14ac:dyDescent="0.3">
      <c r="A372" t="s">
        <v>57</v>
      </c>
      <c r="B372">
        <v>20</v>
      </c>
      <c r="C372">
        <v>0.5</v>
      </c>
      <c r="D372">
        <v>0.95</v>
      </c>
      <c r="E372" t="s">
        <v>90</v>
      </c>
      <c r="F372">
        <v>0.96338535414165705</v>
      </c>
      <c r="G372">
        <v>4</v>
      </c>
    </row>
    <row r="373" spans="1:7" x14ac:dyDescent="0.3">
      <c r="A373" t="s">
        <v>57</v>
      </c>
      <c r="B373">
        <v>20</v>
      </c>
      <c r="C373">
        <v>0.5</v>
      </c>
      <c r="D373">
        <v>0.95</v>
      </c>
      <c r="E373" t="s">
        <v>86</v>
      </c>
      <c r="F373">
        <v>0.96458583433373302</v>
      </c>
      <c r="G373">
        <v>4</v>
      </c>
    </row>
    <row r="374" spans="1:7" x14ac:dyDescent="0.3">
      <c r="A374" t="s">
        <v>57</v>
      </c>
      <c r="B374">
        <v>20</v>
      </c>
      <c r="C374">
        <v>0.5</v>
      </c>
      <c r="D374">
        <v>0.95</v>
      </c>
      <c r="E374" t="s">
        <v>55</v>
      </c>
      <c r="F374">
        <v>0.96020000000000005</v>
      </c>
      <c r="G374">
        <v>0</v>
      </c>
    </row>
    <row r="375" spans="1:7" x14ac:dyDescent="0.3">
      <c r="A375" t="s">
        <v>57</v>
      </c>
      <c r="B375">
        <v>20</v>
      </c>
      <c r="C375">
        <v>0.5</v>
      </c>
      <c r="D375">
        <v>0.95</v>
      </c>
      <c r="E375" t="s">
        <v>58</v>
      </c>
      <c r="F375">
        <v>0.90149999999999997</v>
      </c>
      <c r="G375">
        <v>0</v>
      </c>
    </row>
    <row r="376" spans="1:7" x14ac:dyDescent="0.3">
      <c r="A376" t="s">
        <v>57</v>
      </c>
      <c r="B376">
        <v>20</v>
      </c>
      <c r="C376">
        <v>0.5</v>
      </c>
      <c r="D376">
        <v>0.9</v>
      </c>
      <c r="E376" t="s">
        <v>32</v>
      </c>
      <c r="F376">
        <v>0.88839999999999997</v>
      </c>
      <c r="G376">
        <v>0</v>
      </c>
    </row>
    <row r="377" spans="1:7" x14ac:dyDescent="0.3">
      <c r="A377" t="s">
        <v>57</v>
      </c>
      <c r="B377">
        <v>20</v>
      </c>
      <c r="C377">
        <v>0.5</v>
      </c>
      <c r="D377">
        <v>0.9</v>
      </c>
      <c r="E377" t="s">
        <v>33</v>
      </c>
      <c r="F377">
        <v>0.88839999999999997</v>
      </c>
      <c r="G377">
        <v>0</v>
      </c>
    </row>
    <row r="378" spans="1:7" x14ac:dyDescent="0.3">
      <c r="A378" t="s">
        <v>57</v>
      </c>
      <c r="B378">
        <v>20</v>
      </c>
      <c r="C378">
        <v>0.5</v>
      </c>
      <c r="D378">
        <v>0.9</v>
      </c>
      <c r="E378" t="s">
        <v>34</v>
      </c>
      <c r="F378">
        <v>0.90569999999999995</v>
      </c>
      <c r="G378">
        <v>0</v>
      </c>
    </row>
    <row r="379" spans="1:7" x14ac:dyDescent="0.3">
      <c r="A379" t="s">
        <v>57</v>
      </c>
      <c r="B379">
        <v>20</v>
      </c>
      <c r="C379">
        <v>0.5</v>
      </c>
      <c r="D379">
        <v>0.9</v>
      </c>
      <c r="E379" t="s">
        <v>88</v>
      </c>
      <c r="F379">
        <v>0.89377875575114996</v>
      </c>
      <c r="G379">
        <v>2</v>
      </c>
    </row>
    <row r="380" spans="1:7" x14ac:dyDescent="0.3">
      <c r="A380" t="s">
        <v>57</v>
      </c>
      <c r="B380">
        <v>20</v>
      </c>
      <c r="C380">
        <v>0.5</v>
      </c>
      <c r="D380">
        <v>0.9</v>
      </c>
      <c r="E380" t="s">
        <v>84</v>
      </c>
      <c r="F380">
        <v>0.89627925585116996</v>
      </c>
      <c r="G380">
        <v>2</v>
      </c>
    </row>
    <row r="381" spans="1:7" x14ac:dyDescent="0.3">
      <c r="A381" t="s">
        <v>57</v>
      </c>
      <c r="B381">
        <v>20</v>
      </c>
      <c r="C381">
        <v>0.5</v>
      </c>
      <c r="D381">
        <v>0.9</v>
      </c>
      <c r="E381" t="s">
        <v>92</v>
      </c>
      <c r="F381">
        <v>0.90439999999999998</v>
      </c>
      <c r="G381">
        <v>0</v>
      </c>
    </row>
    <row r="382" spans="1:7" x14ac:dyDescent="0.3">
      <c r="A382" t="s">
        <v>57</v>
      </c>
      <c r="B382">
        <v>20</v>
      </c>
      <c r="C382">
        <v>0.5</v>
      </c>
      <c r="D382">
        <v>0.9</v>
      </c>
      <c r="E382" t="s">
        <v>90</v>
      </c>
      <c r="F382">
        <v>0.92256902761104398</v>
      </c>
      <c r="G382">
        <v>4</v>
      </c>
    </row>
    <row r="383" spans="1:7" x14ac:dyDescent="0.3">
      <c r="A383" t="s">
        <v>57</v>
      </c>
      <c r="B383">
        <v>20</v>
      </c>
      <c r="C383">
        <v>0.5</v>
      </c>
      <c r="D383">
        <v>0.9</v>
      </c>
      <c r="E383" t="s">
        <v>86</v>
      </c>
      <c r="F383">
        <v>0.93257302921168495</v>
      </c>
      <c r="G383">
        <v>4</v>
      </c>
    </row>
    <row r="384" spans="1:7" x14ac:dyDescent="0.3">
      <c r="A384" t="s">
        <v>57</v>
      </c>
      <c r="B384">
        <v>20</v>
      </c>
      <c r="C384">
        <v>0.5</v>
      </c>
      <c r="D384">
        <v>0.9</v>
      </c>
      <c r="E384" t="s">
        <v>55</v>
      </c>
      <c r="F384">
        <v>0.96020000000000005</v>
      </c>
      <c r="G384">
        <v>0</v>
      </c>
    </row>
    <row r="385" spans="1:7" x14ac:dyDescent="0.3">
      <c r="A385" t="s">
        <v>57</v>
      </c>
      <c r="B385">
        <v>20</v>
      </c>
      <c r="C385">
        <v>0.5</v>
      </c>
      <c r="D385">
        <v>0.9</v>
      </c>
      <c r="E385" t="s">
        <v>58</v>
      </c>
      <c r="F385">
        <v>0.82289999999999996</v>
      </c>
      <c r="G385">
        <v>0</v>
      </c>
    </row>
    <row r="386" spans="1:7" x14ac:dyDescent="0.3">
      <c r="A386" t="s">
        <v>31</v>
      </c>
      <c r="B386">
        <v>50</v>
      </c>
      <c r="C386">
        <v>0.5</v>
      </c>
      <c r="D386">
        <v>0.95</v>
      </c>
      <c r="E386" t="s">
        <v>32</v>
      </c>
      <c r="F386">
        <v>0.93489999999999995</v>
      </c>
      <c r="G386">
        <v>0</v>
      </c>
    </row>
    <row r="387" spans="1:7" x14ac:dyDescent="0.3">
      <c r="A387" t="s">
        <v>31</v>
      </c>
      <c r="B387">
        <v>50</v>
      </c>
      <c r="C387">
        <v>0.5</v>
      </c>
      <c r="D387">
        <v>0.95</v>
      </c>
      <c r="E387" t="s">
        <v>33</v>
      </c>
      <c r="F387">
        <v>0.96509999999999996</v>
      </c>
      <c r="G387">
        <v>0</v>
      </c>
    </row>
    <row r="388" spans="1:7" x14ac:dyDescent="0.3">
      <c r="A388" t="s">
        <v>31</v>
      </c>
      <c r="B388">
        <v>50</v>
      </c>
      <c r="C388">
        <v>0.5</v>
      </c>
      <c r="D388">
        <v>0.95</v>
      </c>
      <c r="E388" t="s">
        <v>34</v>
      </c>
      <c r="F388">
        <v>0.95150000000000001</v>
      </c>
      <c r="G388">
        <v>0</v>
      </c>
    </row>
    <row r="389" spans="1:7" x14ac:dyDescent="0.3">
      <c r="A389" t="s">
        <v>31</v>
      </c>
      <c r="B389">
        <v>50</v>
      </c>
      <c r="C389">
        <v>0.5</v>
      </c>
      <c r="D389">
        <v>0.95</v>
      </c>
      <c r="E389" t="s">
        <v>88</v>
      </c>
      <c r="F389">
        <v>0.94405524419535602</v>
      </c>
      <c r="G389">
        <v>8</v>
      </c>
    </row>
    <row r="390" spans="1:7" x14ac:dyDescent="0.3">
      <c r="A390" t="s">
        <v>31</v>
      </c>
      <c r="B390">
        <v>50</v>
      </c>
      <c r="C390">
        <v>0.5</v>
      </c>
      <c r="D390">
        <v>0.95</v>
      </c>
      <c r="E390" t="s">
        <v>84</v>
      </c>
      <c r="F390">
        <v>0.94555644515612502</v>
      </c>
      <c r="G390">
        <v>8</v>
      </c>
    </row>
    <row r="391" spans="1:7" x14ac:dyDescent="0.3">
      <c r="A391" t="s">
        <v>31</v>
      </c>
      <c r="B391">
        <v>50</v>
      </c>
      <c r="C391">
        <v>0.5</v>
      </c>
      <c r="D391">
        <v>0.95</v>
      </c>
      <c r="E391" t="s">
        <v>92</v>
      </c>
      <c r="F391">
        <v>0.94649464946494599</v>
      </c>
      <c r="G391">
        <v>1</v>
      </c>
    </row>
    <row r="392" spans="1:7" x14ac:dyDescent="0.3">
      <c r="A392" t="s">
        <v>31</v>
      </c>
      <c r="B392">
        <v>50</v>
      </c>
      <c r="C392">
        <v>0.5</v>
      </c>
      <c r="D392">
        <v>0.95</v>
      </c>
      <c r="E392" t="s">
        <v>90</v>
      </c>
      <c r="F392">
        <v>0.95806645316253003</v>
      </c>
      <c r="G392">
        <v>8</v>
      </c>
    </row>
    <row r="393" spans="1:7" x14ac:dyDescent="0.3">
      <c r="A393" t="s">
        <v>31</v>
      </c>
      <c r="B393">
        <v>50</v>
      </c>
      <c r="C393">
        <v>0.5</v>
      </c>
      <c r="D393">
        <v>0.95</v>
      </c>
      <c r="E393" t="s">
        <v>86</v>
      </c>
      <c r="F393">
        <v>0.95886709367494005</v>
      </c>
      <c r="G393">
        <v>8</v>
      </c>
    </row>
    <row r="394" spans="1:7" x14ac:dyDescent="0.3">
      <c r="A394" t="s">
        <v>31</v>
      </c>
      <c r="B394">
        <v>50</v>
      </c>
      <c r="C394">
        <v>0.5</v>
      </c>
      <c r="D394">
        <v>0.95</v>
      </c>
      <c r="E394" t="s">
        <v>55</v>
      </c>
      <c r="F394">
        <v>0.96509999999999996</v>
      </c>
      <c r="G394">
        <v>0</v>
      </c>
    </row>
    <row r="395" spans="1:7" x14ac:dyDescent="0.3">
      <c r="A395" t="s">
        <v>31</v>
      </c>
      <c r="B395">
        <v>50</v>
      </c>
      <c r="C395">
        <v>0.5</v>
      </c>
      <c r="D395">
        <v>0.95</v>
      </c>
      <c r="E395" t="s">
        <v>58</v>
      </c>
      <c r="F395">
        <v>0.95020000000000004</v>
      </c>
      <c r="G395">
        <v>0</v>
      </c>
    </row>
    <row r="396" spans="1:7" x14ac:dyDescent="0.3">
      <c r="A396" t="s">
        <v>31</v>
      </c>
      <c r="B396">
        <v>50</v>
      </c>
      <c r="C396">
        <v>0.5</v>
      </c>
      <c r="D396">
        <v>0.9</v>
      </c>
      <c r="E396" t="s">
        <v>32</v>
      </c>
      <c r="F396">
        <v>0.88149999999999995</v>
      </c>
      <c r="G396">
        <v>0</v>
      </c>
    </row>
    <row r="397" spans="1:7" x14ac:dyDescent="0.3">
      <c r="A397" t="s">
        <v>31</v>
      </c>
      <c r="B397">
        <v>50</v>
      </c>
      <c r="C397">
        <v>0.5</v>
      </c>
      <c r="D397">
        <v>0.9</v>
      </c>
      <c r="E397" t="s">
        <v>33</v>
      </c>
      <c r="F397">
        <v>0.93489999999999995</v>
      </c>
      <c r="G397">
        <v>0</v>
      </c>
    </row>
    <row r="398" spans="1:7" x14ac:dyDescent="0.3">
      <c r="A398" t="s">
        <v>31</v>
      </c>
      <c r="B398">
        <v>50</v>
      </c>
      <c r="C398">
        <v>0.5</v>
      </c>
      <c r="D398">
        <v>0.9</v>
      </c>
      <c r="E398" t="s">
        <v>34</v>
      </c>
      <c r="F398">
        <v>0.90239999999999998</v>
      </c>
      <c r="G398">
        <v>0</v>
      </c>
    </row>
    <row r="399" spans="1:7" x14ac:dyDescent="0.3">
      <c r="A399" t="s">
        <v>31</v>
      </c>
      <c r="B399">
        <v>50</v>
      </c>
      <c r="C399">
        <v>0.5</v>
      </c>
      <c r="D399">
        <v>0.9</v>
      </c>
      <c r="E399" t="s">
        <v>88</v>
      </c>
      <c r="F399">
        <v>0.89211369095276205</v>
      </c>
      <c r="G399">
        <v>8</v>
      </c>
    </row>
    <row r="400" spans="1:7" x14ac:dyDescent="0.3">
      <c r="A400" t="s">
        <v>31</v>
      </c>
      <c r="B400">
        <v>50</v>
      </c>
      <c r="C400">
        <v>0.5</v>
      </c>
      <c r="D400">
        <v>0.9</v>
      </c>
      <c r="E400" t="s">
        <v>84</v>
      </c>
      <c r="F400">
        <v>0.89351481184948001</v>
      </c>
      <c r="G400">
        <v>8</v>
      </c>
    </row>
    <row r="401" spans="1:7" x14ac:dyDescent="0.3">
      <c r="A401" t="s">
        <v>31</v>
      </c>
      <c r="B401">
        <v>50</v>
      </c>
      <c r="C401">
        <v>0.5</v>
      </c>
      <c r="D401">
        <v>0.9</v>
      </c>
      <c r="E401" t="s">
        <v>92</v>
      </c>
      <c r="F401">
        <v>0.89588958895889603</v>
      </c>
      <c r="G401">
        <v>1</v>
      </c>
    </row>
    <row r="402" spans="1:7" x14ac:dyDescent="0.3">
      <c r="A402" t="s">
        <v>31</v>
      </c>
      <c r="B402">
        <v>50</v>
      </c>
      <c r="C402">
        <v>0.5</v>
      </c>
      <c r="D402">
        <v>0.9</v>
      </c>
      <c r="E402" t="s">
        <v>90</v>
      </c>
      <c r="F402">
        <v>0.91883506805444404</v>
      </c>
      <c r="G402">
        <v>8</v>
      </c>
    </row>
    <row r="403" spans="1:7" x14ac:dyDescent="0.3">
      <c r="A403" t="s">
        <v>31</v>
      </c>
      <c r="B403">
        <v>50</v>
      </c>
      <c r="C403">
        <v>0.5</v>
      </c>
      <c r="D403">
        <v>0.9</v>
      </c>
      <c r="E403" t="s">
        <v>86</v>
      </c>
      <c r="F403">
        <v>0.92013610888710995</v>
      </c>
      <c r="G403">
        <v>8</v>
      </c>
    </row>
    <row r="404" spans="1:7" x14ac:dyDescent="0.3">
      <c r="A404" t="s">
        <v>31</v>
      </c>
      <c r="B404">
        <v>50</v>
      </c>
      <c r="C404">
        <v>0.5</v>
      </c>
      <c r="D404">
        <v>0.9</v>
      </c>
      <c r="E404" t="s">
        <v>55</v>
      </c>
      <c r="F404">
        <v>0.93489999999999995</v>
      </c>
      <c r="G404">
        <v>0</v>
      </c>
    </row>
    <row r="405" spans="1:7" x14ac:dyDescent="0.3">
      <c r="A405" t="s">
        <v>31</v>
      </c>
      <c r="B405">
        <v>50</v>
      </c>
      <c r="C405">
        <v>0.5</v>
      </c>
      <c r="D405">
        <v>0.9</v>
      </c>
      <c r="E405" t="s">
        <v>58</v>
      </c>
      <c r="F405">
        <v>0.90090000000000003</v>
      </c>
      <c r="G405">
        <v>0</v>
      </c>
    </row>
    <row r="406" spans="1:7" x14ac:dyDescent="0.3">
      <c r="A406" t="s">
        <v>56</v>
      </c>
      <c r="B406">
        <v>50</v>
      </c>
      <c r="C406">
        <v>0.5</v>
      </c>
      <c r="D406">
        <v>0.95</v>
      </c>
      <c r="E406" t="s">
        <v>32</v>
      </c>
      <c r="F406">
        <v>0.93789999999999996</v>
      </c>
      <c r="G406">
        <v>0</v>
      </c>
    </row>
    <row r="407" spans="1:7" x14ac:dyDescent="0.3">
      <c r="A407" t="s">
        <v>56</v>
      </c>
      <c r="B407">
        <v>50</v>
      </c>
      <c r="C407">
        <v>0.5</v>
      </c>
      <c r="D407">
        <v>0.95</v>
      </c>
      <c r="E407" t="s">
        <v>33</v>
      </c>
      <c r="F407">
        <v>0.97060000000000002</v>
      </c>
      <c r="G407">
        <v>0</v>
      </c>
    </row>
    <row r="408" spans="1:7" x14ac:dyDescent="0.3">
      <c r="A408" t="s">
        <v>56</v>
      </c>
      <c r="B408">
        <v>50</v>
      </c>
      <c r="C408">
        <v>0.5</v>
      </c>
      <c r="D408">
        <v>0.95</v>
      </c>
      <c r="E408" t="s">
        <v>34</v>
      </c>
      <c r="F408">
        <v>0.95499999999999996</v>
      </c>
      <c r="G408">
        <v>0</v>
      </c>
    </row>
    <row r="409" spans="1:7" x14ac:dyDescent="0.3">
      <c r="A409" t="s">
        <v>56</v>
      </c>
      <c r="B409">
        <v>50</v>
      </c>
      <c r="C409">
        <v>0.5</v>
      </c>
      <c r="D409">
        <v>0.95</v>
      </c>
      <c r="E409" t="s">
        <v>88</v>
      </c>
      <c r="F409">
        <v>0.94470185334407697</v>
      </c>
      <c r="G409">
        <v>72</v>
      </c>
    </row>
    <row r="410" spans="1:7" x14ac:dyDescent="0.3">
      <c r="A410" t="s">
        <v>56</v>
      </c>
      <c r="B410">
        <v>50</v>
      </c>
      <c r="C410">
        <v>0.5</v>
      </c>
      <c r="D410">
        <v>0.95</v>
      </c>
      <c r="E410" t="s">
        <v>84</v>
      </c>
      <c r="F410">
        <v>0.94510475423045903</v>
      </c>
      <c r="G410">
        <v>72</v>
      </c>
    </row>
    <row r="411" spans="1:7" x14ac:dyDescent="0.3">
      <c r="A411" t="s">
        <v>56</v>
      </c>
      <c r="B411">
        <v>50</v>
      </c>
      <c r="C411">
        <v>0.5</v>
      </c>
      <c r="D411">
        <v>0.95</v>
      </c>
      <c r="E411" t="s">
        <v>92</v>
      </c>
      <c r="F411">
        <v>0.94542905777510799</v>
      </c>
      <c r="G411">
        <v>13</v>
      </c>
    </row>
    <row r="412" spans="1:7" x14ac:dyDescent="0.3">
      <c r="A412" t="s">
        <v>56</v>
      </c>
      <c r="B412">
        <v>50</v>
      </c>
      <c r="C412">
        <v>0.5</v>
      </c>
      <c r="D412">
        <v>0.95</v>
      </c>
      <c r="E412" t="s">
        <v>90</v>
      </c>
      <c r="F412">
        <v>0.96702964307320005</v>
      </c>
      <c r="G412">
        <v>82</v>
      </c>
    </row>
    <row r="413" spans="1:7" x14ac:dyDescent="0.3">
      <c r="A413" t="s">
        <v>56</v>
      </c>
      <c r="B413">
        <v>50</v>
      </c>
      <c r="C413">
        <v>0.5</v>
      </c>
      <c r="D413">
        <v>0.95</v>
      </c>
      <c r="E413" t="s">
        <v>86</v>
      </c>
      <c r="F413">
        <v>0.96723129663238605</v>
      </c>
      <c r="G413">
        <v>82</v>
      </c>
    </row>
    <row r="414" spans="1:7" x14ac:dyDescent="0.3">
      <c r="A414" t="s">
        <v>56</v>
      </c>
      <c r="B414">
        <v>50</v>
      </c>
      <c r="C414">
        <v>0.5</v>
      </c>
      <c r="D414">
        <v>0.95</v>
      </c>
      <c r="E414" t="s">
        <v>55</v>
      </c>
      <c r="F414">
        <v>0.97060000000000002</v>
      </c>
      <c r="G414">
        <v>0</v>
      </c>
    </row>
    <row r="415" spans="1:7" x14ac:dyDescent="0.3">
      <c r="A415" t="s">
        <v>56</v>
      </c>
      <c r="B415">
        <v>50</v>
      </c>
      <c r="C415">
        <v>0.5</v>
      </c>
      <c r="D415">
        <v>0.95</v>
      </c>
      <c r="E415" t="s">
        <v>58</v>
      </c>
      <c r="F415">
        <v>0.84970000000000001</v>
      </c>
      <c r="G415">
        <v>0</v>
      </c>
    </row>
    <row r="416" spans="1:7" x14ac:dyDescent="0.3">
      <c r="A416" t="s">
        <v>56</v>
      </c>
      <c r="B416">
        <v>50</v>
      </c>
      <c r="C416">
        <v>0.5</v>
      </c>
      <c r="D416">
        <v>0.9</v>
      </c>
      <c r="E416" t="s">
        <v>32</v>
      </c>
      <c r="F416">
        <v>0.88549999999999995</v>
      </c>
      <c r="G416">
        <v>0</v>
      </c>
    </row>
    <row r="417" spans="1:7" x14ac:dyDescent="0.3">
      <c r="A417" t="s">
        <v>56</v>
      </c>
      <c r="B417">
        <v>50</v>
      </c>
      <c r="C417">
        <v>0.5</v>
      </c>
      <c r="D417">
        <v>0.9</v>
      </c>
      <c r="E417" t="s">
        <v>33</v>
      </c>
      <c r="F417">
        <v>0.93789999999999996</v>
      </c>
      <c r="G417">
        <v>0</v>
      </c>
    </row>
    <row r="418" spans="1:7" x14ac:dyDescent="0.3">
      <c r="A418" t="s">
        <v>56</v>
      </c>
      <c r="B418">
        <v>50</v>
      </c>
      <c r="C418">
        <v>0.5</v>
      </c>
      <c r="D418">
        <v>0.9</v>
      </c>
      <c r="E418" t="s">
        <v>34</v>
      </c>
      <c r="F418">
        <v>0.90390000000000004</v>
      </c>
      <c r="G418">
        <v>0</v>
      </c>
    </row>
    <row r="419" spans="1:7" x14ac:dyDescent="0.3">
      <c r="A419" t="s">
        <v>56</v>
      </c>
      <c r="B419">
        <v>50</v>
      </c>
      <c r="C419">
        <v>0.5</v>
      </c>
      <c r="D419">
        <v>0.9</v>
      </c>
      <c r="E419" t="s">
        <v>88</v>
      </c>
      <c r="F419">
        <v>0.89101531023368297</v>
      </c>
      <c r="G419">
        <v>72</v>
      </c>
    </row>
    <row r="420" spans="1:7" x14ac:dyDescent="0.3">
      <c r="A420" t="s">
        <v>56</v>
      </c>
      <c r="B420">
        <v>50</v>
      </c>
      <c r="C420">
        <v>0.5</v>
      </c>
      <c r="D420">
        <v>0.9</v>
      </c>
      <c r="E420" t="s">
        <v>84</v>
      </c>
      <c r="F420">
        <v>0.89182111200644598</v>
      </c>
      <c r="G420">
        <v>72</v>
      </c>
    </row>
    <row r="421" spans="1:7" x14ac:dyDescent="0.3">
      <c r="A421" t="s">
        <v>56</v>
      </c>
      <c r="B421">
        <v>50</v>
      </c>
      <c r="C421">
        <v>0.5</v>
      </c>
      <c r="D421">
        <v>0.9</v>
      </c>
      <c r="E421" t="s">
        <v>92</v>
      </c>
      <c r="F421">
        <v>0.89326123961149495</v>
      </c>
      <c r="G421">
        <v>13</v>
      </c>
    </row>
    <row r="422" spans="1:7" x14ac:dyDescent="0.3">
      <c r="A422" t="s">
        <v>56</v>
      </c>
      <c r="B422">
        <v>50</v>
      </c>
      <c r="C422">
        <v>0.5</v>
      </c>
      <c r="D422">
        <v>0.9</v>
      </c>
      <c r="E422" t="s">
        <v>90</v>
      </c>
      <c r="F422">
        <v>0.925589836660617</v>
      </c>
      <c r="G422">
        <v>82</v>
      </c>
    </row>
    <row r="423" spans="1:7" x14ac:dyDescent="0.3">
      <c r="A423" t="s">
        <v>56</v>
      </c>
      <c r="B423">
        <v>50</v>
      </c>
      <c r="C423">
        <v>0.5</v>
      </c>
      <c r="D423">
        <v>0.9</v>
      </c>
      <c r="E423" t="s">
        <v>86</v>
      </c>
      <c r="F423">
        <v>0.926698931236136</v>
      </c>
      <c r="G423">
        <v>82</v>
      </c>
    </row>
    <row r="424" spans="1:7" x14ac:dyDescent="0.3">
      <c r="A424" t="s">
        <v>56</v>
      </c>
      <c r="B424">
        <v>50</v>
      </c>
      <c r="C424">
        <v>0.5</v>
      </c>
      <c r="D424">
        <v>0.9</v>
      </c>
      <c r="E424" t="s">
        <v>55</v>
      </c>
      <c r="F424">
        <v>0.93789999999999996</v>
      </c>
      <c r="G424">
        <v>0</v>
      </c>
    </row>
    <row r="425" spans="1:7" x14ac:dyDescent="0.3">
      <c r="A425" t="s">
        <v>56</v>
      </c>
      <c r="B425">
        <v>50</v>
      </c>
      <c r="C425">
        <v>0.5</v>
      </c>
      <c r="D425">
        <v>0.9</v>
      </c>
      <c r="E425" t="s">
        <v>58</v>
      </c>
      <c r="F425">
        <v>0.75139999999999996</v>
      </c>
      <c r="G425">
        <v>0</v>
      </c>
    </row>
    <row r="426" spans="1:7" x14ac:dyDescent="0.3">
      <c r="A426" t="s">
        <v>57</v>
      </c>
      <c r="B426">
        <v>50</v>
      </c>
      <c r="C426">
        <v>0.5</v>
      </c>
      <c r="D426">
        <v>0.95</v>
      </c>
      <c r="E426" t="s">
        <v>32</v>
      </c>
      <c r="F426">
        <v>0.93559999999999999</v>
      </c>
      <c r="G426">
        <v>0</v>
      </c>
    </row>
    <row r="427" spans="1:7" x14ac:dyDescent="0.3">
      <c r="A427" t="s">
        <v>57</v>
      </c>
      <c r="B427">
        <v>50</v>
      </c>
      <c r="C427">
        <v>0.5</v>
      </c>
      <c r="D427">
        <v>0.95</v>
      </c>
      <c r="E427" t="s">
        <v>33</v>
      </c>
      <c r="F427">
        <v>0.96599999999999997</v>
      </c>
      <c r="G427">
        <v>0</v>
      </c>
    </row>
    <row r="428" spans="1:7" x14ac:dyDescent="0.3">
      <c r="A428" t="s">
        <v>57</v>
      </c>
      <c r="B428">
        <v>50</v>
      </c>
      <c r="C428">
        <v>0.5</v>
      </c>
      <c r="D428">
        <v>0.95</v>
      </c>
      <c r="E428" t="s">
        <v>34</v>
      </c>
      <c r="F428">
        <v>0.95189999999999997</v>
      </c>
      <c r="G428">
        <v>0</v>
      </c>
    </row>
    <row r="429" spans="1:7" x14ac:dyDescent="0.3">
      <c r="A429" t="s">
        <v>57</v>
      </c>
      <c r="B429">
        <v>50</v>
      </c>
      <c r="C429">
        <v>0.5</v>
      </c>
      <c r="D429">
        <v>0.95</v>
      </c>
      <c r="E429" t="s">
        <v>88</v>
      </c>
      <c r="F429">
        <v>0.94648394518355505</v>
      </c>
      <c r="G429">
        <v>3</v>
      </c>
    </row>
    <row r="430" spans="1:7" x14ac:dyDescent="0.3">
      <c r="A430" t="s">
        <v>57</v>
      </c>
      <c r="B430">
        <v>50</v>
      </c>
      <c r="C430">
        <v>0.5</v>
      </c>
      <c r="D430">
        <v>0.95</v>
      </c>
      <c r="E430" t="s">
        <v>84</v>
      </c>
      <c r="F430">
        <v>0.94748424527358199</v>
      </c>
      <c r="G430">
        <v>3</v>
      </c>
    </row>
    <row r="431" spans="1:7" x14ac:dyDescent="0.3">
      <c r="A431" t="s">
        <v>57</v>
      </c>
      <c r="B431">
        <v>50</v>
      </c>
      <c r="C431">
        <v>0.5</v>
      </c>
      <c r="D431">
        <v>0.95</v>
      </c>
      <c r="E431" t="s">
        <v>92</v>
      </c>
      <c r="F431">
        <v>0.94859485948594902</v>
      </c>
      <c r="G431">
        <v>1</v>
      </c>
    </row>
    <row r="432" spans="1:7" x14ac:dyDescent="0.3">
      <c r="A432" t="s">
        <v>57</v>
      </c>
      <c r="B432">
        <v>50</v>
      </c>
      <c r="C432">
        <v>0.5</v>
      </c>
      <c r="D432">
        <v>0.95</v>
      </c>
      <c r="E432" t="s">
        <v>90</v>
      </c>
      <c r="F432">
        <v>0.95999199839967997</v>
      </c>
      <c r="G432">
        <v>2</v>
      </c>
    </row>
    <row r="433" spans="1:7" x14ac:dyDescent="0.3">
      <c r="A433" t="s">
        <v>57</v>
      </c>
      <c r="B433">
        <v>50</v>
      </c>
      <c r="C433">
        <v>0.5</v>
      </c>
      <c r="D433">
        <v>0.95</v>
      </c>
      <c r="E433" t="s">
        <v>86</v>
      </c>
      <c r="F433">
        <v>0.96099219843968797</v>
      </c>
      <c r="G433">
        <v>2</v>
      </c>
    </row>
    <row r="434" spans="1:7" x14ac:dyDescent="0.3">
      <c r="A434" t="s">
        <v>57</v>
      </c>
      <c r="B434">
        <v>50</v>
      </c>
      <c r="C434">
        <v>0.5</v>
      </c>
      <c r="D434">
        <v>0.95</v>
      </c>
      <c r="E434" t="s">
        <v>55</v>
      </c>
      <c r="F434">
        <v>0.96599999999999997</v>
      </c>
      <c r="G434">
        <v>0</v>
      </c>
    </row>
    <row r="435" spans="1:7" x14ac:dyDescent="0.3">
      <c r="A435" t="s">
        <v>57</v>
      </c>
      <c r="B435">
        <v>50</v>
      </c>
      <c r="C435">
        <v>0.5</v>
      </c>
      <c r="D435">
        <v>0.95</v>
      </c>
      <c r="E435" t="s">
        <v>58</v>
      </c>
      <c r="F435">
        <v>0.78920000000000001</v>
      </c>
      <c r="G435">
        <v>0</v>
      </c>
    </row>
    <row r="436" spans="1:7" x14ac:dyDescent="0.3">
      <c r="A436" t="s">
        <v>57</v>
      </c>
      <c r="B436">
        <v>50</v>
      </c>
      <c r="C436">
        <v>0.5</v>
      </c>
      <c r="D436">
        <v>0.9</v>
      </c>
      <c r="E436" t="s">
        <v>32</v>
      </c>
      <c r="F436">
        <v>0.88029999999999997</v>
      </c>
      <c r="G436">
        <v>0</v>
      </c>
    </row>
    <row r="437" spans="1:7" x14ac:dyDescent="0.3">
      <c r="A437" t="s">
        <v>57</v>
      </c>
      <c r="B437">
        <v>50</v>
      </c>
      <c r="C437">
        <v>0.5</v>
      </c>
      <c r="D437">
        <v>0.9</v>
      </c>
      <c r="E437" t="s">
        <v>33</v>
      </c>
      <c r="F437">
        <v>0.93559999999999999</v>
      </c>
      <c r="G437">
        <v>0</v>
      </c>
    </row>
    <row r="438" spans="1:7" x14ac:dyDescent="0.3">
      <c r="A438" t="s">
        <v>57</v>
      </c>
      <c r="B438">
        <v>50</v>
      </c>
      <c r="C438">
        <v>0.5</v>
      </c>
      <c r="D438">
        <v>0.9</v>
      </c>
      <c r="E438" t="s">
        <v>34</v>
      </c>
      <c r="F438">
        <v>0.90010000000000001</v>
      </c>
      <c r="G438">
        <v>0</v>
      </c>
    </row>
    <row r="439" spans="1:7" x14ac:dyDescent="0.3">
      <c r="A439" t="s">
        <v>57</v>
      </c>
      <c r="B439">
        <v>50</v>
      </c>
      <c r="C439">
        <v>0.5</v>
      </c>
      <c r="D439">
        <v>0.9</v>
      </c>
      <c r="E439" t="s">
        <v>88</v>
      </c>
      <c r="F439">
        <v>0.89216765029508804</v>
      </c>
      <c r="G439">
        <v>3</v>
      </c>
    </row>
    <row r="440" spans="1:7" x14ac:dyDescent="0.3">
      <c r="A440" t="s">
        <v>57</v>
      </c>
      <c r="B440">
        <v>50</v>
      </c>
      <c r="C440">
        <v>0.5</v>
      </c>
      <c r="D440">
        <v>0.9</v>
      </c>
      <c r="E440" t="s">
        <v>84</v>
      </c>
      <c r="F440">
        <v>0.89346804041212402</v>
      </c>
      <c r="G440">
        <v>3</v>
      </c>
    </row>
    <row r="441" spans="1:7" x14ac:dyDescent="0.3">
      <c r="A441" t="s">
        <v>57</v>
      </c>
      <c r="B441">
        <v>50</v>
      </c>
      <c r="C441">
        <v>0.5</v>
      </c>
      <c r="D441">
        <v>0.9</v>
      </c>
      <c r="E441" t="s">
        <v>92</v>
      </c>
      <c r="F441">
        <v>0.89608960896089596</v>
      </c>
      <c r="G441">
        <v>1</v>
      </c>
    </row>
    <row r="442" spans="1:7" x14ac:dyDescent="0.3">
      <c r="A442" t="s">
        <v>57</v>
      </c>
      <c r="B442">
        <v>50</v>
      </c>
      <c r="C442">
        <v>0.5</v>
      </c>
      <c r="D442">
        <v>0.9</v>
      </c>
      <c r="E442" t="s">
        <v>90</v>
      </c>
      <c r="F442">
        <v>0.91648329665933204</v>
      </c>
      <c r="G442">
        <v>2</v>
      </c>
    </row>
    <row r="443" spans="1:7" x14ac:dyDescent="0.3">
      <c r="A443" t="s">
        <v>57</v>
      </c>
      <c r="B443">
        <v>50</v>
      </c>
      <c r="C443">
        <v>0.5</v>
      </c>
      <c r="D443">
        <v>0.9</v>
      </c>
      <c r="E443" t="s">
        <v>86</v>
      </c>
      <c r="F443">
        <v>0.91858371674334904</v>
      </c>
      <c r="G443">
        <v>2</v>
      </c>
    </row>
    <row r="444" spans="1:7" x14ac:dyDescent="0.3">
      <c r="A444" t="s">
        <v>57</v>
      </c>
      <c r="B444">
        <v>50</v>
      </c>
      <c r="C444">
        <v>0.5</v>
      </c>
      <c r="D444">
        <v>0.9</v>
      </c>
      <c r="E444" t="s">
        <v>55</v>
      </c>
      <c r="F444">
        <v>0.93559999999999999</v>
      </c>
      <c r="G444">
        <v>0</v>
      </c>
    </row>
    <row r="445" spans="1:7" x14ac:dyDescent="0.3">
      <c r="A445" t="s">
        <v>57</v>
      </c>
      <c r="B445">
        <v>50</v>
      </c>
      <c r="C445">
        <v>0.5</v>
      </c>
      <c r="D445">
        <v>0.9</v>
      </c>
      <c r="E445" t="s">
        <v>58</v>
      </c>
      <c r="F445">
        <v>0.6774</v>
      </c>
      <c r="G445">
        <v>0</v>
      </c>
    </row>
    <row r="446" spans="1:7" x14ac:dyDescent="0.3">
      <c r="A446" t="s">
        <v>31</v>
      </c>
      <c r="B446">
        <v>100</v>
      </c>
      <c r="C446">
        <v>0.5</v>
      </c>
      <c r="D446">
        <v>0.95</v>
      </c>
      <c r="E446" t="s">
        <v>32</v>
      </c>
      <c r="F446">
        <v>0.94610000000000005</v>
      </c>
      <c r="G446">
        <v>0</v>
      </c>
    </row>
    <row r="447" spans="1:7" x14ac:dyDescent="0.3">
      <c r="A447" t="s">
        <v>31</v>
      </c>
      <c r="B447">
        <v>100</v>
      </c>
      <c r="C447">
        <v>0.5</v>
      </c>
      <c r="D447">
        <v>0.95</v>
      </c>
      <c r="E447" t="s">
        <v>33</v>
      </c>
      <c r="F447">
        <v>0.96619999999999995</v>
      </c>
      <c r="G447">
        <v>0</v>
      </c>
    </row>
    <row r="448" spans="1:7" x14ac:dyDescent="0.3">
      <c r="A448" t="s">
        <v>31</v>
      </c>
      <c r="B448">
        <v>100</v>
      </c>
      <c r="C448">
        <v>0.5</v>
      </c>
      <c r="D448">
        <v>0.95</v>
      </c>
      <c r="E448" t="s">
        <v>34</v>
      </c>
      <c r="F448">
        <v>0.95409999999999995</v>
      </c>
      <c r="G448">
        <v>0</v>
      </c>
    </row>
    <row r="449" spans="1:7" x14ac:dyDescent="0.3">
      <c r="A449" t="s">
        <v>31</v>
      </c>
      <c r="B449">
        <v>100</v>
      </c>
      <c r="C449">
        <v>0.5</v>
      </c>
      <c r="D449">
        <v>0.95</v>
      </c>
      <c r="E449" t="s">
        <v>88</v>
      </c>
      <c r="F449">
        <v>0.95016012810248196</v>
      </c>
      <c r="G449">
        <v>8</v>
      </c>
    </row>
    <row r="450" spans="1:7" x14ac:dyDescent="0.3">
      <c r="A450" t="s">
        <v>31</v>
      </c>
      <c r="B450">
        <v>100</v>
      </c>
      <c r="C450">
        <v>0.5</v>
      </c>
      <c r="D450">
        <v>0.95</v>
      </c>
      <c r="E450" t="s">
        <v>84</v>
      </c>
      <c r="F450">
        <v>0.95076060848678901</v>
      </c>
      <c r="G450">
        <v>8</v>
      </c>
    </row>
    <row r="451" spans="1:7" x14ac:dyDescent="0.3">
      <c r="A451" t="s">
        <v>31</v>
      </c>
      <c r="B451">
        <v>100</v>
      </c>
      <c r="C451">
        <v>0.5</v>
      </c>
      <c r="D451">
        <v>0.95</v>
      </c>
      <c r="E451" t="s">
        <v>92</v>
      </c>
      <c r="F451">
        <v>0.95148544563368997</v>
      </c>
      <c r="G451">
        <v>3</v>
      </c>
    </row>
    <row r="452" spans="1:7" x14ac:dyDescent="0.3">
      <c r="A452" t="s">
        <v>31</v>
      </c>
      <c r="B452">
        <v>100</v>
      </c>
      <c r="C452">
        <v>0.5</v>
      </c>
      <c r="D452">
        <v>0.95</v>
      </c>
      <c r="E452" t="s">
        <v>90</v>
      </c>
      <c r="F452">
        <v>0.95927149004303003</v>
      </c>
      <c r="G452">
        <v>7</v>
      </c>
    </row>
    <row r="453" spans="1:7" x14ac:dyDescent="0.3">
      <c r="A453" t="s">
        <v>31</v>
      </c>
      <c r="B453">
        <v>100</v>
      </c>
      <c r="C453">
        <v>0.5</v>
      </c>
      <c r="D453">
        <v>0.95</v>
      </c>
      <c r="E453" t="s">
        <v>86</v>
      </c>
      <c r="F453">
        <v>0.960472330631442</v>
      </c>
      <c r="G453">
        <v>7</v>
      </c>
    </row>
    <row r="454" spans="1:7" x14ac:dyDescent="0.3">
      <c r="A454" t="s">
        <v>31</v>
      </c>
      <c r="B454">
        <v>100</v>
      </c>
      <c r="C454">
        <v>0.5</v>
      </c>
      <c r="D454">
        <v>0.95</v>
      </c>
      <c r="E454" t="s">
        <v>55</v>
      </c>
      <c r="F454">
        <v>0.96619999999999995</v>
      </c>
      <c r="G454">
        <v>0</v>
      </c>
    </row>
    <row r="455" spans="1:7" x14ac:dyDescent="0.3">
      <c r="A455" t="s">
        <v>31</v>
      </c>
      <c r="B455">
        <v>100</v>
      </c>
      <c r="C455">
        <v>0.5</v>
      </c>
      <c r="D455">
        <v>0.95</v>
      </c>
      <c r="E455" t="s">
        <v>58</v>
      </c>
      <c r="F455">
        <v>0.94779999999999998</v>
      </c>
      <c r="G455">
        <v>0</v>
      </c>
    </row>
    <row r="456" spans="1:7" x14ac:dyDescent="0.3">
      <c r="A456" t="s">
        <v>31</v>
      </c>
      <c r="B456">
        <v>100</v>
      </c>
      <c r="C456">
        <v>0.5</v>
      </c>
      <c r="D456">
        <v>0.9</v>
      </c>
      <c r="E456" t="s">
        <v>32</v>
      </c>
      <c r="F456">
        <v>0.91549999999999998</v>
      </c>
      <c r="G456">
        <v>0</v>
      </c>
    </row>
    <row r="457" spans="1:7" x14ac:dyDescent="0.3">
      <c r="A457" t="s">
        <v>31</v>
      </c>
      <c r="B457">
        <v>100</v>
      </c>
      <c r="C457">
        <v>0.5</v>
      </c>
      <c r="D457">
        <v>0.9</v>
      </c>
      <c r="E457" t="s">
        <v>33</v>
      </c>
      <c r="F457">
        <v>0.91549999999999998</v>
      </c>
      <c r="G457">
        <v>0</v>
      </c>
    </row>
    <row r="458" spans="1:7" x14ac:dyDescent="0.3">
      <c r="A458" t="s">
        <v>31</v>
      </c>
      <c r="B458">
        <v>100</v>
      </c>
      <c r="C458">
        <v>0.5</v>
      </c>
      <c r="D458">
        <v>0.9</v>
      </c>
      <c r="E458" t="s">
        <v>34</v>
      </c>
      <c r="F458">
        <v>0.90500000000000003</v>
      </c>
      <c r="G458">
        <v>0</v>
      </c>
    </row>
    <row r="459" spans="1:7" x14ac:dyDescent="0.3">
      <c r="A459" t="s">
        <v>31</v>
      </c>
      <c r="B459">
        <v>100</v>
      </c>
      <c r="C459">
        <v>0.5</v>
      </c>
      <c r="D459">
        <v>0.9</v>
      </c>
      <c r="E459" t="s">
        <v>88</v>
      </c>
      <c r="F459">
        <v>0.90662530024019194</v>
      </c>
      <c r="G459">
        <v>8</v>
      </c>
    </row>
    <row r="460" spans="1:7" x14ac:dyDescent="0.3">
      <c r="A460" t="s">
        <v>31</v>
      </c>
      <c r="B460">
        <v>100</v>
      </c>
      <c r="C460">
        <v>0.5</v>
      </c>
      <c r="D460">
        <v>0.9</v>
      </c>
      <c r="E460" t="s">
        <v>84</v>
      </c>
      <c r="F460">
        <v>0.90722578062449999</v>
      </c>
      <c r="G460">
        <v>8</v>
      </c>
    </row>
    <row r="461" spans="1:7" x14ac:dyDescent="0.3">
      <c r="A461" t="s">
        <v>31</v>
      </c>
      <c r="B461">
        <v>100</v>
      </c>
      <c r="C461">
        <v>0.5</v>
      </c>
      <c r="D461">
        <v>0.9</v>
      </c>
      <c r="E461" t="s">
        <v>92</v>
      </c>
      <c r="F461">
        <v>0.90867260178053399</v>
      </c>
      <c r="G461">
        <v>3</v>
      </c>
    </row>
    <row r="462" spans="1:7" x14ac:dyDescent="0.3">
      <c r="A462" t="s">
        <v>31</v>
      </c>
      <c r="B462">
        <v>100</v>
      </c>
      <c r="C462">
        <v>0.5</v>
      </c>
      <c r="D462">
        <v>0.9</v>
      </c>
      <c r="E462" t="s">
        <v>90</v>
      </c>
      <c r="F462">
        <v>0.91193835684979496</v>
      </c>
      <c r="G462">
        <v>7</v>
      </c>
    </row>
    <row r="463" spans="1:7" x14ac:dyDescent="0.3">
      <c r="A463" t="s">
        <v>31</v>
      </c>
      <c r="B463">
        <v>100</v>
      </c>
      <c r="C463">
        <v>0.5</v>
      </c>
      <c r="D463">
        <v>0.9</v>
      </c>
      <c r="E463" t="s">
        <v>86</v>
      </c>
      <c r="F463">
        <v>0.912438707094966</v>
      </c>
      <c r="G463">
        <v>7</v>
      </c>
    </row>
    <row r="464" spans="1:7" x14ac:dyDescent="0.3">
      <c r="A464" t="s">
        <v>31</v>
      </c>
      <c r="B464">
        <v>100</v>
      </c>
      <c r="C464">
        <v>0.5</v>
      </c>
      <c r="D464">
        <v>0.9</v>
      </c>
      <c r="E464" t="s">
        <v>55</v>
      </c>
      <c r="F464">
        <v>0.91549999999999998</v>
      </c>
      <c r="G464">
        <v>0</v>
      </c>
    </row>
    <row r="465" spans="1:7" x14ac:dyDescent="0.3">
      <c r="A465" t="s">
        <v>31</v>
      </c>
      <c r="B465">
        <v>100</v>
      </c>
      <c r="C465">
        <v>0.5</v>
      </c>
      <c r="D465">
        <v>0.9</v>
      </c>
      <c r="E465" t="s">
        <v>58</v>
      </c>
      <c r="F465">
        <v>0.90010000000000001</v>
      </c>
      <c r="G465">
        <v>0</v>
      </c>
    </row>
    <row r="466" spans="1:7" x14ac:dyDescent="0.3">
      <c r="A466" t="s">
        <v>56</v>
      </c>
      <c r="B466">
        <v>100</v>
      </c>
      <c r="C466">
        <v>0.5</v>
      </c>
      <c r="D466">
        <v>0.95</v>
      </c>
      <c r="E466" t="s">
        <v>32</v>
      </c>
      <c r="F466">
        <v>0.94399999999999995</v>
      </c>
      <c r="G466">
        <v>0</v>
      </c>
    </row>
    <row r="467" spans="1:7" x14ac:dyDescent="0.3">
      <c r="A467" t="s">
        <v>56</v>
      </c>
      <c r="B467">
        <v>100</v>
      </c>
      <c r="C467">
        <v>0.5</v>
      </c>
      <c r="D467">
        <v>0.95</v>
      </c>
      <c r="E467" t="s">
        <v>33</v>
      </c>
      <c r="F467">
        <v>0.96509999999999996</v>
      </c>
      <c r="G467">
        <v>0</v>
      </c>
    </row>
    <row r="468" spans="1:7" x14ac:dyDescent="0.3">
      <c r="A468" t="s">
        <v>56</v>
      </c>
      <c r="B468">
        <v>100</v>
      </c>
      <c r="C468">
        <v>0.5</v>
      </c>
      <c r="D468">
        <v>0.95</v>
      </c>
      <c r="E468" t="s">
        <v>34</v>
      </c>
      <c r="F468">
        <v>0.9506</v>
      </c>
      <c r="G468">
        <v>0</v>
      </c>
    </row>
    <row r="469" spans="1:7" x14ac:dyDescent="0.3">
      <c r="A469" t="s">
        <v>56</v>
      </c>
      <c r="B469">
        <v>100</v>
      </c>
      <c r="C469">
        <v>0.5</v>
      </c>
      <c r="D469">
        <v>0.95</v>
      </c>
      <c r="E469" t="s">
        <v>88</v>
      </c>
      <c r="F469">
        <v>0.94661707047350996</v>
      </c>
      <c r="G469">
        <v>53</v>
      </c>
    </row>
    <row r="470" spans="1:7" x14ac:dyDescent="0.3">
      <c r="A470" t="s">
        <v>56</v>
      </c>
      <c r="B470">
        <v>100</v>
      </c>
      <c r="C470">
        <v>0.5</v>
      </c>
      <c r="D470">
        <v>0.95</v>
      </c>
      <c r="E470" t="s">
        <v>84</v>
      </c>
      <c r="F470">
        <v>0.94701920176937804</v>
      </c>
      <c r="G470">
        <v>53</v>
      </c>
    </row>
    <row r="471" spans="1:7" x14ac:dyDescent="0.3">
      <c r="A471" t="s">
        <v>56</v>
      </c>
      <c r="B471">
        <v>100</v>
      </c>
      <c r="C471">
        <v>0.5</v>
      </c>
      <c r="D471">
        <v>0.95</v>
      </c>
      <c r="E471" t="s">
        <v>92</v>
      </c>
      <c r="F471">
        <v>0.94743692430917104</v>
      </c>
      <c r="G471">
        <v>12</v>
      </c>
    </row>
    <row r="472" spans="1:7" x14ac:dyDescent="0.3">
      <c r="A472" t="s">
        <v>56</v>
      </c>
      <c r="B472">
        <v>100</v>
      </c>
      <c r="C472">
        <v>0.5</v>
      </c>
      <c r="D472">
        <v>0.95</v>
      </c>
      <c r="E472" t="s">
        <v>90</v>
      </c>
      <c r="F472">
        <v>0.95757514828591495</v>
      </c>
      <c r="G472">
        <v>53</v>
      </c>
    </row>
    <row r="473" spans="1:7" x14ac:dyDescent="0.3">
      <c r="A473" t="s">
        <v>56</v>
      </c>
      <c r="B473">
        <v>100</v>
      </c>
      <c r="C473">
        <v>0.5</v>
      </c>
      <c r="D473">
        <v>0.95</v>
      </c>
      <c r="E473" t="s">
        <v>86</v>
      </c>
      <c r="F473">
        <v>0.95868100934955303</v>
      </c>
      <c r="G473">
        <v>53</v>
      </c>
    </row>
    <row r="474" spans="1:7" x14ac:dyDescent="0.3">
      <c r="A474" t="s">
        <v>56</v>
      </c>
      <c r="B474">
        <v>100</v>
      </c>
      <c r="C474">
        <v>0.5</v>
      </c>
      <c r="D474">
        <v>0.95</v>
      </c>
      <c r="E474" t="s">
        <v>55</v>
      </c>
      <c r="F474">
        <v>0.96509999999999996</v>
      </c>
      <c r="G474">
        <v>0</v>
      </c>
    </row>
    <row r="475" spans="1:7" x14ac:dyDescent="0.3">
      <c r="A475" t="s">
        <v>56</v>
      </c>
      <c r="B475">
        <v>100</v>
      </c>
      <c r="C475">
        <v>0.5</v>
      </c>
      <c r="D475">
        <v>0.95</v>
      </c>
      <c r="E475" t="s">
        <v>58</v>
      </c>
      <c r="F475">
        <v>0.73270000000000002</v>
      </c>
      <c r="G475">
        <v>0</v>
      </c>
    </row>
    <row r="476" spans="1:7" x14ac:dyDescent="0.3">
      <c r="A476" t="s">
        <v>56</v>
      </c>
      <c r="B476">
        <v>100</v>
      </c>
      <c r="C476">
        <v>0.5</v>
      </c>
      <c r="D476">
        <v>0.9</v>
      </c>
      <c r="E476" t="s">
        <v>32</v>
      </c>
      <c r="F476">
        <v>0.91300000000000003</v>
      </c>
      <c r="G476">
        <v>0</v>
      </c>
    </row>
    <row r="477" spans="1:7" x14ac:dyDescent="0.3">
      <c r="A477" t="s">
        <v>56</v>
      </c>
      <c r="B477">
        <v>100</v>
      </c>
      <c r="C477">
        <v>0.5</v>
      </c>
      <c r="D477">
        <v>0.9</v>
      </c>
      <c r="E477" t="s">
        <v>33</v>
      </c>
      <c r="F477">
        <v>0.91300000000000003</v>
      </c>
      <c r="G477">
        <v>0</v>
      </c>
    </row>
    <row r="478" spans="1:7" x14ac:dyDescent="0.3">
      <c r="A478" t="s">
        <v>56</v>
      </c>
      <c r="B478">
        <v>100</v>
      </c>
      <c r="C478">
        <v>0.5</v>
      </c>
      <c r="D478">
        <v>0.9</v>
      </c>
      <c r="E478" t="s">
        <v>34</v>
      </c>
      <c r="F478">
        <v>0.90280000000000005</v>
      </c>
      <c r="G478">
        <v>0</v>
      </c>
    </row>
    <row r="479" spans="1:7" x14ac:dyDescent="0.3">
      <c r="A479" t="s">
        <v>56</v>
      </c>
      <c r="B479">
        <v>100</v>
      </c>
      <c r="C479">
        <v>0.5</v>
      </c>
      <c r="D479">
        <v>0.9</v>
      </c>
      <c r="E479" t="s">
        <v>88</v>
      </c>
      <c r="F479">
        <v>0.90761033477430397</v>
      </c>
      <c r="G479">
        <v>53</v>
      </c>
    </row>
    <row r="480" spans="1:7" x14ac:dyDescent="0.3">
      <c r="A480" t="s">
        <v>56</v>
      </c>
      <c r="B480">
        <v>100</v>
      </c>
      <c r="C480">
        <v>0.5</v>
      </c>
      <c r="D480">
        <v>0.9</v>
      </c>
      <c r="E480" t="s">
        <v>84</v>
      </c>
      <c r="F480">
        <v>0.90791193324620501</v>
      </c>
      <c r="G480">
        <v>53</v>
      </c>
    </row>
    <row r="481" spans="1:7" x14ac:dyDescent="0.3">
      <c r="A481" t="s">
        <v>56</v>
      </c>
      <c r="B481">
        <v>100</v>
      </c>
      <c r="C481">
        <v>0.5</v>
      </c>
      <c r="D481">
        <v>0.9</v>
      </c>
      <c r="E481" t="s">
        <v>92</v>
      </c>
      <c r="F481">
        <v>0.90839006808169798</v>
      </c>
      <c r="G481">
        <v>12</v>
      </c>
    </row>
    <row r="482" spans="1:7" x14ac:dyDescent="0.3">
      <c r="A482" t="s">
        <v>56</v>
      </c>
      <c r="B482">
        <v>100</v>
      </c>
      <c r="C482">
        <v>0.5</v>
      </c>
      <c r="D482">
        <v>0.9</v>
      </c>
      <c r="E482" t="s">
        <v>90</v>
      </c>
      <c r="F482">
        <v>0.91052578666934803</v>
      </c>
      <c r="G482">
        <v>53</v>
      </c>
    </row>
    <row r="483" spans="1:7" x14ac:dyDescent="0.3">
      <c r="A483" t="s">
        <v>56</v>
      </c>
      <c r="B483">
        <v>100</v>
      </c>
      <c r="C483">
        <v>0.5</v>
      </c>
      <c r="D483">
        <v>0.9</v>
      </c>
      <c r="E483" t="s">
        <v>86</v>
      </c>
      <c r="F483">
        <v>0.91072685231728201</v>
      </c>
      <c r="G483">
        <v>53</v>
      </c>
    </row>
    <row r="484" spans="1:7" x14ac:dyDescent="0.3">
      <c r="A484" t="s">
        <v>56</v>
      </c>
      <c r="B484">
        <v>100</v>
      </c>
      <c r="C484">
        <v>0.5</v>
      </c>
      <c r="D484">
        <v>0.9</v>
      </c>
      <c r="E484" t="s">
        <v>55</v>
      </c>
      <c r="F484">
        <v>0.91300000000000003</v>
      </c>
      <c r="G484">
        <v>0</v>
      </c>
    </row>
    <row r="485" spans="1:7" x14ac:dyDescent="0.3">
      <c r="A485" t="s">
        <v>56</v>
      </c>
      <c r="B485">
        <v>100</v>
      </c>
      <c r="C485">
        <v>0.5</v>
      </c>
      <c r="D485">
        <v>0.9</v>
      </c>
      <c r="E485" t="s">
        <v>58</v>
      </c>
      <c r="F485">
        <v>0.61680000000000001</v>
      </c>
      <c r="G485">
        <v>0</v>
      </c>
    </row>
    <row r="486" spans="1:7" x14ac:dyDescent="0.3">
      <c r="A486" t="s">
        <v>57</v>
      </c>
      <c r="B486">
        <v>100</v>
      </c>
      <c r="C486">
        <v>0.5</v>
      </c>
      <c r="D486">
        <v>0.95</v>
      </c>
      <c r="E486" t="s">
        <v>32</v>
      </c>
      <c r="F486">
        <v>0.94550000000000001</v>
      </c>
      <c r="G486">
        <v>0</v>
      </c>
    </row>
    <row r="487" spans="1:7" x14ac:dyDescent="0.3">
      <c r="A487" t="s">
        <v>57</v>
      </c>
      <c r="B487">
        <v>100</v>
      </c>
      <c r="C487">
        <v>0.5</v>
      </c>
      <c r="D487">
        <v>0.95</v>
      </c>
      <c r="E487" t="s">
        <v>33</v>
      </c>
      <c r="F487">
        <v>0.96279999999999999</v>
      </c>
      <c r="G487">
        <v>0</v>
      </c>
    </row>
    <row r="488" spans="1:7" x14ac:dyDescent="0.3">
      <c r="A488" t="s">
        <v>57</v>
      </c>
      <c r="B488">
        <v>100</v>
      </c>
      <c r="C488">
        <v>0.5</v>
      </c>
      <c r="D488">
        <v>0.95</v>
      </c>
      <c r="E488" t="s">
        <v>34</v>
      </c>
      <c r="F488">
        <v>0.95109999999999995</v>
      </c>
      <c r="G488">
        <v>0</v>
      </c>
    </row>
    <row r="489" spans="1:7" x14ac:dyDescent="0.3">
      <c r="A489" t="s">
        <v>57</v>
      </c>
      <c r="B489">
        <v>100</v>
      </c>
      <c r="C489">
        <v>0.5</v>
      </c>
      <c r="D489">
        <v>0.95</v>
      </c>
      <c r="E489" t="s">
        <v>88</v>
      </c>
      <c r="F489">
        <v>0.94878463539061697</v>
      </c>
      <c r="G489">
        <v>3</v>
      </c>
    </row>
    <row r="490" spans="1:7" x14ac:dyDescent="0.3">
      <c r="A490" t="s">
        <v>57</v>
      </c>
      <c r="B490">
        <v>100</v>
      </c>
      <c r="C490">
        <v>0.5</v>
      </c>
      <c r="D490">
        <v>0.95</v>
      </c>
      <c r="E490" t="s">
        <v>84</v>
      </c>
      <c r="F490">
        <v>0.94938481544463305</v>
      </c>
      <c r="G490">
        <v>3</v>
      </c>
    </row>
    <row r="491" spans="1:7" x14ac:dyDescent="0.3">
      <c r="A491" t="s">
        <v>57</v>
      </c>
      <c r="B491">
        <v>100</v>
      </c>
      <c r="C491">
        <v>0.5</v>
      </c>
      <c r="D491">
        <v>0.95</v>
      </c>
      <c r="E491" t="s">
        <v>92</v>
      </c>
      <c r="F491">
        <v>0.94989999999999997</v>
      </c>
      <c r="G491">
        <v>0</v>
      </c>
    </row>
    <row r="492" spans="1:7" x14ac:dyDescent="0.3">
      <c r="A492" t="s">
        <v>57</v>
      </c>
      <c r="B492">
        <v>100</v>
      </c>
      <c r="C492">
        <v>0.5</v>
      </c>
      <c r="D492">
        <v>0.95</v>
      </c>
      <c r="E492" t="s">
        <v>90</v>
      </c>
      <c r="F492">
        <v>0.95618247298919601</v>
      </c>
      <c r="G492">
        <v>4</v>
      </c>
    </row>
    <row r="493" spans="1:7" x14ac:dyDescent="0.3">
      <c r="A493" t="s">
        <v>57</v>
      </c>
      <c r="B493">
        <v>100</v>
      </c>
      <c r="C493">
        <v>0.5</v>
      </c>
      <c r="D493">
        <v>0.95</v>
      </c>
      <c r="E493" t="s">
        <v>86</v>
      </c>
      <c r="F493">
        <v>0.95688275310124005</v>
      </c>
      <c r="G493">
        <v>4</v>
      </c>
    </row>
    <row r="494" spans="1:7" x14ac:dyDescent="0.3">
      <c r="A494" t="s">
        <v>57</v>
      </c>
      <c r="B494">
        <v>100</v>
      </c>
      <c r="C494">
        <v>0.5</v>
      </c>
      <c r="D494">
        <v>0.95</v>
      </c>
      <c r="E494" t="s">
        <v>55</v>
      </c>
      <c r="F494">
        <v>0.96279999999999999</v>
      </c>
      <c r="G494">
        <v>0</v>
      </c>
    </row>
    <row r="495" spans="1:7" x14ac:dyDescent="0.3">
      <c r="A495" t="s">
        <v>57</v>
      </c>
      <c r="B495">
        <v>100</v>
      </c>
      <c r="C495">
        <v>0.5</v>
      </c>
      <c r="D495">
        <v>0.95</v>
      </c>
      <c r="E495" t="s">
        <v>58</v>
      </c>
      <c r="F495">
        <v>0.61809999999999998</v>
      </c>
      <c r="G495">
        <v>0</v>
      </c>
    </row>
    <row r="496" spans="1:7" x14ac:dyDescent="0.3">
      <c r="A496" t="s">
        <v>57</v>
      </c>
      <c r="B496">
        <v>100</v>
      </c>
      <c r="C496">
        <v>0.5</v>
      </c>
      <c r="D496">
        <v>0.9</v>
      </c>
      <c r="E496" t="s">
        <v>32</v>
      </c>
      <c r="F496">
        <v>0.91379999999999995</v>
      </c>
      <c r="G496">
        <v>0</v>
      </c>
    </row>
    <row r="497" spans="1:7" x14ac:dyDescent="0.3">
      <c r="A497" t="s">
        <v>57</v>
      </c>
      <c r="B497">
        <v>100</v>
      </c>
      <c r="C497">
        <v>0.5</v>
      </c>
      <c r="D497">
        <v>0.9</v>
      </c>
      <c r="E497" t="s">
        <v>33</v>
      </c>
      <c r="F497">
        <v>0.91379999999999995</v>
      </c>
      <c r="G497">
        <v>0</v>
      </c>
    </row>
    <row r="498" spans="1:7" x14ac:dyDescent="0.3">
      <c r="A498" t="s">
        <v>57</v>
      </c>
      <c r="B498">
        <v>100</v>
      </c>
      <c r="C498">
        <v>0.5</v>
      </c>
      <c r="D498">
        <v>0.9</v>
      </c>
      <c r="E498" t="s">
        <v>34</v>
      </c>
      <c r="F498">
        <v>0.90339999999999998</v>
      </c>
      <c r="G498">
        <v>0</v>
      </c>
    </row>
    <row r="499" spans="1:7" x14ac:dyDescent="0.3">
      <c r="A499" t="s">
        <v>57</v>
      </c>
      <c r="B499">
        <v>100</v>
      </c>
      <c r="C499">
        <v>0.5</v>
      </c>
      <c r="D499">
        <v>0.9</v>
      </c>
      <c r="E499" t="s">
        <v>88</v>
      </c>
      <c r="F499">
        <v>0.904871461438432</v>
      </c>
      <c r="G499">
        <v>3</v>
      </c>
    </row>
    <row r="500" spans="1:7" x14ac:dyDescent="0.3">
      <c r="A500" t="s">
        <v>57</v>
      </c>
      <c r="B500">
        <v>100</v>
      </c>
      <c r="C500">
        <v>0.5</v>
      </c>
      <c r="D500">
        <v>0.9</v>
      </c>
      <c r="E500" t="s">
        <v>84</v>
      </c>
      <c r="F500">
        <v>0.90537161148344503</v>
      </c>
      <c r="G500">
        <v>3</v>
      </c>
    </row>
    <row r="501" spans="1:7" x14ac:dyDescent="0.3">
      <c r="A501" t="s">
        <v>57</v>
      </c>
      <c r="B501">
        <v>100</v>
      </c>
      <c r="C501">
        <v>0.5</v>
      </c>
      <c r="D501">
        <v>0.9</v>
      </c>
      <c r="E501" t="s">
        <v>92</v>
      </c>
      <c r="F501">
        <v>0.90720000000000001</v>
      </c>
      <c r="G501">
        <v>0</v>
      </c>
    </row>
    <row r="502" spans="1:7" x14ac:dyDescent="0.3">
      <c r="A502" t="s">
        <v>57</v>
      </c>
      <c r="B502">
        <v>100</v>
      </c>
      <c r="C502">
        <v>0.5</v>
      </c>
      <c r="D502">
        <v>0.9</v>
      </c>
      <c r="E502" t="s">
        <v>90</v>
      </c>
      <c r="F502">
        <v>0.910664265706283</v>
      </c>
      <c r="G502">
        <v>4</v>
      </c>
    </row>
    <row r="503" spans="1:7" x14ac:dyDescent="0.3">
      <c r="A503" t="s">
        <v>57</v>
      </c>
      <c r="B503">
        <v>100</v>
      </c>
      <c r="C503">
        <v>0.5</v>
      </c>
      <c r="D503">
        <v>0.9</v>
      </c>
      <c r="E503" t="s">
        <v>86</v>
      </c>
      <c r="F503">
        <v>0.91126450580232099</v>
      </c>
      <c r="G503">
        <v>4</v>
      </c>
    </row>
    <row r="504" spans="1:7" x14ac:dyDescent="0.3">
      <c r="A504" t="s">
        <v>57</v>
      </c>
      <c r="B504">
        <v>100</v>
      </c>
      <c r="C504">
        <v>0.5</v>
      </c>
      <c r="D504">
        <v>0.9</v>
      </c>
      <c r="E504" t="s">
        <v>55</v>
      </c>
      <c r="F504">
        <v>0.91379999999999995</v>
      </c>
      <c r="G504">
        <v>0</v>
      </c>
    </row>
    <row r="505" spans="1:7" x14ac:dyDescent="0.3">
      <c r="A505" t="s">
        <v>57</v>
      </c>
      <c r="B505">
        <v>100</v>
      </c>
      <c r="C505">
        <v>0.5</v>
      </c>
      <c r="D505">
        <v>0.9</v>
      </c>
      <c r="E505" t="s">
        <v>58</v>
      </c>
      <c r="F505">
        <v>0.49230000000000002</v>
      </c>
      <c r="G505">
        <v>0</v>
      </c>
    </row>
    <row r="506" spans="1:7" x14ac:dyDescent="0.3">
      <c r="A506" t="s">
        <v>31</v>
      </c>
      <c r="B506">
        <v>20</v>
      </c>
      <c r="C506">
        <v>0.9</v>
      </c>
      <c r="D506">
        <v>0.95</v>
      </c>
      <c r="E506" t="s">
        <v>32</v>
      </c>
      <c r="F506">
        <v>0.98649875198547798</v>
      </c>
      <c r="G506">
        <v>1186</v>
      </c>
    </row>
    <row r="507" spans="1:7" x14ac:dyDescent="0.3">
      <c r="A507" t="s">
        <v>31</v>
      </c>
      <c r="B507">
        <v>20</v>
      </c>
      <c r="C507">
        <v>0.9</v>
      </c>
      <c r="D507">
        <v>0.95</v>
      </c>
      <c r="E507" t="s">
        <v>33</v>
      </c>
      <c r="F507">
        <v>0.86950000000000005</v>
      </c>
      <c r="G507">
        <v>0</v>
      </c>
    </row>
    <row r="508" spans="1:7" x14ac:dyDescent="0.3">
      <c r="A508" t="s">
        <v>31</v>
      </c>
      <c r="B508">
        <v>20</v>
      </c>
      <c r="C508">
        <v>0.9</v>
      </c>
      <c r="D508">
        <v>0.95</v>
      </c>
      <c r="E508" t="s">
        <v>34</v>
      </c>
      <c r="F508">
        <v>0.97889720898570498</v>
      </c>
      <c r="G508">
        <v>1186</v>
      </c>
    </row>
    <row r="509" spans="1:7" x14ac:dyDescent="0.3">
      <c r="A509" t="s">
        <v>31</v>
      </c>
      <c r="B509">
        <v>20</v>
      </c>
      <c r="C509">
        <v>0.9</v>
      </c>
      <c r="D509">
        <v>0.95</v>
      </c>
      <c r="E509" t="s">
        <v>88</v>
      </c>
      <c r="F509">
        <v>0.94987160879758803</v>
      </c>
      <c r="G509">
        <v>1043</v>
      </c>
    </row>
    <row r="510" spans="1:7" x14ac:dyDescent="0.3">
      <c r="A510" t="s">
        <v>31</v>
      </c>
      <c r="B510">
        <v>20</v>
      </c>
      <c r="C510">
        <v>0.9</v>
      </c>
      <c r="D510">
        <v>0.95</v>
      </c>
      <c r="E510" t="s">
        <v>84</v>
      </c>
      <c r="F510">
        <v>0.952439432845819</v>
      </c>
      <c r="G510">
        <v>1043</v>
      </c>
    </row>
    <row r="511" spans="1:7" x14ac:dyDescent="0.3">
      <c r="A511" t="s">
        <v>31</v>
      </c>
      <c r="B511">
        <v>20</v>
      </c>
      <c r="C511">
        <v>0.9</v>
      </c>
      <c r="D511">
        <v>0.95</v>
      </c>
      <c r="E511" t="s">
        <v>92</v>
      </c>
      <c r="F511">
        <v>0.91488052507435103</v>
      </c>
      <c r="G511">
        <v>249</v>
      </c>
    </row>
    <row r="512" spans="1:7" x14ac:dyDescent="0.3">
      <c r="A512" t="s">
        <v>31</v>
      </c>
      <c r="B512">
        <v>20</v>
      </c>
      <c r="C512">
        <v>0.9</v>
      </c>
      <c r="D512">
        <v>0.95</v>
      </c>
      <c r="E512" t="s">
        <v>90</v>
      </c>
      <c r="F512">
        <v>0.86941092973740197</v>
      </c>
      <c r="G512">
        <v>137</v>
      </c>
    </row>
    <row r="513" spans="1:7" x14ac:dyDescent="0.3">
      <c r="A513" t="s">
        <v>31</v>
      </c>
      <c r="B513">
        <v>20</v>
      </c>
      <c r="C513">
        <v>0.9</v>
      </c>
      <c r="D513">
        <v>0.95</v>
      </c>
      <c r="E513" t="s">
        <v>86</v>
      </c>
      <c r="F513">
        <v>0.87103315421271399</v>
      </c>
      <c r="G513">
        <v>137</v>
      </c>
    </row>
    <row r="514" spans="1:7" x14ac:dyDescent="0.3">
      <c r="A514" t="s">
        <v>31</v>
      </c>
      <c r="B514">
        <v>20</v>
      </c>
      <c r="C514">
        <v>0.9</v>
      </c>
      <c r="D514">
        <v>0.95</v>
      </c>
      <c r="E514" t="s">
        <v>55</v>
      </c>
      <c r="F514">
        <v>0.9526</v>
      </c>
      <c r="G514">
        <v>0</v>
      </c>
    </row>
    <row r="515" spans="1:7" x14ac:dyDescent="0.3">
      <c r="A515" t="s">
        <v>31</v>
      </c>
      <c r="B515">
        <v>20</v>
      </c>
      <c r="C515">
        <v>0.9</v>
      </c>
      <c r="D515">
        <v>0.9</v>
      </c>
      <c r="E515" t="s">
        <v>32</v>
      </c>
      <c r="F515">
        <v>0.94622191967324698</v>
      </c>
      <c r="G515">
        <v>1186</v>
      </c>
    </row>
    <row r="516" spans="1:7" x14ac:dyDescent="0.3">
      <c r="A516" t="s">
        <v>31</v>
      </c>
      <c r="B516">
        <v>20</v>
      </c>
      <c r="C516">
        <v>0.9</v>
      </c>
      <c r="D516">
        <v>0.9</v>
      </c>
      <c r="E516" t="s">
        <v>33</v>
      </c>
      <c r="F516">
        <v>0.83399999999999996</v>
      </c>
      <c r="G516">
        <v>0</v>
      </c>
    </row>
    <row r="517" spans="1:7" x14ac:dyDescent="0.3">
      <c r="A517" t="s">
        <v>31</v>
      </c>
      <c r="B517">
        <v>20</v>
      </c>
      <c r="C517">
        <v>0.9</v>
      </c>
      <c r="D517">
        <v>0.9</v>
      </c>
      <c r="E517" t="s">
        <v>34</v>
      </c>
      <c r="F517">
        <v>0.94826412525527604</v>
      </c>
      <c r="G517">
        <v>1186</v>
      </c>
    </row>
    <row r="518" spans="1:7" x14ac:dyDescent="0.3">
      <c r="A518" t="s">
        <v>31</v>
      </c>
      <c r="B518">
        <v>20</v>
      </c>
      <c r="C518">
        <v>0.9</v>
      </c>
      <c r="D518">
        <v>0.9</v>
      </c>
      <c r="E518" t="s">
        <v>88</v>
      </c>
      <c r="F518">
        <v>0.91135424807413201</v>
      </c>
      <c r="G518">
        <v>1043</v>
      </c>
    </row>
    <row r="519" spans="1:7" x14ac:dyDescent="0.3">
      <c r="A519" t="s">
        <v>31</v>
      </c>
      <c r="B519">
        <v>20</v>
      </c>
      <c r="C519">
        <v>0.9</v>
      </c>
      <c r="D519">
        <v>0.9</v>
      </c>
      <c r="E519" t="s">
        <v>84</v>
      </c>
      <c r="F519">
        <v>0.91392207212236198</v>
      </c>
      <c r="G519">
        <v>1043</v>
      </c>
    </row>
    <row r="520" spans="1:7" x14ac:dyDescent="0.3">
      <c r="A520" t="s">
        <v>31</v>
      </c>
      <c r="B520">
        <v>20</v>
      </c>
      <c r="C520">
        <v>0.9</v>
      </c>
      <c r="D520">
        <v>0.9</v>
      </c>
      <c r="E520" t="s">
        <v>92</v>
      </c>
      <c r="F520">
        <v>0.86575735821967004</v>
      </c>
      <c r="G520">
        <v>249</v>
      </c>
    </row>
    <row r="521" spans="1:7" x14ac:dyDescent="0.3">
      <c r="A521" t="s">
        <v>31</v>
      </c>
      <c r="B521">
        <v>20</v>
      </c>
      <c r="C521">
        <v>0.9</v>
      </c>
      <c r="D521">
        <v>0.9</v>
      </c>
      <c r="E521" t="s">
        <v>90</v>
      </c>
      <c r="F521">
        <v>0.83899422082530695</v>
      </c>
      <c r="G521">
        <v>137</v>
      </c>
    </row>
    <row r="522" spans="1:7" x14ac:dyDescent="0.3">
      <c r="A522" t="s">
        <v>31</v>
      </c>
      <c r="B522">
        <v>20</v>
      </c>
      <c r="C522">
        <v>0.9</v>
      </c>
      <c r="D522">
        <v>0.9</v>
      </c>
      <c r="E522" t="s">
        <v>86</v>
      </c>
      <c r="F522">
        <v>0.84599006387508902</v>
      </c>
      <c r="G522">
        <v>137</v>
      </c>
    </row>
    <row r="523" spans="1:7" x14ac:dyDescent="0.3">
      <c r="A523" t="s">
        <v>31</v>
      </c>
      <c r="B523">
        <v>20</v>
      </c>
      <c r="C523">
        <v>0.9</v>
      </c>
      <c r="D523">
        <v>0.9</v>
      </c>
      <c r="E523" t="s">
        <v>55</v>
      </c>
      <c r="F523">
        <v>0.9526</v>
      </c>
      <c r="G523">
        <v>0</v>
      </c>
    </row>
    <row r="524" spans="1:7" x14ac:dyDescent="0.3">
      <c r="A524" t="s">
        <v>56</v>
      </c>
      <c r="B524">
        <v>20</v>
      </c>
      <c r="C524">
        <v>0.9</v>
      </c>
      <c r="D524">
        <v>0.95</v>
      </c>
      <c r="E524" t="s">
        <v>32</v>
      </c>
      <c r="F524">
        <v>0.98631854976627498</v>
      </c>
      <c r="G524">
        <v>1229</v>
      </c>
    </row>
    <row r="525" spans="1:7" x14ac:dyDescent="0.3">
      <c r="A525" t="s">
        <v>56</v>
      </c>
      <c r="B525">
        <v>20</v>
      </c>
      <c r="C525">
        <v>0.9</v>
      </c>
      <c r="D525">
        <v>0.95</v>
      </c>
      <c r="E525" t="s">
        <v>33</v>
      </c>
      <c r="F525">
        <v>0.86509999999999998</v>
      </c>
      <c r="G525">
        <v>0</v>
      </c>
    </row>
    <row r="526" spans="1:7" x14ac:dyDescent="0.3">
      <c r="A526" t="s">
        <v>56</v>
      </c>
      <c r="B526">
        <v>20</v>
      </c>
      <c r="C526">
        <v>0.9</v>
      </c>
      <c r="D526">
        <v>0.95</v>
      </c>
      <c r="E526" t="s">
        <v>34</v>
      </c>
      <c r="F526">
        <v>0.977653631284916</v>
      </c>
      <c r="G526">
        <v>1229</v>
      </c>
    </row>
    <row r="527" spans="1:7" x14ac:dyDescent="0.3">
      <c r="A527" t="s">
        <v>56</v>
      </c>
      <c r="B527">
        <v>20</v>
      </c>
      <c r="C527">
        <v>0.9</v>
      </c>
      <c r="D527">
        <v>0.95</v>
      </c>
      <c r="E527" t="s">
        <v>88</v>
      </c>
      <c r="F527">
        <v>0.97603815284401496</v>
      </c>
      <c r="G527">
        <v>1403</v>
      </c>
    </row>
    <row r="528" spans="1:7" x14ac:dyDescent="0.3">
      <c r="A528" t="s">
        <v>56</v>
      </c>
      <c r="B528">
        <v>20</v>
      </c>
      <c r="C528">
        <v>0.9</v>
      </c>
      <c r="D528">
        <v>0.95</v>
      </c>
      <c r="E528" t="s">
        <v>84</v>
      </c>
      <c r="F528">
        <v>0.97731766895428596</v>
      </c>
      <c r="G528">
        <v>1403</v>
      </c>
    </row>
    <row r="529" spans="1:7" x14ac:dyDescent="0.3">
      <c r="A529" t="s">
        <v>56</v>
      </c>
      <c r="B529">
        <v>20</v>
      </c>
      <c r="C529">
        <v>0.9</v>
      </c>
      <c r="D529">
        <v>0.95</v>
      </c>
      <c r="E529" t="s">
        <v>92</v>
      </c>
      <c r="F529">
        <v>0.951281766729553</v>
      </c>
      <c r="G529">
        <v>989</v>
      </c>
    </row>
    <row r="530" spans="1:7" x14ac:dyDescent="0.3">
      <c r="A530" t="s">
        <v>56</v>
      </c>
      <c r="B530">
        <v>20</v>
      </c>
      <c r="C530">
        <v>0.9</v>
      </c>
      <c r="D530">
        <v>0.95</v>
      </c>
      <c r="E530" t="s">
        <v>90</v>
      </c>
      <c r="F530">
        <v>0.86313849933463005</v>
      </c>
      <c r="G530">
        <v>231</v>
      </c>
    </row>
    <row r="531" spans="1:7" x14ac:dyDescent="0.3">
      <c r="A531" t="s">
        <v>56</v>
      </c>
      <c r="B531">
        <v>20</v>
      </c>
      <c r="C531">
        <v>0.9</v>
      </c>
      <c r="D531">
        <v>0.95</v>
      </c>
      <c r="E531" t="s">
        <v>86</v>
      </c>
      <c r="F531">
        <v>0.86365032244856199</v>
      </c>
      <c r="G531">
        <v>231</v>
      </c>
    </row>
    <row r="532" spans="1:7" x14ac:dyDescent="0.3">
      <c r="A532" t="s">
        <v>56</v>
      </c>
      <c r="B532">
        <v>20</v>
      </c>
      <c r="C532">
        <v>0.9</v>
      </c>
      <c r="D532">
        <v>0.95</v>
      </c>
      <c r="E532" t="s">
        <v>55</v>
      </c>
      <c r="F532">
        <v>0.95409999999999995</v>
      </c>
      <c r="G532">
        <v>0</v>
      </c>
    </row>
    <row r="533" spans="1:7" x14ac:dyDescent="0.3">
      <c r="A533" t="s">
        <v>56</v>
      </c>
      <c r="B533">
        <v>20</v>
      </c>
      <c r="C533">
        <v>0.9</v>
      </c>
      <c r="D533">
        <v>0.9</v>
      </c>
      <c r="E533" t="s">
        <v>32</v>
      </c>
      <c r="F533">
        <v>0.94766845285600299</v>
      </c>
      <c r="G533">
        <v>1229</v>
      </c>
    </row>
    <row r="534" spans="1:7" x14ac:dyDescent="0.3">
      <c r="A534" t="s">
        <v>56</v>
      </c>
      <c r="B534">
        <v>20</v>
      </c>
      <c r="C534">
        <v>0.9</v>
      </c>
      <c r="D534">
        <v>0.9</v>
      </c>
      <c r="E534" t="s">
        <v>33</v>
      </c>
      <c r="F534">
        <v>0.83120000000000005</v>
      </c>
      <c r="G534">
        <v>0</v>
      </c>
    </row>
    <row r="535" spans="1:7" x14ac:dyDescent="0.3">
      <c r="A535" t="s">
        <v>56</v>
      </c>
      <c r="B535">
        <v>20</v>
      </c>
      <c r="C535">
        <v>0.9</v>
      </c>
      <c r="D535">
        <v>0.9</v>
      </c>
      <c r="E535" t="s">
        <v>34</v>
      </c>
      <c r="F535">
        <v>0.94960665830577995</v>
      </c>
      <c r="G535">
        <v>1229</v>
      </c>
    </row>
    <row r="536" spans="1:7" x14ac:dyDescent="0.3">
      <c r="A536" t="s">
        <v>56</v>
      </c>
      <c r="B536">
        <v>20</v>
      </c>
      <c r="C536">
        <v>0.9</v>
      </c>
      <c r="D536">
        <v>0.9</v>
      </c>
      <c r="E536" t="s">
        <v>88</v>
      </c>
      <c r="F536">
        <v>0.93614051413283705</v>
      </c>
      <c r="G536">
        <v>1403</v>
      </c>
    </row>
    <row r="537" spans="1:7" x14ac:dyDescent="0.3">
      <c r="A537" t="s">
        <v>56</v>
      </c>
      <c r="B537">
        <v>20</v>
      </c>
      <c r="C537">
        <v>0.9</v>
      </c>
      <c r="D537">
        <v>0.9</v>
      </c>
      <c r="E537" t="s">
        <v>84</v>
      </c>
      <c r="F537">
        <v>0.93695475165755504</v>
      </c>
      <c r="G537">
        <v>1403</v>
      </c>
    </row>
    <row r="538" spans="1:7" x14ac:dyDescent="0.3">
      <c r="A538" t="s">
        <v>56</v>
      </c>
      <c r="B538">
        <v>20</v>
      </c>
      <c r="C538">
        <v>0.9</v>
      </c>
      <c r="D538">
        <v>0.9</v>
      </c>
      <c r="E538" t="s">
        <v>92</v>
      </c>
      <c r="F538">
        <v>0.90877816002663403</v>
      </c>
      <c r="G538">
        <v>989</v>
      </c>
    </row>
    <row r="539" spans="1:7" x14ac:dyDescent="0.3">
      <c r="A539" t="s">
        <v>56</v>
      </c>
      <c r="B539">
        <v>20</v>
      </c>
      <c r="C539">
        <v>0.9</v>
      </c>
      <c r="D539">
        <v>0.9</v>
      </c>
      <c r="E539" t="s">
        <v>90</v>
      </c>
      <c r="F539">
        <v>0.82966526768348903</v>
      </c>
      <c r="G539">
        <v>231</v>
      </c>
    </row>
    <row r="540" spans="1:7" x14ac:dyDescent="0.3">
      <c r="A540" t="s">
        <v>56</v>
      </c>
      <c r="B540">
        <v>20</v>
      </c>
      <c r="C540">
        <v>0.9</v>
      </c>
      <c r="D540">
        <v>0.9</v>
      </c>
      <c r="E540" t="s">
        <v>86</v>
      </c>
      <c r="F540">
        <v>0.83099600777971105</v>
      </c>
      <c r="G540">
        <v>231</v>
      </c>
    </row>
    <row r="541" spans="1:7" x14ac:dyDescent="0.3">
      <c r="A541" t="s">
        <v>56</v>
      </c>
      <c r="B541">
        <v>20</v>
      </c>
      <c r="C541">
        <v>0.9</v>
      </c>
      <c r="D541">
        <v>0.9</v>
      </c>
      <c r="E541" t="s">
        <v>55</v>
      </c>
      <c r="F541">
        <v>0.95409999999999995</v>
      </c>
      <c r="G541">
        <v>0</v>
      </c>
    </row>
    <row r="542" spans="1:7" x14ac:dyDescent="0.3">
      <c r="A542" t="s">
        <v>57</v>
      </c>
      <c r="B542">
        <v>20</v>
      </c>
      <c r="C542">
        <v>0.9</v>
      </c>
      <c r="D542">
        <v>0.95</v>
      </c>
      <c r="E542" t="s">
        <v>32</v>
      </c>
      <c r="F542">
        <v>0.98633257403189101</v>
      </c>
      <c r="G542">
        <v>1220</v>
      </c>
    </row>
    <row r="543" spans="1:7" x14ac:dyDescent="0.3">
      <c r="A543" t="s">
        <v>57</v>
      </c>
      <c r="B543">
        <v>20</v>
      </c>
      <c r="C543">
        <v>0.9</v>
      </c>
      <c r="D543">
        <v>0.95</v>
      </c>
      <c r="E543" t="s">
        <v>33</v>
      </c>
      <c r="F543">
        <v>0.86599999999999999</v>
      </c>
      <c r="G543">
        <v>0</v>
      </c>
    </row>
    <row r="544" spans="1:7" x14ac:dyDescent="0.3">
      <c r="A544" t="s">
        <v>57</v>
      </c>
      <c r="B544">
        <v>20</v>
      </c>
      <c r="C544">
        <v>0.9</v>
      </c>
      <c r="D544">
        <v>0.95</v>
      </c>
      <c r="E544" t="s">
        <v>34</v>
      </c>
      <c r="F544">
        <v>0.97744874715261998</v>
      </c>
      <c r="G544">
        <v>1220</v>
      </c>
    </row>
    <row r="545" spans="1:7" x14ac:dyDescent="0.3">
      <c r="A545" t="s">
        <v>57</v>
      </c>
      <c r="B545">
        <v>20</v>
      </c>
      <c r="C545">
        <v>0.9</v>
      </c>
      <c r="D545">
        <v>0.95</v>
      </c>
      <c r="E545" t="s">
        <v>88</v>
      </c>
      <c r="F545">
        <v>0.96226849189002694</v>
      </c>
      <c r="G545">
        <v>1307</v>
      </c>
    </row>
    <row r="546" spans="1:7" x14ac:dyDescent="0.3">
      <c r="A546" t="s">
        <v>57</v>
      </c>
      <c r="B546">
        <v>20</v>
      </c>
      <c r="C546">
        <v>0.9</v>
      </c>
      <c r="D546">
        <v>0.95</v>
      </c>
      <c r="E546" t="s">
        <v>84</v>
      </c>
      <c r="F546">
        <v>0.96433912343264705</v>
      </c>
      <c r="G546">
        <v>1307</v>
      </c>
    </row>
    <row r="547" spans="1:7" x14ac:dyDescent="0.3">
      <c r="A547" t="s">
        <v>57</v>
      </c>
      <c r="B547">
        <v>20</v>
      </c>
      <c r="C547">
        <v>0.9</v>
      </c>
      <c r="D547">
        <v>0.95</v>
      </c>
      <c r="E547" t="s">
        <v>92</v>
      </c>
      <c r="F547">
        <v>0.922970822281167</v>
      </c>
      <c r="G547">
        <v>575</v>
      </c>
    </row>
    <row r="548" spans="1:7" x14ac:dyDescent="0.3">
      <c r="A548" t="s">
        <v>57</v>
      </c>
      <c r="B548">
        <v>20</v>
      </c>
      <c r="C548">
        <v>0.9</v>
      </c>
      <c r="D548">
        <v>0.95</v>
      </c>
      <c r="E548" t="s">
        <v>90</v>
      </c>
      <c r="F548">
        <v>0.863015106361114</v>
      </c>
      <c r="G548">
        <v>269</v>
      </c>
    </row>
    <row r="549" spans="1:7" x14ac:dyDescent="0.3">
      <c r="A549" t="s">
        <v>57</v>
      </c>
      <c r="B549">
        <v>20</v>
      </c>
      <c r="C549">
        <v>0.9</v>
      </c>
      <c r="D549">
        <v>0.95</v>
      </c>
      <c r="E549" t="s">
        <v>86</v>
      </c>
      <c r="F549">
        <v>0.86404274997430897</v>
      </c>
      <c r="G549">
        <v>269</v>
      </c>
    </row>
    <row r="550" spans="1:7" x14ac:dyDescent="0.3">
      <c r="A550" t="s">
        <v>57</v>
      </c>
      <c r="B550">
        <v>20</v>
      </c>
      <c r="C550">
        <v>0.9</v>
      </c>
      <c r="D550">
        <v>0.95</v>
      </c>
      <c r="E550" t="s">
        <v>55</v>
      </c>
      <c r="F550">
        <v>0.95409999999999995</v>
      </c>
      <c r="G550">
        <v>0</v>
      </c>
    </row>
    <row r="551" spans="1:7" x14ac:dyDescent="0.3">
      <c r="A551" t="s">
        <v>57</v>
      </c>
      <c r="B551">
        <v>20</v>
      </c>
      <c r="C551">
        <v>0.9</v>
      </c>
      <c r="D551">
        <v>0.9</v>
      </c>
      <c r="E551" t="s">
        <v>32</v>
      </c>
      <c r="F551">
        <v>0.94772209567198196</v>
      </c>
      <c r="G551">
        <v>1220</v>
      </c>
    </row>
    <row r="552" spans="1:7" x14ac:dyDescent="0.3">
      <c r="A552" t="s">
        <v>57</v>
      </c>
      <c r="B552">
        <v>20</v>
      </c>
      <c r="C552">
        <v>0.9</v>
      </c>
      <c r="D552">
        <v>0.9</v>
      </c>
      <c r="E552" t="s">
        <v>33</v>
      </c>
      <c r="F552">
        <v>0.83209999999999995</v>
      </c>
      <c r="G552">
        <v>0</v>
      </c>
    </row>
    <row r="553" spans="1:7" x14ac:dyDescent="0.3">
      <c r="A553" t="s">
        <v>57</v>
      </c>
      <c r="B553">
        <v>20</v>
      </c>
      <c r="C553">
        <v>0.9</v>
      </c>
      <c r="D553">
        <v>0.9</v>
      </c>
      <c r="E553" t="s">
        <v>34</v>
      </c>
      <c r="F553">
        <v>0.94954441913439602</v>
      </c>
      <c r="G553">
        <v>1220</v>
      </c>
    </row>
    <row r="554" spans="1:7" x14ac:dyDescent="0.3">
      <c r="A554" t="s">
        <v>57</v>
      </c>
      <c r="B554">
        <v>20</v>
      </c>
      <c r="C554">
        <v>0.9</v>
      </c>
      <c r="D554">
        <v>0.9</v>
      </c>
      <c r="E554" t="s">
        <v>88</v>
      </c>
      <c r="F554">
        <v>0.92373173818014498</v>
      </c>
      <c r="G554">
        <v>1307</v>
      </c>
    </row>
    <row r="555" spans="1:7" x14ac:dyDescent="0.3">
      <c r="A555" t="s">
        <v>57</v>
      </c>
      <c r="B555">
        <v>20</v>
      </c>
      <c r="C555">
        <v>0.9</v>
      </c>
      <c r="D555">
        <v>0.9</v>
      </c>
      <c r="E555" t="s">
        <v>84</v>
      </c>
      <c r="F555">
        <v>0.925572299551363</v>
      </c>
      <c r="G555">
        <v>1307</v>
      </c>
    </row>
    <row r="556" spans="1:7" x14ac:dyDescent="0.3">
      <c r="A556" t="s">
        <v>57</v>
      </c>
      <c r="B556">
        <v>20</v>
      </c>
      <c r="C556">
        <v>0.9</v>
      </c>
      <c r="D556">
        <v>0.9</v>
      </c>
      <c r="E556" t="s">
        <v>92</v>
      </c>
      <c r="F556">
        <v>0.87596816976127301</v>
      </c>
      <c r="G556">
        <v>575</v>
      </c>
    </row>
    <row r="557" spans="1:7" x14ac:dyDescent="0.3">
      <c r="A557" t="s">
        <v>57</v>
      </c>
      <c r="B557">
        <v>20</v>
      </c>
      <c r="C557">
        <v>0.9</v>
      </c>
      <c r="D557">
        <v>0.9</v>
      </c>
      <c r="E557" t="s">
        <v>90</v>
      </c>
      <c r="F557">
        <v>0.83259685541054396</v>
      </c>
      <c r="G557">
        <v>269</v>
      </c>
    </row>
    <row r="558" spans="1:7" x14ac:dyDescent="0.3">
      <c r="A558" t="s">
        <v>57</v>
      </c>
      <c r="B558">
        <v>20</v>
      </c>
      <c r="C558">
        <v>0.9</v>
      </c>
      <c r="D558">
        <v>0.9</v>
      </c>
      <c r="E558" t="s">
        <v>86</v>
      </c>
      <c r="F558">
        <v>0.83598807933408703</v>
      </c>
      <c r="G558">
        <v>269</v>
      </c>
    </row>
    <row r="559" spans="1:7" x14ac:dyDescent="0.3">
      <c r="A559" t="s">
        <v>57</v>
      </c>
      <c r="B559">
        <v>20</v>
      </c>
      <c r="C559">
        <v>0.9</v>
      </c>
      <c r="D559">
        <v>0.9</v>
      </c>
      <c r="E559" t="s">
        <v>55</v>
      </c>
      <c r="F559">
        <v>0.95409999999999995</v>
      </c>
      <c r="G559">
        <v>0</v>
      </c>
    </row>
    <row r="560" spans="1:7" x14ac:dyDescent="0.3">
      <c r="A560" t="s">
        <v>31</v>
      </c>
      <c r="B560">
        <v>50</v>
      </c>
      <c r="C560">
        <v>0.9</v>
      </c>
      <c r="D560">
        <v>0.95</v>
      </c>
      <c r="E560" t="s">
        <v>32</v>
      </c>
      <c r="F560">
        <v>0.94698795180722894</v>
      </c>
      <c r="G560">
        <v>40</v>
      </c>
    </row>
    <row r="561" spans="1:7" x14ac:dyDescent="0.3">
      <c r="A561" t="s">
        <v>31</v>
      </c>
      <c r="B561">
        <v>50</v>
      </c>
      <c r="C561">
        <v>0.9</v>
      </c>
      <c r="D561">
        <v>0.95</v>
      </c>
      <c r="E561" t="s">
        <v>33</v>
      </c>
      <c r="F561">
        <v>0.94320000000000004</v>
      </c>
      <c r="G561">
        <v>0</v>
      </c>
    </row>
    <row r="562" spans="1:7" x14ac:dyDescent="0.3">
      <c r="A562" t="s">
        <v>31</v>
      </c>
      <c r="B562">
        <v>50</v>
      </c>
      <c r="C562">
        <v>0.9</v>
      </c>
      <c r="D562">
        <v>0.95</v>
      </c>
      <c r="E562" t="s">
        <v>34</v>
      </c>
      <c r="F562">
        <v>0.95712851405622501</v>
      </c>
      <c r="G562">
        <v>40</v>
      </c>
    </row>
    <row r="563" spans="1:7" x14ac:dyDescent="0.3">
      <c r="A563" t="s">
        <v>31</v>
      </c>
      <c r="B563">
        <v>50</v>
      </c>
      <c r="C563">
        <v>0.9</v>
      </c>
      <c r="D563">
        <v>0.95</v>
      </c>
      <c r="E563" t="s">
        <v>88</v>
      </c>
      <c r="F563">
        <v>0.94466963923794101</v>
      </c>
      <c r="G563">
        <v>132</v>
      </c>
    </row>
    <row r="564" spans="1:7" x14ac:dyDescent="0.3">
      <c r="A564" t="s">
        <v>31</v>
      </c>
      <c r="B564">
        <v>50</v>
      </c>
      <c r="C564">
        <v>0.9</v>
      </c>
      <c r="D564">
        <v>0.95</v>
      </c>
      <c r="E564" t="s">
        <v>84</v>
      </c>
      <c r="F564">
        <v>0.94659505472233496</v>
      </c>
      <c r="G564">
        <v>132</v>
      </c>
    </row>
    <row r="565" spans="1:7" x14ac:dyDescent="0.3">
      <c r="A565" t="s">
        <v>31</v>
      </c>
      <c r="B565">
        <v>50</v>
      </c>
      <c r="C565">
        <v>0.9</v>
      </c>
      <c r="D565">
        <v>0.95</v>
      </c>
      <c r="E565" t="s">
        <v>92</v>
      </c>
      <c r="F565">
        <v>0.94604679306171802</v>
      </c>
      <c r="G565">
        <v>84</v>
      </c>
    </row>
    <row r="566" spans="1:7" x14ac:dyDescent="0.3">
      <c r="A566" t="s">
        <v>31</v>
      </c>
      <c r="B566">
        <v>50</v>
      </c>
      <c r="C566">
        <v>0.9</v>
      </c>
      <c r="D566">
        <v>0.95</v>
      </c>
      <c r="E566" t="s">
        <v>90</v>
      </c>
      <c r="F566">
        <v>0.94689550731953598</v>
      </c>
      <c r="G566">
        <v>95</v>
      </c>
    </row>
    <row r="567" spans="1:7" x14ac:dyDescent="0.3">
      <c r="A567" t="s">
        <v>31</v>
      </c>
      <c r="B567">
        <v>50</v>
      </c>
      <c r="C567">
        <v>0.9</v>
      </c>
      <c r="D567">
        <v>0.95</v>
      </c>
      <c r="E567" t="s">
        <v>86</v>
      </c>
      <c r="F567">
        <v>0.94931852599697097</v>
      </c>
      <c r="G567">
        <v>95</v>
      </c>
    </row>
    <row r="568" spans="1:7" x14ac:dyDescent="0.3">
      <c r="A568" t="s">
        <v>31</v>
      </c>
      <c r="B568">
        <v>50</v>
      </c>
      <c r="C568">
        <v>0.9</v>
      </c>
      <c r="D568">
        <v>0.95</v>
      </c>
      <c r="E568" t="s">
        <v>55</v>
      </c>
      <c r="F568">
        <v>0.97089999999999999</v>
      </c>
      <c r="G568">
        <v>0</v>
      </c>
    </row>
    <row r="569" spans="1:7" x14ac:dyDescent="0.3">
      <c r="A569" t="s">
        <v>31</v>
      </c>
      <c r="B569">
        <v>50</v>
      </c>
      <c r="C569">
        <v>0.9</v>
      </c>
      <c r="D569">
        <v>0.9</v>
      </c>
      <c r="E569" t="s">
        <v>32</v>
      </c>
      <c r="F569">
        <v>0.91255020080321303</v>
      </c>
      <c r="G569">
        <v>40</v>
      </c>
    </row>
    <row r="570" spans="1:7" x14ac:dyDescent="0.3">
      <c r="A570" t="s">
        <v>31</v>
      </c>
      <c r="B570">
        <v>50</v>
      </c>
      <c r="C570">
        <v>0.9</v>
      </c>
      <c r="D570">
        <v>0.9</v>
      </c>
      <c r="E570" t="s">
        <v>33</v>
      </c>
      <c r="F570">
        <v>0.94320000000000004</v>
      </c>
      <c r="G570">
        <v>0</v>
      </c>
    </row>
    <row r="571" spans="1:7" x14ac:dyDescent="0.3">
      <c r="A571" t="s">
        <v>31</v>
      </c>
      <c r="B571">
        <v>50</v>
      </c>
      <c r="C571">
        <v>0.9</v>
      </c>
      <c r="D571">
        <v>0.9</v>
      </c>
      <c r="E571" t="s">
        <v>34</v>
      </c>
      <c r="F571">
        <v>0.91285140562249001</v>
      </c>
      <c r="G571">
        <v>40</v>
      </c>
    </row>
    <row r="572" spans="1:7" x14ac:dyDescent="0.3">
      <c r="A572" t="s">
        <v>31</v>
      </c>
      <c r="B572">
        <v>50</v>
      </c>
      <c r="C572">
        <v>0.9</v>
      </c>
      <c r="D572">
        <v>0.9</v>
      </c>
      <c r="E572" t="s">
        <v>88</v>
      </c>
      <c r="F572">
        <v>0.91092419943250902</v>
      </c>
      <c r="G572">
        <v>132</v>
      </c>
    </row>
    <row r="573" spans="1:7" x14ac:dyDescent="0.3">
      <c r="A573" t="s">
        <v>31</v>
      </c>
      <c r="B573">
        <v>50</v>
      </c>
      <c r="C573">
        <v>0.9</v>
      </c>
      <c r="D573">
        <v>0.9</v>
      </c>
      <c r="E573" t="s">
        <v>84</v>
      </c>
      <c r="F573">
        <v>0.91376165383056296</v>
      </c>
      <c r="G573">
        <v>132</v>
      </c>
    </row>
    <row r="574" spans="1:7" x14ac:dyDescent="0.3">
      <c r="A574" t="s">
        <v>31</v>
      </c>
      <c r="B574">
        <v>50</v>
      </c>
      <c r="C574">
        <v>0.9</v>
      </c>
      <c r="D574">
        <v>0.9</v>
      </c>
      <c r="E574" t="s">
        <v>92</v>
      </c>
      <c r="F574">
        <v>0.91196046793061702</v>
      </c>
      <c r="G574">
        <v>84</v>
      </c>
    </row>
    <row r="575" spans="1:7" x14ac:dyDescent="0.3">
      <c r="A575" t="s">
        <v>31</v>
      </c>
      <c r="B575">
        <v>50</v>
      </c>
      <c r="C575">
        <v>0.9</v>
      </c>
      <c r="D575">
        <v>0.9</v>
      </c>
      <c r="E575" t="s">
        <v>90</v>
      </c>
      <c r="F575">
        <v>0.92852094901564897</v>
      </c>
      <c r="G575">
        <v>95</v>
      </c>
    </row>
    <row r="576" spans="1:7" x14ac:dyDescent="0.3">
      <c r="A576" t="s">
        <v>31</v>
      </c>
      <c r="B576">
        <v>50</v>
      </c>
      <c r="C576">
        <v>0.9</v>
      </c>
      <c r="D576">
        <v>0.9</v>
      </c>
      <c r="E576" t="s">
        <v>86</v>
      </c>
      <c r="F576">
        <v>0.93114588591620395</v>
      </c>
      <c r="G576">
        <v>95</v>
      </c>
    </row>
    <row r="577" spans="1:7" x14ac:dyDescent="0.3">
      <c r="A577" t="s">
        <v>31</v>
      </c>
      <c r="B577">
        <v>50</v>
      </c>
      <c r="C577">
        <v>0.9</v>
      </c>
      <c r="D577">
        <v>0.9</v>
      </c>
      <c r="E577" t="s">
        <v>55</v>
      </c>
      <c r="F577">
        <v>0.90890000000000004</v>
      </c>
      <c r="G577">
        <v>0</v>
      </c>
    </row>
    <row r="578" spans="1:7" x14ac:dyDescent="0.3">
      <c r="A578" t="s">
        <v>56</v>
      </c>
      <c r="B578">
        <v>50</v>
      </c>
      <c r="C578">
        <v>0.9</v>
      </c>
      <c r="D578">
        <v>0.95</v>
      </c>
      <c r="E578" t="s">
        <v>32</v>
      </c>
      <c r="F578">
        <v>0.94293177936300598</v>
      </c>
      <c r="G578">
        <v>47</v>
      </c>
    </row>
    <row r="579" spans="1:7" x14ac:dyDescent="0.3">
      <c r="A579" t="s">
        <v>56</v>
      </c>
      <c r="B579">
        <v>50</v>
      </c>
      <c r="C579">
        <v>0.9</v>
      </c>
      <c r="D579">
        <v>0.95</v>
      </c>
      <c r="E579" t="s">
        <v>33</v>
      </c>
      <c r="F579">
        <v>0.9385</v>
      </c>
      <c r="G579">
        <v>0</v>
      </c>
    </row>
    <row r="580" spans="1:7" x14ac:dyDescent="0.3">
      <c r="A580" t="s">
        <v>56</v>
      </c>
      <c r="B580">
        <v>50</v>
      </c>
      <c r="C580">
        <v>0.9</v>
      </c>
      <c r="D580">
        <v>0.95</v>
      </c>
      <c r="E580" t="s">
        <v>34</v>
      </c>
      <c r="F580">
        <v>0.95719883452225496</v>
      </c>
      <c r="G580">
        <v>47</v>
      </c>
    </row>
    <row r="581" spans="1:7" x14ac:dyDescent="0.3">
      <c r="A581" t="s">
        <v>56</v>
      </c>
      <c r="B581">
        <v>50</v>
      </c>
      <c r="C581">
        <v>0.9</v>
      </c>
      <c r="D581">
        <v>0.95</v>
      </c>
      <c r="E581" t="s">
        <v>88</v>
      </c>
      <c r="F581">
        <v>0.94162591687041597</v>
      </c>
      <c r="G581">
        <v>184</v>
      </c>
    </row>
    <row r="582" spans="1:7" x14ac:dyDescent="0.3">
      <c r="A582" t="s">
        <v>56</v>
      </c>
      <c r="B582">
        <v>50</v>
      </c>
      <c r="C582">
        <v>0.9</v>
      </c>
      <c r="D582">
        <v>0.95</v>
      </c>
      <c r="E582" t="s">
        <v>84</v>
      </c>
      <c r="F582">
        <v>0.94182966585167105</v>
      </c>
      <c r="G582">
        <v>184</v>
      </c>
    </row>
    <row r="583" spans="1:7" x14ac:dyDescent="0.3">
      <c r="A583" t="s">
        <v>56</v>
      </c>
      <c r="B583">
        <v>50</v>
      </c>
      <c r="C583">
        <v>0.9</v>
      </c>
      <c r="D583">
        <v>0.95</v>
      </c>
      <c r="E583" t="s">
        <v>92</v>
      </c>
      <c r="F583">
        <v>0.94095604618189199</v>
      </c>
      <c r="G583">
        <v>126</v>
      </c>
    </row>
    <row r="584" spans="1:7" x14ac:dyDescent="0.3">
      <c r="A584" t="s">
        <v>56</v>
      </c>
      <c r="B584">
        <v>50</v>
      </c>
      <c r="C584">
        <v>0.9</v>
      </c>
      <c r="D584">
        <v>0.95</v>
      </c>
      <c r="E584" t="s">
        <v>90</v>
      </c>
      <c r="F584">
        <v>0.93930166463662201</v>
      </c>
      <c r="G584">
        <v>148</v>
      </c>
    </row>
    <row r="585" spans="1:7" x14ac:dyDescent="0.3">
      <c r="A585" t="s">
        <v>56</v>
      </c>
      <c r="B585">
        <v>50</v>
      </c>
      <c r="C585">
        <v>0.9</v>
      </c>
      <c r="D585">
        <v>0.95</v>
      </c>
      <c r="E585" t="s">
        <v>86</v>
      </c>
      <c r="F585">
        <v>0.94041818920016196</v>
      </c>
      <c r="G585">
        <v>148</v>
      </c>
    </row>
    <row r="586" spans="1:7" x14ac:dyDescent="0.3">
      <c r="A586" t="s">
        <v>56</v>
      </c>
      <c r="B586">
        <v>50</v>
      </c>
      <c r="C586">
        <v>0.9</v>
      </c>
      <c r="D586">
        <v>0.95</v>
      </c>
      <c r="E586" t="s">
        <v>55</v>
      </c>
      <c r="F586">
        <v>0.97060000000000002</v>
      </c>
      <c r="G586">
        <v>0</v>
      </c>
    </row>
    <row r="587" spans="1:7" x14ac:dyDescent="0.3">
      <c r="A587" t="s">
        <v>56</v>
      </c>
      <c r="B587">
        <v>50</v>
      </c>
      <c r="C587">
        <v>0.9</v>
      </c>
      <c r="D587">
        <v>0.9</v>
      </c>
      <c r="E587" t="s">
        <v>32</v>
      </c>
      <c r="F587">
        <v>0.91088114136441301</v>
      </c>
      <c r="G587">
        <v>47</v>
      </c>
    </row>
    <row r="588" spans="1:7" x14ac:dyDescent="0.3">
      <c r="A588" t="s">
        <v>56</v>
      </c>
      <c r="B588">
        <v>50</v>
      </c>
      <c r="C588">
        <v>0.9</v>
      </c>
      <c r="D588">
        <v>0.9</v>
      </c>
      <c r="E588" t="s">
        <v>33</v>
      </c>
      <c r="F588">
        <v>0.9385</v>
      </c>
      <c r="G588">
        <v>0</v>
      </c>
    </row>
    <row r="589" spans="1:7" x14ac:dyDescent="0.3">
      <c r="A589" t="s">
        <v>56</v>
      </c>
      <c r="B589">
        <v>50</v>
      </c>
      <c r="C589">
        <v>0.9</v>
      </c>
      <c r="D589">
        <v>0.9</v>
      </c>
      <c r="E589" t="s">
        <v>34</v>
      </c>
      <c r="F589">
        <v>0.91168491911986305</v>
      </c>
      <c r="G589">
        <v>47</v>
      </c>
    </row>
    <row r="590" spans="1:7" x14ac:dyDescent="0.3">
      <c r="A590" t="s">
        <v>56</v>
      </c>
      <c r="B590">
        <v>50</v>
      </c>
      <c r="C590">
        <v>0.9</v>
      </c>
      <c r="D590">
        <v>0.9</v>
      </c>
      <c r="E590" t="s">
        <v>88</v>
      </c>
      <c r="F590">
        <v>0.90963732681336595</v>
      </c>
      <c r="G590">
        <v>184</v>
      </c>
    </row>
    <row r="591" spans="1:7" x14ac:dyDescent="0.3">
      <c r="A591" t="s">
        <v>56</v>
      </c>
      <c r="B591">
        <v>50</v>
      </c>
      <c r="C591">
        <v>0.9</v>
      </c>
      <c r="D591">
        <v>0.9</v>
      </c>
      <c r="E591" t="s">
        <v>84</v>
      </c>
      <c r="F591">
        <v>0.91014669926650404</v>
      </c>
      <c r="G591">
        <v>184</v>
      </c>
    </row>
    <row r="592" spans="1:7" x14ac:dyDescent="0.3">
      <c r="A592" t="s">
        <v>56</v>
      </c>
      <c r="B592">
        <v>50</v>
      </c>
      <c r="C592">
        <v>0.9</v>
      </c>
      <c r="D592">
        <v>0.9</v>
      </c>
      <c r="E592" t="s">
        <v>92</v>
      </c>
      <c r="F592">
        <v>0.90925663358314801</v>
      </c>
      <c r="G592">
        <v>126</v>
      </c>
    </row>
    <row r="593" spans="1:7" x14ac:dyDescent="0.3">
      <c r="A593" t="s">
        <v>56</v>
      </c>
      <c r="B593">
        <v>50</v>
      </c>
      <c r="C593">
        <v>0.9</v>
      </c>
      <c r="D593">
        <v>0.9</v>
      </c>
      <c r="E593" t="s">
        <v>90</v>
      </c>
      <c r="F593">
        <v>0.93371904181891996</v>
      </c>
      <c r="G593">
        <v>148</v>
      </c>
    </row>
    <row r="594" spans="1:7" x14ac:dyDescent="0.3">
      <c r="A594" t="s">
        <v>56</v>
      </c>
      <c r="B594">
        <v>50</v>
      </c>
      <c r="C594">
        <v>0.9</v>
      </c>
      <c r="D594">
        <v>0.9</v>
      </c>
      <c r="E594" t="s">
        <v>86</v>
      </c>
      <c r="F594">
        <v>0.93463256191636201</v>
      </c>
      <c r="G594">
        <v>148</v>
      </c>
    </row>
    <row r="595" spans="1:7" x14ac:dyDescent="0.3">
      <c r="A595" t="s">
        <v>56</v>
      </c>
      <c r="B595">
        <v>50</v>
      </c>
      <c r="C595">
        <v>0.9</v>
      </c>
      <c r="D595">
        <v>0.9</v>
      </c>
      <c r="E595" t="s">
        <v>55</v>
      </c>
      <c r="F595">
        <v>0.90659999999999996</v>
      </c>
      <c r="G595">
        <v>0</v>
      </c>
    </row>
    <row r="596" spans="1:7" x14ac:dyDescent="0.3">
      <c r="A596" t="s">
        <v>57</v>
      </c>
      <c r="B596">
        <v>50</v>
      </c>
      <c r="C596">
        <v>0.9</v>
      </c>
      <c r="D596">
        <v>0.95</v>
      </c>
      <c r="E596" t="s">
        <v>32</v>
      </c>
      <c r="F596">
        <v>0.94569589702333101</v>
      </c>
      <c r="G596">
        <v>56</v>
      </c>
    </row>
    <row r="597" spans="1:7" x14ac:dyDescent="0.3">
      <c r="A597" t="s">
        <v>57</v>
      </c>
      <c r="B597">
        <v>50</v>
      </c>
      <c r="C597">
        <v>0.9</v>
      </c>
      <c r="D597">
        <v>0.95</v>
      </c>
      <c r="E597" t="s">
        <v>33</v>
      </c>
      <c r="F597">
        <v>0.94040000000000001</v>
      </c>
      <c r="G597">
        <v>0</v>
      </c>
    </row>
    <row r="598" spans="1:7" x14ac:dyDescent="0.3">
      <c r="A598" t="s">
        <v>57</v>
      </c>
      <c r="B598">
        <v>50</v>
      </c>
      <c r="C598">
        <v>0.9</v>
      </c>
      <c r="D598">
        <v>0.95</v>
      </c>
      <c r="E598" t="s">
        <v>34</v>
      </c>
      <c r="F598">
        <v>0.95826629123089302</v>
      </c>
      <c r="G598">
        <v>56</v>
      </c>
    </row>
    <row r="599" spans="1:7" x14ac:dyDescent="0.3">
      <c r="A599" t="s">
        <v>57</v>
      </c>
      <c r="B599">
        <v>50</v>
      </c>
      <c r="C599">
        <v>0.9</v>
      </c>
      <c r="D599">
        <v>0.95</v>
      </c>
      <c r="E599" t="s">
        <v>88</v>
      </c>
      <c r="F599">
        <v>0.94383743490248095</v>
      </c>
      <c r="G599">
        <v>207</v>
      </c>
    </row>
    <row r="600" spans="1:7" x14ac:dyDescent="0.3">
      <c r="A600" t="s">
        <v>57</v>
      </c>
      <c r="B600">
        <v>50</v>
      </c>
      <c r="C600">
        <v>0.9</v>
      </c>
      <c r="D600">
        <v>0.95</v>
      </c>
      <c r="E600" t="s">
        <v>84</v>
      </c>
      <c r="F600">
        <v>0.94557336873276798</v>
      </c>
      <c r="G600">
        <v>207</v>
      </c>
    </row>
    <row r="601" spans="1:7" x14ac:dyDescent="0.3">
      <c r="A601" t="s">
        <v>57</v>
      </c>
      <c r="B601">
        <v>50</v>
      </c>
      <c r="C601">
        <v>0.9</v>
      </c>
      <c r="D601">
        <v>0.95</v>
      </c>
      <c r="E601" t="s">
        <v>92</v>
      </c>
      <c r="F601">
        <v>0.943965079687341</v>
      </c>
      <c r="G601">
        <v>149</v>
      </c>
    </row>
    <row r="602" spans="1:7" x14ac:dyDescent="0.3">
      <c r="A602" t="s">
        <v>57</v>
      </c>
      <c r="B602">
        <v>50</v>
      </c>
      <c r="C602">
        <v>0.9</v>
      </c>
      <c r="D602">
        <v>0.95</v>
      </c>
      <c r="E602" t="s">
        <v>90</v>
      </c>
      <c r="F602">
        <v>0.94330211726384405</v>
      </c>
      <c r="G602">
        <v>176</v>
      </c>
    </row>
    <row r="603" spans="1:7" x14ac:dyDescent="0.3">
      <c r="A603" t="s">
        <v>57</v>
      </c>
      <c r="B603">
        <v>50</v>
      </c>
      <c r="C603">
        <v>0.9</v>
      </c>
      <c r="D603">
        <v>0.95</v>
      </c>
      <c r="E603" t="s">
        <v>86</v>
      </c>
      <c r="F603">
        <v>0.94543973941368098</v>
      </c>
      <c r="G603">
        <v>176</v>
      </c>
    </row>
    <row r="604" spans="1:7" x14ac:dyDescent="0.3">
      <c r="A604" t="s">
        <v>57</v>
      </c>
      <c r="B604">
        <v>50</v>
      </c>
      <c r="C604">
        <v>0.9</v>
      </c>
      <c r="D604">
        <v>0.95</v>
      </c>
      <c r="E604" t="s">
        <v>55</v>
      </c>
      <c r="F604">
        <v>0.96950000000000003</v>
      </c>
      <c r="G604">
        <v>0</v>
      </c>
    </row>
    <row r="605" spans="1:7" x14ac:dyDescent="0.3">
      <c r="A605" t="s">
        <v>57</v>
      </c>
      <c r="B605">
        <v>50</v>
      </c>
      <c r="C605">
        <v>0.9</v>
      </c>
      <c r="D605">
        <v>0.9</v>
      </c>
      <c r="E605" t="s">
        <v>32</v>
      </c>
      <c r="F605">
        <v>0.911806114239743</v>
      </c>
      <c r="G605">
        <v>56</v>
      </c>
    </row>
    <row r="606" spans="1:7" x14ac:dyDescent="0.3">
      <c r="A606" t="s">
        <v>57</v>
      </c>
      <c r="B606">
        <v>50</v>
      </c>
      <c r="C606">
        <v>0.9</v>
      </c>
      <c r="D606">
        <v>0.9</v>
      </c>
      <c r="E606" t="s">
        <v>33</v>
      </c>
      <c r="F606">
        <v>0.94040000000000001</v>
      </c>
      <c r="G606">
        <v>0</v>
      </c>
    </row>
    <row r="607" spans="1:7" x14ac:dyDescent="0.3">
      <c r="A607" t="s">
        <v>57</v>
      </c>
      <c r="B607">
        <v>50</v>
      </c>
      <c r="C607">
        <v>0.9</v>
      </c>
      <c r="D607">
        <v>0.9</v>
      </c>
      <c r="E607" t="s">
        <v>34</v>
      </c>
      <c r="F607">
        <v>0.91170555108608198</v>
      </c>
      <c r="G607">
        <v>56</v>
      </c>
    </row>
    <row r="608" spans="1:7" x14ac:dyDescent="0.3">
      <c r="A608" t="s">
        <v>57</v>
      </c>
      <c r="B608">
        <v>50</v>
      </c>
      <c r="C608">
        <v>0.9</v>
      </c>
      <c r="D608">
        <v>0.9</v>
      </c>
      <c r="E608" t="s">
        <v>88</v>
      </c>
      <c r="F608">
        <v>0.90881241703257398</v>
      </c>
      <c r="G608">
        <v>207</v>
      </c>
    </row>
    <row r="609" spans="1:7" x14ac:dyDescent="0.3">
      <c r="A609" t="s">
        <v>57</v>
      </c>
      <c r="B609">
        <v>50</v>
      </c>
      <c r="C609">
        <v>0.9</v>
      </c>
      <c r="D609">
        <v>0.9</v>
      </c>
      <c r="E609" t="s">
        <v>84</v>
      </c>
      <c r="F609">
        <v>0.91105891963647501</v>
      </c>
      <c r="G609">
        <v>207</v>
      </c>
    </row>
    <row r="610" spans="1:7" x14ac:dyDescent="0.3">
      <c r="A610" t="s">
        <v>57</v>
      </c>
      <c r="B610">
        <v>50</v>
      </c>
      <c r="C610">
        <v>0.9</v>
      </c>
      <c r="D610">
        <v>0.9</v>
      </c>
      <c r="E610" t="s">
        <v>92</v>
      </c>
      <c r="F610">
        <v>0.90884174195513101</v>
      </c>
      <c r="G610">
        <v>149</v>
      </c>
    </row>
    <row r="611" spans="1:7" x14ac:dyDescent="0.3">
      <c r="A611" t="s">
        <v>57</v>
      </c>
      <c r="B611">
        <v>50</v>
      </c>
      <c r="C611">
        <v>0.9</v>
      </c>
      <c r="D611">
        <v>0.9</v>
      </c>
      <c r="E611" t="s">
        <v>90</v>
      </c>
      <c r="F611">
        <v>0.93088355048859905</v>
      </c>
      <c r="G611">
        <v>176</v>
      </c>
    </row>
    <row r="612" spans="1:7" x14ac:dyDescent="0.3">
      <c r="A612" t="s">
        <v>57</v>
      </c>
      <c r="B612">
        <v>50</v>
      </c>
      <c r="C612">
        <v>0.9</v>
      </c>
      <c r="D612">
        <v>0.9</v>
      </c>
      <c r="E612" t="s">
        <v>86</v>
      </c>
      <c r="F612">
        <v>0.93210504885993495</v>
      </c>
      <c r="G612">
        <v>176</v>
      </c>
    </row>
    <row r="613" spans="1:7" x14ac:dyDescent="0.3">
      <c r="A613" t="s">
        <v>57</v>
      </c>
      <c r="B613">
        <v>50</v>
      </c>
      <c r="C613">
        <v>0.9</v>
      </c>
      <c r="D613">
        <v>0.9</v>
      </c>
      <c r="E613" t="s">
        <v>55</v>
      </c>
      <c r="F613">
        <v>0.90669999999999995</v>
      </c>
      <c r="G613">
        <v>0</v>
      </c>
    </row>
    <row r="614" spans="1:7" x14ac:dyDescent="0.3">
      <c r="A614" t="s">
        <v>31</v>
      </c>
      <c r="B614">
        <v>100</v>
      </c>
      <c r="C614">
        <v>0.9</v>
      </c>
      <c r="D614">
        <v>0.95</v>
      </c>
      <c r="E614" t="s">
        <v>32</v>
      </c>
      <c r="F614">
        <v>0.95609999999999995</v>
      </c>
      <c r="G614">
        <v>0</v>
      </c>
    </row>
    <row r="615" spans="1:7" x14ac:dyDescent="0.3">
      <c r="A615" t="s">
        <v>31</v>
      </c>
      <c r="B615">
        <v>100</v>
      </c>
      <c r="C615">
        <v>0.9</v>
      </c>
      <c r="D615">
        <v>0.95</v>
      </c>
      <c r="E615" t="s">
        <v>33</v>
      </c>
      <c r="F615">
        <v>0.95609999999999995</v>
      </c>
      <c r="G615">
        <v>0</v>
      </c>
    </row>
    <row r="616" spans="1:7" x14ac:dyDescent="0.3">
      <c r="A616" t="s">
        <v>31</v>
      </c>
      <c r="B616">
        <v>100</v>
      </c>
      <c r="C616">
        <v>0.9</v>
      </c>
      <c r="D616">
        <v>0.95</v>
      </c>
      <c r="E616" t="s">
        <v>34</v>
      </c>
      <c r="F616">
        <v>0.95179999999999998</v>
      </c>
      <c r="G616">
        <v>0</v>
      </c>
    </row>
    <row r="617" spans="1:7" x14ac:dyDescent="0.3">
      <c r="A617" t="s">
        <v>31</v>
      </c>
      <c r="B617">
        <v>100</v>
      </c>
      <c r="C617">
        <v>0.9</v>
      </c>
      <c r="D617">
        <v>0.95</v>
      </c>
      <c r="E617" t="s">
        <v>88</v>
      </c>
      <c r="F617">
        <v>0.95225143547899704</v>
      </c>
      <c r="G617">
        <v>73</v>
      </c>
    </row>
    <row r="618" spans="1:7" x14ac:dyDescent="0.3">
      <c r="A618" t="s">
        <v>31</v>
      </c>
      <c r="B618">
        <v>100</v>
      </c>
      <c r="C618">
        <v>0.9</v>
      </c>
      <c r="D618">
        <v>0.95</v>
      </c>
      <c r="E618" t="s">
        <v>84</v>
      </c>
      <c r="F618">
        <v>0.95325878916087403</v>
      </c>
      <c r="G618">
        <v>73</v>
      </c>
    </row>
    <row r="619" spans="1:7" x14ac:dyDescent="0.3">
      <c r="A619" t="s">
        <v>31</v>
      </c>
      <c r="B619">
        <v>100</v>
      </c>
      <c r="C619">
        <v>0.9</v>
      </c>
      <c r="D619">
        <v>0.95</v>
      </c>
      <c r="E619" t="s">
        <v>92</v>
      </c>
      <c r="F619">
        <v>0.95405649944706905</v>
      </c>
      <c r="G619">
        <v>53</v>
      </c>
    </row>
    <row r="620" spans="1:7" x14ac:dyDescent="0.3">
      <c r="A620" t="s">
        <v>31</v>
      </c>
      <c r="B620">
        <v>100</v>
      </c>
      <c r="C620">
        <v>0.9</v>
      </c>
      <c r="D620">
        <v>0.95</v>
      </c>
      <c r="E620" t="s">
        <v>90</v>
      </c>
      <c r="F620">
        <v>0.95429376824725698</v>
      </c>
      <c r="G620">
        <v>67</v>
      </c>
    </row>
    <row r="621" spans="1:7" x14ac:dyDescent="0.3">
      <c r="A621" t="s">
        <v>31</v>
      </c>
      <c r="B621">
        <v>100</v>
      </c>
      <c r="C621">
        <v>0.9</v>
      </c>
      <c r="D621">
        <v>0.95</v>
      </c>
      <c r="E621" t="s">
        <v>86</v>
      </c>
      <c r="F621">
        <v>0.95489781536293195</v>
      </c>
      <c r="G621">
        <v>67</v>
      </c>
    </row>
    <row r="622" spans="1:7" x14ac:dyDescent="0.3">
      <c r="A622" t="s">
        <v>31</v>
      </c>
      <c r="B622">
        <v>100</v>
      </c>
      <c r="C622">
        <v>0.9</v>
      </c>
      <c r="D622">
        <v>0.95</v>
      </c>
      <c r="E622" t="s">
        <v>55</v>
      </c>
      <c r="F622">
        <v>0.95609999999999995</v>
      </c>
      <c r="G622">
        <v>0</v>
      </c>
    </row>
    <row r="623" spans="1:7" x14ac:dyDescent="0.3">
      <c r="A623" t="s">
        <v>31</v>
      </c>
      <c r="B623">
        <v>100</v>
      </c>
      <c r="C623">
        <v>0.9</v>
      </c>
      <c r="D623">
        <v>0.9</v>
      </c>
      <c r="E623" t="s">
        <v>32</v>
      </c>
      <c r="F623">
        <v>0.90469999999999995</v>
      </c>
      <c r="G623">
        <v>0</v>
      </c>
    </row>
    <row r="624" spans="1:7" x14ac:dyDescent="0.3">
      <c r="A624" t="s">
        <v>31</v>
      </c>
      <c r="B624">
        <v>100</v>
      </c>
      <c r="C624">
        <v>0.9</v>
      </c>
      <c r="D624">
        <v>0.9</v>
      </c>
      <c r="E624" t="s">
        <v>33</v>
      </c>
      <c r="F624">
        <v>0.90469999999999995</v>
      </c>
      <c r="G624">
        <v>0</v>
      </c>
    </row>
    <row r="625" spans="1:7" x14ac:dyDescent="0.3">
      <c r="A625" t="s">
        <v>31</v>
      </c>
      <c r="B625">
        <v>100</v>
      </c>
      <c r="C625">
        <v>0.9</v>
      </c>
      <c r="D625">
        <v>0.9</v>
      </c>
      <c r="E625" t="s">
        <v>34</v>
      </c>
      <c r="F625">
        <v>0.90369999999999995</v>
      </c>
      <c r="G625">
        <v>0</v>
      </c>
    </row>
    <row r="626" spans="1:7" x14ac:dyDescent="0.3">
      <c r="A626" t="s">
        <v>31</v>
      </c>
      <c r="B626">
        <v>100</v>
      </c>
      <c r="C626">
        <v>0.9</v>
      </c>
      <c r="D626">
        <v>0.9</v>
      </c>
      <c r="E626" t="s">
        <v>88</v>
      </c>
      <c r="F626">
        <v>0.90057419159867003</v>
      </c>
      <c r="G626">
        <v>73</v>
      </c>
    </row>
    <row r="627" spans="1:7" x14ac:dyDescent="0.3">
      <c r="A627" t="s">
        <v>31</v>
      </c>
      <c r="B627">
        <v>100</v>
      </c>
      <c r="C627">
        <v>0.9</v>
      </c>
      <c r="D627">
        <v>0.9</v>
      </c>
      <c r="E627" t="s">
        <v>84</v>
      </c>
      <c r="F627">
        <v>0.902286692857862</v>
      </c>
      <c r="G627">
        <v>73</v>
      </c>
    </row>
    <row r="628" spans="1:7" x14ac:dyDescent="0.3">
      <c r="A628" t="s">
        <v>31</v>
      </c>
      <c r="B628">
        <v>100</v>
      </c>
      <c r="C628">
        <v>0.9</v>
      </c>
      <c r="D628">
        <v>0.9</v>
      </c>
      <c r="E628" t="s">
        <v>92</v>
      </c>
      <c r="F628">
        <v>0.90348848899165601</v>
      </c>
      <c r="G628">
        <v>53</v>
      </c>
    </row>
    <row r="629" spans="1:7" x14ac:dyDescent="0.3">
      <c r="A629" t="s">
        <v>31</v>
      </c>
      <c r="B629">
        <v>100</v>
      </c>
      <c r="C629">
        <v>0.9</v>
      </c>
      <c r="D629">
        <v>0.9</v>
      </c>
      <c r="E629" t="s">
        <v>90</v>
      </c>
      <c r="F629">
        <v>0.904258532165509</v>
      </c>
      <c r="G629">
        <v>67</v>
      </c>
    </row>
    <row r="630" spans="1:7" x14ac:dyDescent="0.3">
      <c r="A630" t="s">
        <v>31</v>
      </c>
      <c r="B630">
        <v>100</v>
      </c>
      <c r="C630">
        <v>0.9</v>
      </c>
      <c r="D630">
        <v>0.9</v>
      </c>
      <c r="E630" t="s">
        <v>86</v>
      </c>
      <c r="F630">
        <v>0.90526527735830098</v>
      </c>
      <c r="G630">
        <v>67</v>
      </c>
    </row>
    <row r="631" spans="1:7" x14ac:dyDescent="0.3">
      <c r="A631" t="s">
        <v>31</v>
      </c>
      <c r="B631">
        <v>100</v>
      </c>
      <c r="C631">
        <v>0.9</v>
      </c>
      <c r="D631">
        <v>0.9</v>
      </c>
      <c r="E631" t="s">
        <v>55</v>
      </c>
      <c r="F631">
        <v>0.91</v>
      </c>
      <c r="G631">
        <v>0</v>
      </c>
    </row>
    <row r="632" spans="1:7" x14ac:dyDescent="0.3">
      <c r="A632" t="s">
        <v>56</v>
      </c>
      <c r="B632">
        <v>100</v>
      </c>
      <c r="C632">
        <v>0.9</v>
      </c>
      <c r="D632">
        <v>0.95</v>
      </c>
      <c r="E632" t="s">
        <v>32</v>
      </c>
      <c r="F632">
        <v>0.95520000000000005</v>
      </c>
      <c r="G632">
        <v>0</v>
      </c>
    </row>
    <row r="633" spans="1:7" x14ac:dyDescent="0.3">
      <c r="A633" t="s">
        <v>56</v>
      </c>
      <c r="B633">
        <v>100</v>
      </c>
      <c r="C633">
        <v>0.9</v>
      </c>
      <c r="D633">
        <v>0.95</v>
      </c>
      <c r="E633" t="s">
        <v>33</v>
      </c>
      <c r="F633">
        <v>0.95520000000000005</v>
      </c>
      <c r="G633">
        <v>0</v>
      </c>
    </row>
    <row r="634" spans="1:7" x14ac:dyDescent="0.3">
      <c r="A634" t="s">
        <v>56</v>
      </c>
      <c r="B634">
        <v>100</v>
      </c>
      <c r="C634">
        <v>0.9</v>
      </c>
      <c r="D634">
        <v>0.95</v>
      </c>
      <c r="E634" t="s">
        <v>34</v>
      </c>
      <c r="F634">
        <v>0.95009999999999994</v>
      </c>
      <c r="G634">
        <v>0</v>
      </c>
    </row>
    <row r="635" spans="1:7" x14ac:dyDescent="0.3">
      <c r="A635" t="s">
        <v>56</v>
      </c>
      <c r="B635">
        <v>100</v>
      </c>
      <c r="C635">
        <v>0.9</v>
      </c>
      <c r="D635">
        <v>0.95</v>
      </c>
      <c r="E635" t="s">
        <v>88</v>
      </c>
      <c r="F635">
        <v>0.95431574691732401</v>
      </c>
      <c r="G635">
        <v>106</v>
      </c>
    </row>
    <row r="636" spans="1:7" x14ac:dyDescent="0.3">
      <c r="A636" t="s">
        <v>56</v>
      </c>
      <c r="B636">
        <v>100</v>
      </c>
      <c r="C636">
        <v>0.9</v>
      </c>
      <c r="D636">
        <v>0.95</v>
      </c>
      <c r="E636" t="s">
        <v>84</v>
      </c>
      <c r="F636">
        <v>0.954517889630079</v>
      </c>
      <c r="G636">
        <v>106</v>
      </c>
    </row>
    <row r="637" spans="1:7" x14ac:dyDescent="0.3">
      <c r="A637" t="s">
        <v>56</v>
      </c>
      <c r="B637">
        <v>100</v>
      </c>
      <c r="C637">
        <v>0.9</v>
      </c>
      <c r="D637">
        <v>0.95</v>
      </c>
      <c r="E637" t="s">
        <v>92</v>
      </c>
      <c r="F637">
        <v>0.95456839979808195</v>
      </c>
      <c r="G637">
        <v>95</v>
      </c>
    </row>
    <row r="638" spans="1:7" x14ac:dyDescent="0.3">
      <c r="A638" t="s">
        <v>56</v>
      </c>
      <c r="B638">
        <v>100</v>
      </c>
      <c r="C638">
        <v>0.9</v>
      </c>
      <c r="D638">
        <v>0.95</v>
      </c>
      <c r="E638" t="s">
        <v>90</v>
      </c>
      <c r="F638">
        <v>0.954586831192475</v>
      </c>
      <c r="G638">
        <v>113</v>
      </c>
    </row>
    <row r="639" spans="1:7" x14ac:dyDescent="0.3">
      <c r="A639" t="s">
        <v>56</v>
      </c>
      <c r="B639">
        <v>100</v>
      </c>
      <c r="C639">
        <v>0.9</v>
      </c>
      <c r="D639">
        <v>0.95</v>
      </c>
      <c r="E639" t="s">
        <v>86</v>
      </c>
      <c r="F639">
        <v>0.95468797410741402</v>
      </c>
      <c r="G639">
        <v>113</v>
      </c>
    </row>
    <row r="640" spans="1:7" x14ac:dyDescent="0.3">
      <c r="A640" t="s">
        <v>56</v>
      </c>
      <c r="B640">
        <v>100</v>
      </c>
      <c r="C640">
        <v>0.9</v>
      </c>
      <c r="D640">
        <v>0.95</v>
      </c>
      <c r="E640" t="s">
        <v>55</v>
      </c>
      <c r="F640">
        <v>0.95520000000000005</v>
      </c>
      <c r="G640">
        <v>0</v>
      </c>
    </row>
    <row r="641" spans="1:7" x14ac:dyDescent="0.3">
      <c r="A641" t="s">
        <v>56</v>
      </c>
      <c r="B641">
        <v>100</v>
      </c>
      <c r="C641">
        <v>0.9</v>
      </c>
      <c r="D641">
        <v>0.9</v>
      </c>
      <c r="E641" t="s">
        <v>32</v>
      </c>
      <c r="F641">
        <v>0.90059999999999996</v>
      </c>
      <c r="G641">
        <v>0</v>
      </c>
    </row>
    <row r="642" spans="1:7" x14ac:dyDescent="0.3">
      <c r="A642" t="s">
        <v>56</v>
      </c>
      <c r="B642">
        <v>100</v>
      </c>
      <c r="C642">
        <v>0.9</v>
      </c>
      <c r="D642">
        <v>0.9</v>
      </c>
      <c r="E642" t="s">
        <v>33</v>
      </c>
      <c r="F642">
        <v>0.90059999999999996</v>
      </c>
      <c r="G642">
        <v>0</v>
      </c>
    </row>
    <row r="643" spans="1:7" x14ac:dyDescent="0.3">
      <c r="A643" t="s">
        <v>56</v>
      </c>
      <c r="B643">
        <v>100</v>
      </c>
      <c r="C643">
        <v>0.9</v>
      </c>
      <c r="D643">
        <v>0.9</v>
      </c>
      <c r="E643" t="s">
        <v>34</v>
      </c>
      <c r="F643">
        <v>0.89949999999999997</v>
      </c>
      <c r="G643">
        <v>0</v>
      </c>
    </row>
    <row r="644" spans="1:7" x14ac:dyDescent="0.3">
      <c r="A644" t="s">
        <v>56</v>
      </c>
      <c r="B644">
        <v>100</v>
      </c>
      <c r="C644">
        <v>0.9</v>
      </c>
      <c r="D644">
        <v>0.9</v>
      </c>
      <c r="E644" t="s">
        <v>88</v>
      </c>
      <c r="F644">
        <v>0.898221144127754</v>
      </c>
      <c r="G644">
        <v>106</v>
      </c>
    </row>
    <row r="645" spans="1:7" x14ac:dyDescent="0.3">
      <c r="A645" t="s">
        <v>56</v>
      </c>
      <c r="B645">
        <v>100</v>
      </c>
      <c r="C645">
        <v>0.9</v>
      </c>
      <c r="D645">
        <v>0.9</v>
      </c>
      <c r="E645" t="s">
        <v>84</v>
      </c>
      <c r="F645">
        <v>0.89872650090964201</v>
      </c>
      <c r="G645">
        <v>106</v>
      </c>
    </row>
    <row r="646" spans="1:7" x14ac:dyDescent="0.3">
      <c r="A646" t="s">
        <v>56</v>
      </c>
      <c r="B646">
        <v>100</v>
      </c>
      <c r="C646">
        <v>0.9</v>
      </c>
      <c r="D646">
        <v>0.9</v>
      </c>
      <c r="E646" t="s">
        <v>92</v>
      </c>
      <c r="F646">
        <v>0.89904088844018204</v>
      </c>
      <c r="G646">
        <v>95</v>
      </c>
    </row>
    <row r="647" spans="1:7" x14ac:dyDescent="0.3">
      <c r="A647" t="s">
        <v>56</v>
      </c>
      <c r="B647">
        <v>100</v>
      </c>
      <c r="C647">
        <v>0.9</v>
      </c>
      <c r="D647">
        <v>0.9</v>
      </c>
      <c r="E647" t="s">
        <v>90</v>
      </c>
      <c r="F647">
        <v>0.89926165672094704</v>
      </c>
      <c r="G647">
        <v>113</v>
      </c>
    </row>
    <row r="648" spans="1:7" x14ac:dyDescent="0.3">
      <c r="A648" t="s">
        <v>56</v>
      </c>
      <c r="B648">
        <v>100</v>
      </c>
      <c r="C648">
        <v>0.9</v>
      </c>
      <c r="D648">
        <v>0.9</v>
      </c>
      <c r="E648" t="s">
        <v>86</v>
      </c>
      <c r="F648">
        <v>0.89946394255082396</v>
      </c>
      <c r="G648">
        <v>113</v>
      </c>
    </row>
    <row r="649" spans="1:7" x14ac:dyDescent="0.3">
      <c r="A649" t="s">
        <v>56</v>
      </c>
      <c r="B649">
        <v>100</v>
      </c>
      <c r="C649">
        <v>0.9</v>
      </c>
      <c r="D649">
        <v>0.9</v>
      </c>
      <c r="E649" t="s">
        <v>55</v>
      </c>
      <c r="F649">
        <v>0.90129999999999999</v>
      </c>
      <c r="G649">
        <v>0</v>
      </c>
    </row>
    <row r="650" spans="1:7" x14ac:dyDescent="0.3">
      <c r="A650" t="s">
        <v>57</v>
      </c>
      <c r="B650">
        <v>100</v>
      </c>
      <c r="C650">
        <v>0.9</v>
      </c>
      <c r="D650">
        <v>0.95</v>
      </c>
      <c r="E650" t="s">
        <v>32</v>
      </c>
      <c r="F650">
        <v>0.95950000000000002</v>
      </c>
      <c r="G650">
        <v>0</v>
      </c>
    </row>
    <row r="651" spans="1:7" x14ac:dyDescent="0.3">
      <c r="A651" t="s">
        <v>57</v>
      </c>
      <c r="B651">
        <v>100</v>
      </c>
      <c r="C651">
        <v>0.9</v>
      </c>
      <c r="D651">
        <v>0.95</v>
      </c>
      <c r="E651" t="s">
        <v>33</v>
      </c>
      <c r="F651">
        <v>0.95950000000000002</v>
      </c>
      <c r="G651">
        <v>0</v>
      </c>
    </row>
    <row r="652" spans="1:7" x14ac:dyDescent="0.3">
      <c r="A652" t="s">
        <v>57</v>
      </c>
      <c r="B652">
        <v>100</v>
      </c>
      <c r="C652">
        <v>0.9</v>
      </c>
      <c r="D652">
        <v>0.95</v>
      </c>
      <c r="E652" t="s">
        <v>34</v>
      </c>
      <c r="F652">
        <v>0.95569999999999999</v>
      </c>
      <c r="G652">
        <v>0</v>
      </c>
    </row>
    <row r="653" spans="1:7" x14ac:dyDescent="0.3">
      <c r="A653" t="s">
        <v>57</v>
      </c>
      <c r="B653">
        <v>100</v>
      </c>
      <c r="C653">
        <v>0.9</v>
      </c>
      <c r="D653">
        <v>0.95</v>
      </c>
      <c r="E653" t="s">
        <v>88</v>
      </c>
      <c r="F653">
        <v>0.95747696669029103</v>
      </c>
      <c r="G653">
        <v>123</v>
      </c>
    </row>
    <row r="654" spans="1:7" x14ac:dyDescent="0.3">
      <c r="A654" t="s">
        <v>57</v>
      </c>
      <c r="B654">
        <v>100</v>
      </c>
      <c r="C654">
        <v>0.9</v>
      </c>
      <c r="D654">
        <v>0.95</v>
      </c>
      <c r="E654" t="s">
        <v>84</v>
      </c>
      <c r="F654">
        <v>0.957881947959907</v>
      </c>
      <c r="G654">
        <v>123</v>
      </c>
    </row>
    <row r="655" spans="1:7" x14ac:dyDescent="0.3">
      <c r="A655" t="s">
        <v>57</v>
      </c>
      <c r="B655">
        <v>100</v>
      </c>
      <c r="C655">
        <v>0.9</v>
      </c>
      <c r="D655">
        <v>0.95</v>
      </c>
      <c r="E655" t="s">
        <v>92</v>
      </c>
      <c r="F655">
        <v>0.95826192156467405</v>
      </c>
      <c r="G655">
        <v>81</v>
      </c>
    </row>
    <row r="656" spans="1:7" x14ac:dyDescent="0.3">
      <c r="A656" t="s">
        <v>57</v>
      </c>
      <c r="B656">
        <v>100</v>
      </c>
      <c r="C656">
        <v>0.9</v>
      </c>
      <c r="D656">
        <v>0.95</v>
      </c>
      <c r="E656" t="s">
        <v>90</v>
      </c>
      <c r="F656">
        <v>0.95864509605662296</v>
      </c>
      <c r="G656">
        <v>110</v>
      </c>
    </row>
    <row r="657" spans="1:7" x14ac:dyDescent="0.3">
      <c r="A657" t="s">
        <v>57</v>
      </c>
      <c r="B657">
        <v>100</v>
      </c>
      <c r="C657">
        <v>0.9</v>
      </c>
      <c r="D657">
        <v>0.95</v>
      </c>
      <c r="E657" t="s">
        <v>86</v>
      </c>
      <c r="F657">
        <v>0.95884732052578403</v>
      </c>
      <c r="G657">
        <v>110</v>
      </c>
    </row>
    <row r="658" spans="1:7" x14ac:dyDescent="0.3">
      <c r="A658" t="s">
        <v>57</v>
      </c>
      <c r="B658">
        <v>100</v>
      </c>
      <c r="C658">
        <v>0.9</v>
      </c>
      <c r="D658">
        <v>0.95</v>
      </c>
      <c r="E658" t="s">
        <v>55</v>
      </c>
      <c r="F658">
        <v>0.95950000000000002</v>
      </c>
      <c r="G658">
        <v>0</v>
      </c>
    </row>
    <row r="659" spans="1:7" x14ac:dyDescent="0.3">
      <c r="A659" t="s">
        <v>57</v>
      </c>
      <c r="B659">
        <v>100</v>
      </c>
      <c r="C659">
        <v>0.9</v>
      </c>
      <c r="D659">
        <v>0.9</v>
      </c>
      <c r="E659" t="s">
        <v>32</v>
      </c>
      <c r="F659">
        <v>0.90449999999999997</v>
      </c>
      <c r="G659">
        <v>0</v>
      </c>
    </row>
    <row r="660" spans="1:7" x14ac:dyDescent="0.3">
      <c r="A660" t="s">
        <v>57</v>
      </c>
      <c r="B660">
        <v>100</v>
      </c>
      <c r="C660">
        <v>0.9</v>
      </c>
      <c r="D660">
        <v>0.9</v>
      </c>
      <c r="E660" t="s">
        <v>33</v>
      </c>
      <c r="F660">
        <v>0.90449999999999997</v>
      </c>
      <c r="G660">
        <v>0</v>
      </c>
    </row>
    <row r="661" spans="1:7" x14ac:dyDescent="0.3">
      <c r="A661" t="s">
        <v>57</v>
      </c>
      <c r="B661">
        <v>100</v>
      </c>
      <c r="C661">
        <v>0.9</v>
      </c>
      <c r="D661">
        <v>0.9</v>
      </c>
      <c r="E661" t="s">
        <v>34</v>
      </c>
      <c r="F661">
        <v>0.9042</v>
      </c>
      <c r="G661">
        <v>0</v>
      </c>
    </row>
    <row r="662" spans="1:7" x14ac:dyDescent="0.3">
      <c r="A662" t="s">
        <v>57</v>
      </c>
      <c r="B662">
        <v>100</v>
      </c>
      <c r="C662">
        <v>0.9</v>
      </c>
      <c r="D662">
        <v>0.9</v>
      </c>
      <c r="E662" t="s">
        <v>88</v>
      </c>
      <c r="F662">
        <v>0.90088083426141496</v>
      </c>
      <c r="G662">
        <v>123</v>
      </c>
    </row>
    <row r="663" spans="1:7" x14ac:dyDescent="0.3">
      <c r="A663" t="s">
        <v>57</v>
      </c>
      <c r="B663">
        <v>100</v>
      </c>
      <c r="C663">
        <v>0.9</v>
      </c>
      <c r="D663">
        <v>0.9</v>
      </c>
      <c r="E663" t="s">
        <v>84</v>
      </c>
      <c r="F663">
        <v>0.90158955148324404</v>
      </c>
      <c r="G663">
        <v>123</v>
      </c>
    </row>
    <row r="664" spans="1:7" x14ac:dyDescent="0.3">
      <c r="A664" t="s">
        <v>57</v>
      </c>
      <c r="B664">
        <v>100</v>
      </c>
      <c r="C664">
        <v>0.9</v>
      </c>
      <c r="D664">
        <v>0.9</v>
      </c>
      <c r="E664" t="s">
        <v>92</v>
      </c>
      <c r="F664">
        <v>0.90240951708841599</v>
      </c>
      <c r="G664">
        <v>81</v>
      </c>
    </row>
    <row r="665" spans="1:7" x14ac:dyDescent="0.3">
      <c r="A665" t="s">
        <v>57</v>
      </c>
      <c r="B665">
        <v>100</v>
      </c>
      <c r="C665">
        <v>0.9</v>
      </c>
      <c r="D665">
        <v>0.9</v>
      </c>
      <c r="E665" t="s">
        <v>90</v>
      </c>
      <c r="F665">
        <v>0.90313447927199197</v>
      </c>
      <c r="G665">
        <v>110</v>
      </c>
    </row>
    <row r="666" spans="1:7" x14ac:dyDescent="0.3">
      <c r="A666" t="s">
        <v>57</v>
      </c>
      <c r="B666">
        <v>100</v>
      </c>
      <c r="C666">
        <v>0.9</v>
      </c>
      <c r="D666">
        <v>0.9</v>
      </c>
      <c r="E666" t="s">
        <v>86</v>
      </c>
      <c r="F666">
        <v>0.904145601617796</v>
      </c>
      <c r="G666">
        <v>110</v>
      </c>
    </row>
    <row r="667" spans="1:7" x14ac:dyDescent="0.3">
      <c r="A667" t="s">
        <v>57</v>
      </c>
      <c r="B667">
        <v>100</v>
      </c>
      <c r="C667">
        <v>0.9</v>
      </c>
      <c r="D667">
        <v>0.9</v>
      </c>
      <c r="E667" t="s">
        <v>55</v>
      </c>
      <c r="F667">
        <v>0.90800000000000003</v>
      </c>
      <c r="G667">
        <v>0</v>
      </c>
    </row>
    <row r="668" spans="1:7" x14ac:dyDescent="0.3">
      <c r="A668" t="s">
        <v>31</v>
      </c>
      <c r="B668">
        <v>20</v>
      </c>
      <c r="C668">
        <v>0.95</v>
      </c>
      <c r="D668">
        <v>0.95</v>
      </c>
      <c r="E668" t="s">
        <v>32</v>
      </c>
      <c r="F668">
        <v>0.93752324284120503</v>
      </c>
      <c r="G668">
        <v>7311</v>
      </c>
    </row>
    <row r="669" spans="1:7" x14ac:dyDescent="0.3">
      <c r="A669" t="s">
        <v>31</v>
      </c>
      <c r="B669">
        <v>20</v>
      </c>
      <c r="C669">
        <v>0.95</v>
      </c>
      <c r="D669">
        <v>0.95</v>
      </c>
      <c r="E669" t="s">
        <v>33</v>
      </c>
      <c r="F669">
        <v>0.40034937271716697</v>
      </c>
      <c r="G669">
        <v>3703</v>
      </c>
    </row>
    <row r="670" spans="1:7" x14ac:dyDescent="0.3">
      <c r="A670" t="s">
        <v>31</v>
      </c>
      <c r="B670">
        <v>20</v>
      </c>
      <c r="C670">
        <v>0.95</v>
      </c>
      <c r="D670">
        <v>0.95</v>
      </c>
      <c r="E670" t="s">
        <v>34</v>
      </c>
      <c r="F670">
        <v>0.97058823529411797</v>
      </c>
      <c r="G670">
        <v>3608</v>
      </c>
    </row>
    <row r="671" spans="1:7" x14ac:dyDescent="0.3">
      <c r="A671" t="s">
        <v>31</v>
      </c>
      <c r="B671">
        <v>20</v>
      </c>
      <c r="C671">
        <v>0.95</v>
      </c>
      <c r="D671">
        <v>0.95</v>
      </c>
      <c r="E671" t="s">
        <v>88</v>
      </c>
      <c r="F671">
        <v>0.912679614716564</v>
      </c>
      <c r="G671">
        <v>3667</v>
      </c>
    </row>
    <row r="672" spans="1:7" x14ac:dyDescent="0.3">
      <c r="A672" t="s">
        <v>31</v>
      </c>
      <c r="B672">
        <v>20</v>
      </c>
      <c r="C672">
        <v>0.95</v>
      </c>
      <c r="D672">
        <v>0.95</v>
      </c>
      <c r="E672" t="s">
        <v>84</v>
      </c>
      <c r="F672">
        <v>0.91552186957208304</v>
      </c>
      <c r="G672">
        <v>3667</v>
      </c>
    </row>
    <row r="673" spans="1:7" x14ac:dyDescent="0.3">
      <c r="A673" t="s">
        <v>31</v>
      </c>
      <c r="B673">
        <v>20</v>
      </c>
      <c r="C673">
        <v>0.95</v>
      </c>
      <c r="D673">
        <v>0.95</v>
      </c>
      <c r="E673" t="s">
        <v>92</v>
      </c>
      <c r="F673">
        <v>0.98011494252873599</v>
      </c>
      <c r="G673">
        <v>1300</v>
      </c>
    </row>
    <row r="674" spans="1:7" x14ac:dyDescent="0.3">
      <c r="A674" t="s">
        <v>31</v>
      </c>
      <c r="B674">
        <v>20</v>
      </c>
      <c r="C674">
        <v>0.95</v>
      </c>
      <c r="D674">
        <v>0.95</v>
      </c>
      <c r="E674" t="s">
        <v>90</v>
      </c>
      <c r="F674">
        <v>0.63289502047855095</v>
      </c>
      <c r="G674">
        <v>722</v>
      </c>
    </row>
    <row r="675" spans="1:7" x14ac:dyDescent="0.3">
      <c r="A675" t="s">
        <v>31</v>
      </c>
      <c r="B675">
        <v>20</v>
      </c>
      <c r="C675">
        <v>0.95</v>
      </c>
      <c r="D675">
        <v>0.95</v>
      </c>
      <c r="E675" t="s">
        <v>86</v>
      </c>
      <c r="F675">
        <v>0.64151756844147401</v>
      </c>
      <c r="G675">
        <v>722</v>
      </c>
    </row>
    <row r="676" spans="1:7" x14ac:dyDescent="0.3">
      <c r="A676" t="s">
        <v>31</v>
      </c>
      <c r="B676">
        <v>20</v>
      </c>
      <c r="C676">
        <v>0.95</v>
      </c>
      <c r="D676">
        <v>0.95</v>
      </c>
      <c r="E676" t="s">
        <v>55</v>
      </c>
      <c r="F676">
        <v>0.98319999999999996</v>
      </c>
      <c r="G676">
        <v>0</v>
      </c>
    </row>
    <row r="677" spans="1:7" x14ac:dyDescent="0.3">
      <c r="A677" t="s">
        <v>31</v>
      </c>
      <c r="B677">
        <v>20</v>
      </c>
      <c r="C677">
        <v>0.95</v>
      </c>
      <c r="D677">
        <v>0.9</v>
      </c>
      <c r="E677" t="s">
        <v>32</v>
      </c>
      <c r="F677">
        <v>0.71997024916325802</v>
      </c>
      <c r="G677">
        <v>7311</v>
      </c>
    </row>
    <row r="678" spans="1:7" x14ac:dyDescent="0.3">
      <c r="A678" t="s">
        <v>31</v>
      </c>
      <c r="B678">
        <v>20</v>
      </c>
      <c r="C678">
        <v>0.95</v>
      </c>
      <c r="D678">
        <v>0.9</v>
      </c>
      <c r="E678" t="s">
        <v>33</v>
      </c>
      <c r="F678">
        <v>0.40034937271716697</v>
      </c>
      <c r="G678">
        <v>3703</v>
      </c>
    </row>
    <row r="679" spans="1:7" x14ac:dyDescent="0.3">
      <c r="A679" t="s">
        <v>31</v>
      </c>
      <c r="B679">
        <v>20</v>
      </c>
      <c r="C679">
        <v>0.95</v>
      </c>
      <c r="D679">
        <v>0.9</v>
      </c>
      <c r="E679" t="s">
        <v>34</v>
      </c>
      <c r="F679">
        <v>0.94430538172715905</v>
      </c>
      <c r="G679">
        <v>3608</v>
      </c>
    </row>
    <row r="680" spans="1:7" x14ac:dyDescent="0.3">
      <c r="A680" t="s">
        <v>31</v>
      </c>
      <c r="B680">
        <v>20</v>
      </c>
      <c r="C680">
        <v>0.95</v>
      </c>
      <c r="D680">
        <v>0.9</v>
      </c>
      <c r="E680" t="s">
        <v>88</v>
      </c>
      <c r="F680">
        <v>0.84667614084951803</v>
      </c>
      <c r="G680">
        <v>3667</v>
      </c>
    </row>
    <row r="681" spans="1:7" x14ac:dyDescent="0.3">
      <c r="A681" t="s">
        <v>31</v>
      </c>
      <c r="B681">
        <v>20</v>
      </c>
      <c r="C681">
        <v>0.95</v>
      </c>
      <c r="D681">
        <v>0.9</v>
      </c>
      <c r="E681" t="s">
        <v>84</v>
      </c>
      <c r="F681">
        <v>0.89499447339333604</v>
      </c>
      <c r="G681">
        <v>3667</v>
      </c>
    </row>
    <row r="682" spans="1:7" x14ac:dyDescent="0.3">
      <c r="A682" t="s">
        <v>31</v>
      </c>
      <c r="B682">
        <v>20</v>
      </c>
      <c r="C682">
        <v>0.95</v>
      </c>
      <c r="D682">
        <v>0.9</v>
      </c>
      <c r="E682" t="s">
        <v>92</v>
      </c>
      <c r="F682">
        <v>0.93988505747126405</v>
      </c>
      <c r="G682">
        <v>1300</v>
      </c>
    </row>
    <row r="683" spans="1:7" x14ac:dyDescent="0.3">
      <c r="A683" t="s">
        <v>31</v>
      </c>
      <c r="B683">
        <v>20</v>
      </c>
      <c r="C683">
        <v>0.95</v>
      </c>
      <c r="D683">
        <v>0.9</v>
      </c>
      <c r="E683" t="s">
        <v>90</v>
      </c>
      <c r="F683">
        <v>0.61521879715455896</v>
      </c>
      <c r="G683">
        <v>722</v>
      </c>
    </row>
    <row r="684" spans="1:7" x14ac:dyDescent="0.3">
      <c r="A684" t="s">
        <v>31</v>
      </c>
      <c r="B684">
        <v>20</v>
      </c>
      <c r="C684">
        <v>0.95</v>
      </c>
      <c r="D684">
        <v>0.9</v>
      </c>
      <c r="E684" t="s">
        <v>86</v>
      </c>
      <c r="F684">
        <v>0.61791334339297299</v>
      </c>
      <c r="G684">
        <v>722</v>
      </c>
    </row>
    <row r="685" spans="1:7" x14ac:dyDescent="0.3">
      <c r="A685" t="s">
        <v>31</v>
      </c>
      <c r="B685">
        <v>20</v>
      </c>
      <c r="C685">
        <v>0.95</v>
      </c>
      <c r="D685">
        <v>0.9</v>
      </c>
      <c r="E685" t="s">
        <v>55</v>
      </c>
      <c r="F685">
        <v>0.92469999999999997</v>
      </c>
      <c r="G685">
        <v>0</v>
      </c>
    </row>
    <row r="686" spans="1:7" x14ac:dyDescent="0.3">
      <c r="A686" t="s">
        <v>56</v>
      </c>
      <c r="B686">
        <v>20</v>
      </c>
      <c r="C686">
        <v>0.95</v>
      </c>
      <c r="D686">
        <v>0.95</v>
      </c>
      <c r="E686" t="s">
        <v>32</v>
      </c>
      <c r="F686">
        <v>0.93525179856115104</v>
      </c>
      <c r="G686">
        <v>7359</v>
      </c>
    </row>
    <row r="687" spans="1:7" x14ac:dyDescent="0.3">
      <c r="A687" t="s">
        <v>56</v>
      </c>
      <c r="B687">
        <v>20</v>
      </c>
      <c r="C687">
        <v>0.95</v>
      </c>
      <c r="D687">
        <v>0.95</v>
      </c>
      <c r="E687" t="s">
        <v>33</v>
      </c>
      <c r="F687">
        <v>0.389221556886228</v>
      </c>
      <c r="G687">
        <v>3654</v>
      </c>
    </row>
    <row r="688" spans="1:7" x14ac:dyDescent="0.3">
      <c r="A688" t="s">
        <v>56</v>
      </c>
      <c r="B688">
        <v>20</v>
      </c>
      <c r="C688">
        <v>0.95</v>
      </c>
      <c r="D688">
        <v>0.95</v>
      </c>
      <c r="E688" t="s">
        <v>34</v>
      </c>
      <c r="F688">
        <v>0.96902303415409097</v>
      </c>
      <c r="G688">
        <v>3705</v>
      </c>
    </row>
    <row r="689" spans="1:7" x14ac:dyDescent="0.3">
      <c r="A689" t="s">
        <v>56</v>
      </c>
      <c r="B689">
        <v>20</v>
      </c>
      <c r="C689">
        <v>0.95</v>
      </c>
      <c r="D689">
        <v>0.95</v>
      </c>
      <c r="E689" t="s">
        <v>88</v>
      </c>
      <c r="F689">
        <v>0.92424242424242398</v>
      </c>
      <c r="G689">
        <v>6172</v>
      </c>
    </row>
    <row r="690" spans="1:7" x14ac:dyDescent="0.3">
      <c r="A690" t="s">
        <v>56</v>
      </c>
      <c r="B690">
        <v>20</v>
      </c>
      <c r="C690">
        <v>0.95</v>
      </c>
      <c r="D690">
        <v>0.95</v>
      </c>
      <c r="E690" t="s">
        <v>84</v>
      </c>
      <c r="F690">
        <v>0.92633228840125403</v>
      </c>
      <c r="G690">
        <v>6172</v>
      </c>
    </row>
    <row r="691" spans="1:7" x14ac:dyDescent="0.3">
      <c r="A691" t="s">
        <v>56</v>
      </c>
      <c r="B691">
        <v>20</v>
      </c>
      <c r="C691">
        <v>0.95</v>
      </c>
      <c r="D691">
        <v>0.95</v>
      </c>
      <c r="E691" t="s">
        <v>92</v>
      </c>
      <c r="F691">
        <v>0.97434402332361503</v>
      </c>
      <c r="G691">
        <v>3140</v>
      </c>
    </row>
    <row r="692" spans="1:7" x14ac:dyDescent="0.3">
      <c r="A692" t="s">
        <v>56</v>
      </c>
      <c r="B692">
        <v>20</v>
      </c>
      <c r="C692">
        <v>0.95</v>
      </c>
      <c r="D692">
        <v>0.95</v>
      </c>
      <c r="E692" t="s">
        <v>90</v>
      </c>
      <c r="F692">
        <v>0.48487315153981803</v>
      </c>
      <c r="G692">
        <v>2629</v>
      </c>
    </row>
    <row r="693" spans="1:7" x14ac:dyDescent="0.3">
      <c r="A693" t="s">
        <v>56</v>
      </c>
      <c r="B693">
        <v>20</v>
      </c>
      <c r="C693">
        <v>0.95</v>
      </c>
      <c r="D693">
        <v>0.95</v>
      </c>
      <c r="E693" t="s">
        <v>86</v>
      </c>
      <c r="F693">
        <v>0.50169583502916804</v>
      </c>
      <c r="G693">
        <v>2629</v>
      </c>
    </row>
    <row r="694" spans="1:7" x14ac:dyDescent="0.3">
      <c r="A694" t="s">
        <v>56</v>
      </c>
      <c r="B694">
        <v>20</v>
      </c>
      <c r="C694">
        <v>0.95</v>
      </c>
      <c r="D694">
        <v>0.95</v>
      </c>
      <c r="E694" t="s">
        <v>55</v>
      </c>
      <c r="F694">
        <v>0.9829</v>
      </c>
      <c r="G694">
        <v>0</v>
      </c>
    </row>
    <row r="695" spans="1:7" x14ac:dyDescent="0.3">
      <c r="A695" t="s">
        <v>56</v>
      </c>
      <c r="B695">
        <v>20</v>
      </c>
      <c r="C695">
        <v>0.95</v>
      </c>
      <c r="D695">
        <v>0.9</v>
      </c>
      <c r="E695" t="s">
        <v>32</v>
      </c>
      <c r="F695">
        <v>0.71639530480878499</v>
      </c>
      <c r="G695">
        <v>7359</v>
      </c>
    </row>
    <row r="696" spans="1:7" x14ac:dyDescent="0.3">
      <c r="A696" t="s">
        <v>56</v>
      </c>
      <c r="B696">
        <v>20</v>
      </c>
      <c r="C696">
        <v>0.95</v>
      </c>
      <c r="D696">
        <v>0.9</v>
      </c>
      <c r="E696" t="s">
        <v>33</v>
      </c>
      <c r="F696">
        <v>0.389221556886228</v>
      </c>
      <c r="G696">
        <v>3654</v>
      </c>
    </row>
    <row r="697" spans="1:7" x14ac:dyDescent="0.3">
      <c r="A697" t="s">
        <v>56</v>
      </c>
      <c r="B697">
        <v>20</v>
      </c>
      <c r="C697">
        <v>0.95</v>
      </c>
      <c r="D697">
        <v>0.9</v>
      </c>
      <c r="E697" t="s">
        <v>34</v>
      </c>
      <c r="F697">
        <v>0.94169976171564695</v>
      </c>
      <c r="G697">
        <v>3705</v>
      </c>
    </row>
    <row r="698" spans="1:7" x14ac:dyDescent="0.3">
      <c r="A698" t="s">
        <v>56</v>
      </c>
      <c r="B698">
        <v>20</v>
      </c>
      <c r="C698">
        <v>0.95</v>
      </c>
      <c r="D698">
        <v>0.9</v>
      </c>
      <c r="E698" t="s">
        <v>88</v>
      </c>
      <c r="F698">
        <v>0.78892371995820298</v>
      </c>
      <c r="G698">
        <v>6172</v>
      </c>
    </row>
    <row r="699" spans="1:7" x14ac:dyDescent="0.3">
      <c r="A699" t="s">
        <v>56</v>
      </c>
      <c r="B699">
        <v>20</v>
      </c>
      <c r="C699">
        <v>0.95</v>
      </c>
      <c r="D699">
        <v>0.9</v>
      </c>
      <c r="E699" t="s">
        <v>84</v>
      </c>
      <c r="F699">
        <v>0.91718913270637403</v>
      </c>
      <c r="G699">
        <v>6172</v>
      </c>
    </row>
    <row r="700" spans="1:7" x14ac:dyDescent="0.3">
      <c r="A700" t="s">
        <v>56</v>
      </c>
      <c r="B700">
        <v>20</v>
      </c>
      <c r="C700">
        <v>0.95</v>
      </c>
      <c r="D700">
        <v>0.9</v>
      </c>
      <c r="E700" t="s">
        <v>92</v>
      </c>
      <c r="F700">
        <v>0.90131195335277003</v>
      </c>
      <c r="G700">
        <v>3140</v>
      </c>
    </row>
    <row r="701" spans="1:7" x14ac:dyDescent="0.3">
      <c r="A701" t="s">
        <v>56</v>
      </c>
      <c r="B701">
        <v>20</v>
      </c>
      <c r="C701">
        <v>0.95</v>
      </c>
      <c r="D701">
        <v>0.9</v>
      </c>
      <c r="E701" t="s">
        <v>90</v>
      </c>
      <c r="F701">
        <v>0.47890381223714601</v>
      </c>
      <c r="G701">
        <v>2629</v>
      </c>
    </row>
    <row r="702" spans="1:7" x14ac:dyDescent="0.3">
      <c r="A702" t="s">
        <v>56</v>
      </c>
      <c r="B702">
        <v>20</v>
      </c>
      <c r="C702">
        <v>0.95</v>
      </c>
      <c r="D702">
        <v>0.9</v>
      </c>
      <c r="E702" t="s">
        <v>86</v>
      </c>
      <c r="F702">
        <v>0.47985347985347998</v>
      </c>
      <c r="G702">
        <v>2629</v>
      </c>
    </row>
    <row r="703" spans="1:7" x14ac:dyDescent="0.3">
      <c r="A703" t="s">
        <v>56</v>
      </c>
      <c r="B703">
        <v>20</v>
      </c>
      <c r="C703">
        <v>0.95</v>
      </c>
      <c r="D703">
        <v>0.9</v>
      </c>
      <c r="E703" t="s">
        <v>55</v>
      </c>
      <c r="F703">
        <v>0.92510000000000003</v>
      </c>
      <c r="G703">
        <v>0</v>
      </c>
    </row>
    <row r="704" spans="1:7" x14ac:dyDescent="0.3">
      <c r="A704" t="s">
        <v>57</v>
      </c>
      <c r="B704">
        <v>20</v>
      </c>
      <c r="C704">
        <v>0.95</v>
      </c>
      <c r="D704">
        <v>0.95</v>
      </c>
      <c r="E704" t="s">
        <v>32</v>
      </c>
      <c r="F704">
        <v>0.94332445796880904</v>
      </c>
      <c r="G704">
        <v>7371</v>
      </c>
    </row>
    <row r="705" spans="1:7" x14ac:dyDescent="0.3">
      <c r="A705" t="s">
        <v>57</v>
      </c>
      <c r="B705">
        <v>20</v>
      </c>
      <c r="C705">
        <v>0.95</v>
      </c>
      <c r="D705">
        <v>0.95</v>
      </c>
      <c r="E705" t="s">
        <v>33</v>
      </c>
      <c r="F705">
        <v>0.39534512992188697</v>
      </c>
      <c r="G705">
        <v>3727</v>
      </c>
    </row>
    <row r="706" spans="1:7" x14ac:dyDescent="0.3">
      <c r="A706" t="s">
        <v>57</v>
      </c>
      <c r="B706">
        <v>20</v>
      </c>
      <c r="C706">
        <v>0.95</v>
      </c>
      <c r="D706">
        <v>0.95</v>
      </c>
      <c r="E706" t="s">
        <v>34</v>
      </c>
      <c r="F706">
        <v>0.97404027690371298</v>
      </c>
      <c r="G706">
        <v>3644</v>
      </c>
    </row>
    <row r="707" spans="1:7" x14ac:dyDescent="0.3">
      <c r="A707" t="s">
        <v>57</v>
      </c>
      <c r="B707">
        <v>20</v>
      </c>
      <c r="C707">
        <v>0.95</v>
      </c>
      <c r="D707">
        <v>0.95</v>
      </c>
      <c r="E707" t="s">
        <v>88</v>
      </c>
      <c r="F707">
        <v>0.93054989816700595</v>
      </c>
      <c r="G707">
        <v>5090</v>
      </c>
    </row>
    <row r="708" spans="1:7" x14ac:dyDescent="0.3">
      <c r="A708" t="s">
        <v>57</v>
      </c>
      <c r="B708">
        <v>20</v>
      </c>
      <c r="C708">
        <v>0.95</v>
      </c>
      <c r="D708">
        <v>0.95</v>
      </c>
      <c r="E708" t="s">
        <v>84</v>
      </c>
      <c r="F708">
        <v>0.93238289205702696</v>
      </c>
      <c r="G708">
        <v>5090</v>
      </c>
    </row>
    <row r="709" spans="1:7" x14ac:dyDescent="0.3">
      <c r="A709" t="s">
        <v>57</v>
      </c>
      <c r="B709">
        <v>20</v>
      </c>
      <c r="C709">
        <v>0.95</v>
      </c>
      <c r="D709">
        <v>0.95</v>
      </c>
      <c r="E709" t="s">
        <v>92</v>
      </c>
      <c r="F709">
        <v>0.97991598844841199</v>
      </c>
      <c r="G709">
        <v>2382</v>
      </c>
    </row>
    <row r="710" spans="1:7" x14ac:dyDescent="0.3">
      <c r="A710" t="s">
        <v>57</v>
      </c>
      <c r="B710">
        <v>20</v>
      </c>
      <c r="C710">
        <v>0.95</v>
      </c>
      <c r="D710">
        <v>0.95</v>
      </c>
      <c r="E710" t="s">
        <v>90</v>
      </c>
      <c r="F710">
        <v>0.560931026078479</v>
      </c>
      <c r="G710">
        <v>1794</v>
      </c>
    </row>
    <row r="711" spans="1:7" x14ac:dyDescent="0.3">
      <c r="A711" t="s">
        <v>57</v>
      </c>
      <c r="B711">
        <v>20</v>
      </c>
      <c r="C711">
        <v>0.95</v>
      </c>
      <c r="D711">
        <v>0.95</v>
      </c>
      <c r="E711" t="s">
        <v>86</v>
      </c>
      <c r="F711">
        <v>0.57165488666829201</v>
      </c>
      <c r="G711">
        <v>1794</v>
      </c>
    </row>
    <row r="712" spans="1:7" x14ac:dyDescent="0.3">
      <c r="A712" t="s">
        <v>57</v>
      </c>
      <c r="B712">
        <v>20</v>
      </c>
      <c r="C712">
        <v>0.95</v>
      </c>
      <c r="D712">
        <v>0.95</v>
      </c>
      <c r="E712" t="s">
        <v>55</v>
      </c>
      <c r="F712">
        <v>0.98509999999999998</v>
      </c>
      <c r="G712">
        <v>0</v>
      </c>
    </row>
    <row r="713" spans="1:7" x14ac:dyDescent="0.3">
      <c r="A713" t="s">
        <v>57</v>
      </c>
      <c r="B713">
        <v>20</v>
      </c>
      <c r="C713">
        <v>0.95</v>
      </c>
      <c r="D713">
        <v>0.9</v>
      </c>
      <c r="E713" t="s">
        <v>32</v>
      </c>
      <c r="F713">
        <v>0.73373906428299696</v>
      </c>
      <c r="G713">
        <v>7371</v>
      </c>
    </row>
    <row r="714" spans="1:7" x14ac:dyDescent="0.3">
      <c r="A714" t="s">
        <v>57</v>
      </c>
      <c r="B714">
        <v>20</v>
      </c>
      <c r="C714">
        <v>0.95</v>
      </c>
      <c r="D714">
        <v>0.9</v>
      </c>
      <c r="E714" t="s">
        <v>33</v>
      </c>
      <c r="F714">
        <v>0.39534512992188697</v>
      </c>
      <c r="G714">
        <v>3727</v>
      </c>
    </row>
    <row r="715" spans="1:7" x14ac:dyDescent="0.3">
      <c r="A715" t="s">
        <v>57</v>
      </c>
      <c r="B715">
        <v>20</v>
      </c>
      <c r="C715">
        <v>0.95</v>
      </c>
      <c r="D715">
        <v>0.9</v>
      </c>
      <c r="E715" t="s">
        <v>34</v>
      </c>
      <c r="F715">
        <v>0.94776589049716797</v>
      </c>
      <c r="G715">
        <v>3644</v>
      </c>
    </row>
    <row r="716" spans="1:7" x14ac:dyDescent="0.3">
      <c r="A716" t="s">
        <v>57</v>
      </c>
      <c r="B716">
        <v>20</v>
      </c>
      <c r="C716">
        <v>0.95</v>
      </c>
      <c r="D716">
        <v>0.9</v>
      </c>
      <c r="E716" t="s">
        <v>88</v>
      </c>
      <c r="F716">
        <v>0.83523421588594704</v>
      </c>
      <c r="G716">
        <v>5090</v>
      </c>
    </row>
    <row r="717" spans="1:7" x14ac:dyDescent="0.3">
      <c r="A717" t="s">
        <v>57</v>
      </c>
      <c r="B717">
        <v>20</v>
      </c>
      <c r="C717">
        <v>0.95</v>
      </c>
      <c r="D717">
        <v>0.9</v>
      </c>
      <c r="E717" t="s">
        <v>84</v>
      </c>
      <c r="F717">
        <v>0.92036659877800397</v>
      </c>
      <c r="G717">
        <v>5090</v>
      </c>
    </row>
    <row r="718" spans="1:7" x14ac:dyDescent="0.3">
      <c r="A718" t="s">
        <v>57</v>
      </c>
      <c r="B718">
        <v>20</v>
      </c>
      <c r="C718">
        <v>0.95</v>
      </c>
      <c r="D718">
        <v>0.9</v>
      </c>
      <c r="E718" t="s">
        <v>92</v>
      </c>
      <c r="F718">
        <v>0.92347072722499302</v>
      </c>
      <c r="G718">
        <v>2382</v>
      </c>
    </row>
    <row r="719" spans="1:7" x14ac:dyDescent="0.3">
      <c r="A719" t="s">
        <v>57</v>
      </c>
      <c r="B719">
        <v>20</v>
      </c>
      <c r="C719">
        <v>0.95</v>
      </c>
      <c r="D719">
        <v>0.9</v>
      </c>
      <c r="E719" t="s">
        <v>90</v>
      </c>
      <c r="F719">
        <v>0.55191323421886396</v>
      </c>
      <c r="G719">
        <v>1794</v>
      </c>
    </row>
    <row r="720" spans="1:7" x14ac:dyDescent="0.3">
      <c r="A720" t="s">
        <v>57</v>
      </c>
      <c r="B720">
        <v>20</v>
      </c>
      <c r="C720">
        <v>0.95</v>
      </c>
      <c r="D720">
        <v>0.9</v>
      </c>
      <c r="E720" t="s">
        <v>86</v>
      </c>
      <c r="F720">
        <v>0.553497440896905</v>
      </c>
      <c r="G720">
        <v>1794</v>
      </c>
    </row>
    <row r="721" spans="1:7" x14ac:dyDescent="0.3">
      <c r="A721" t="s">
        <v>57</v>
      </c>
      <c r="B721">
        <v>20</v>
      </c>
      <c r="C721">
        <v>0.95</v>
      </c>
      <c r="D721">
        <v>0.9</v>
      </c>
      <c r="E721" t="s">
        <v>55</v>
      </c>
      <c r="F721">
        <v>0.93</v>
      </c>
      <c r="G721">
        <v>0</v>
      </c>
    </row>
    <row r="722" spans="1:7" x14ac:dyDescent="0.3">
      <c r="A722" t="s">
        <v>31</v>
      </c>
      <c r="B722">
        <v>50</v>
      </c>
      <c r="C722">
        <v>0.95</v>
      </c>
      <c r="D722">
        <v>0.95</v>
      </c>
      <c r="E722" t="s">
        <v>32</v>
      </c>
      <c r="F722">
        <v>0.98677363399826501</v>
      </c>
      <c r="G722">
        <v>776</v>
      </c>
    </row>
    <row r="723" spans="1:7" x14ac:dyDescent="0.3">
      <c r="A723" t="s">
        <v>31</v>
      </c>
      <c r="B723">
        <v>50</v>
      </c>
      <c r="C723">
        <v>0.95</v>
      </c>
      <c r="D723">
        <v>0.95</v>
      </c>
      <c r="E723" t="s">
        <v>33</v>
      </c>
      <c r="F723">
        <v>0.91020000000000001</v>
      </c>
      <c r="G723">
        <v>0</v>
      </c>
    </row>
    <row r="724" spans="1:7" x14ac:dyDescent="0.3">
      <c r="A724" t="s">
        <v>31</v>
      </c>
      <c r="B724">
        <v>50</v>
      </c>
      <c r="C724">
        <v>0.95</v>
      </c>
      <c r="D724">
        <v>0.95</v>
      </c>
      <c r="E724" t="s">
        <v>34</v>
      </c>
      <c r="F724">
        <v>0.97745013009540305</v>
      </c>
      <c r="G724">
        <v>776</v>
      </c>
    </row>
    <row r="725" spans="1:7" x14ac:dyDescent="0.3">
      <c r="A725" t="s">
        <v>31</v>
      </c>
      <c r="B725">
        <v>50</v>
      </c>
      <c r="C725">
        <v>0.95</v>
      </c>
      <c r="D725">
        <v>0.95</v>
      </c>
      <c r="E725" t="s">
        <v>88</v>
      </c>
      <c r="F725">
        <v>0.96505290157101598</v>
      </c>
      <c r="G725">
        <v>643</v>
      </c>
    </row>
    <row r="726" spans="1:7" x14ac:dyDescent="0.3">
      <c r="A726" t="s">
        <v>31</v>
      </c>
      <c r="B726">
        <v>50</v>
      </c>
      <c r="C726">
        <v>0.95</v>
      </c>
      <c r="D726">
        <v>0.95</v>
      </c>
      <c r="E726" t="s">
        <v>84</v>
      </c>
      <c r="F726">
        <v>0.96697659506251998</v>
      </c>
      <c r="G726">
        <v>643</v>
      </c>
    </row>
    <row r="727" spans="1:7" x14ac:dyDescent="0.3">
      <c r="A727" t="s">
        <v>31</v>
      </c>
      <c r="B727">
        <v>50</v>
      </c>
      <c r="C727">
        <v>0.95</v>
      </c>
      <c r="D727">
        <v>0.95</v>
      </c>
      <c r="E727" t="s">
        <v>92</v>
      </c>
      <c r="F727">
        <v>0.942133443163097</v>
      </c>
      <c r="G727">
        <v>288</v>
      </c>
    </row>
    <row r="728" spans="1:7" x14ac:dyDescent="0.3">
      <c r="A728" t="s">
        <v>31</v>
      </c>
      <c r="B728">
        <v>50</v>
      </c>
      <c r="C728">
        <v>0.95</v>
      </c>
      <c r="D728">
        <v>0.95</v>
      </c>
      <c r="E728" t="s">
        <v>90</v>
      </c>
      <c r="F728">
        <v>0.90659999999999996</v>
      </c>
      <c r="G728">
        <v>0</v>
      </c>
    </row>
    <row r="729" spans="1:7" x14ac:dyDescent="0.3">
      <c r="A729" t="s">
        <v>31</v>
      </c>
      <c r="B729">
        <v>50</v>
      </c>
      <c r="C729">
        <v>0.95</v>
      </c>
      <c r="D729">
        <v>0.95</v>
      </c>
      <c r="E729" t="s">
        <v>86</v>
      </c>
      <c r="F729">
        <v>0.9073</v>
      </c>
      <c r="G729">
        <v>0</v>
      </c>
    </row>
    <row r="730" spans="1:7" x14ac:dyDescent="0.3">
      <c r="A730" t="s">
        <v>31</v>
      </c>
      <c r="B730">
        <v>50</v>
      </c>
      <c r="C730">
        <v>0.95</v>
      </c>
      <c r="D730">
        <v>0.95</v>
      </c>
      <c r="E730" t="s">
        <v>55</v>
      </c>
      <c r="F730">
        <v>0.96020000000000005</v>
      </c>
      <c r="G730">
        <v>0</v>
      </c>
    </row>
    <row r="731" spans="1:7" x14ac:dyDescent="0.3">
      <c r="A731" t="s">
        <v>31</v>
      </c>
      <c r="B731">
        <v>50</v>
      </c>
      <c r="C731">
        <v>0.95</v>
      </c>
      <c r="D731">
        <v>0.9</v>
      </c>
      <c r="E731" t="s">
        <v>32</v>
      </c>
      <c r="F731">
        <v>0.95685169124024305</v>
      </c>
      <c r="G731">
        <v>776</v>
      </c>
    </row>
    <row r="732" spans="1:7" x14ac:dyDescent="0.3">
      <c r="A732" t="s">
        <v>31</v>
      </c>
      <c r="B732">
        <v>50</v>
      </c>
      <c r="C732">
        <v>0.95</v>
      </c>
      <c r="D732">
        <v>0.9</v>
      </c>
      <c r="E732" t="s">
        <v>33</v>
      </c>
      <c r="F732">
        <v>0.88260000000000005</v>
      </c>
      <c r="G732">
        <v>0</v>
      </c>
    </row>
    <row r="733" spans="1:7" x14ac:dyDescent="0.3">
      <c r="A733" t="s">
        <v>31</v>
      </c>
      <c r="B733">
        <v>50</v>
      </c>
      <c r="C733">
        <v>0.95</v>
      </c>
      <c r="D733">
        <v>0.9</v>
      </c>
      <c r="E733" t="s">
        <v>34</v>
      </c>
      <c r="F733">
        <v>0.95370771899392903</v>
      </c>
      <c r="G733">
        <v>776</v>
      </c>
    </row>
    <row r="734" spans="1:7" x14ac:dyDescent="0.3">
      <c r="A734" t="s">
        <v>31</v>
      </c>
      <c r="B734">
        <v>50</v>
      </c>
      <c r="C734">
        <v>0.95</v>
      </c>
      <c r="D734">
        <v>0.9</v>
      </c>
      <c r="E734" t="s">
        <v>88</v>
      </c>
      <c r="F734">
        <v>0.93544939617398704</v>
      </c>
      <c r="G734">
        <v>643</v>
      </c>
    </row>
    <row r="735" spans="1:7" x14ac:dyDescent="0.3">
      <c r="A735" t="s">
        <v>31</v>
      </c>
      <c r="B735">
        <v>50</v>
      </c>
      <c r="C735">
        <v>0.95</v>
      </c>
      <c r="D735">
        <v>0.9</v>
      </c>
      <c r="E735" t="s">
        <v>84</v>
      </c>
      <c r="F735">
        <v>0.93705247408357395</v>
      </c>
      <c r="G735">
        <v>643</v>
      </c>
    </row>
    <row r="736" spans="1:7" x14ac:dyDescent="0.3">
      <c r="A736" t="s">
        <v>31</v>
      </c>
      <c r="B736">
        <v>50</v>
      </c>
      <c r="C736">
        <v>0.95</v>
      </c>
      <c r="D736">
        <v>0.9</v>
      </c>
      <c r="E736" t="s">
        <v>92</v>
      </c>
      <c r="F736">
        <v>0.91011120263591405</v>
      </c>
      <c r="G736">
        <v>288</v>
      </c>
    </row>
    <row r="737" spans="1:7" x14ac:dyDescent="0.3">
      <c r="A737" t="s">
        <v>31</v>
      </c>
      <c r="B737">
        <v>50</v>
      </c>
      <c r="C737">
        <v>0.95</v>
      </c>
      <c r="D737">
        <v>0.9</v>
      </c>
      <c r="E737" t="s">
        <v>90</v>
      </c>
      <c r="F737">
        <v>0.87829999999999997</v>
      </c>
      <c r="G737">
        <v>0</v>
      </c>
    </row>
    <row r="738" spans="1:7" x14ac:dyDescent="0.3">
      <c r="A738" t="s">
        <v>31</v>
      </c>
      <c r="B738">
        <v>50</v>
      </c>
      <c r="C738">
        <v>0.95</v>
      </c>
      <c r="D738">
        <v>0.9</v>
      </c>
      <c r="E738" t="s">
        <v>86</v>
      </c>
      <c r="F738">
        <v>0.87970000000000004</v>
      </c>
      <c r="G738">
        <v>0</v>
      </c>
    </row>
    <row r="739" spans="1:7" x14ac:dyDescent="0.3">
      <c r="A739" t="s">
        <v>31</v>
      </c>
      <c r="B739">
        <v>50</v>
      </c>
      <c r="C739">
        <v>0.95</v>
      </c>
      <c r="D739">
        <v>0.9</v>
      </c>
      <c r="E739" t="s">
        <v>55</v>
      </c>
      <c r="F739">
        <v>0.96020000000000005</v>
      </c>
      <c r="G739">
        <v>0</v>
      </c>
    </row>
    <row r="740" spans="1:7" x14ac:dyDescent="0.3">
      <c r="A740" t="s">
        <v>56</v>
      </c>
      <c r="B740">
        <v>50</v>
      </c>
      <c r="C740">
        <v>0.95</v>
      </c>
      <c r="D740">
        <v>0.95</v>
      </c>
      <c r="E740" t="s">
        <v>32</v>
      </c>
      <c r="F740">
        <v>0.98917631778331006</v>
      </c>
      <c r="G740">
        <v>761</v>
      </c>
    </row>
    <row r="741" spans="1:7" x14ac:dyDescent="0.3">
      <c r="A741" t="s">
        <v>56</v>
      </c>
      <c r="B741">
        <v>50</v>
      </c>
      <c r="C741">
        <v>0.95</v>
      </c>
      <c r="D741">
        <v>0.95</v>
      </c>
      <c r="E741" t="s">
        <v>33</v>
      </c>
      <c r="F741">
        <v>0.91390000000000005</v>
      </c>
      <c r="G741">
        <v>0</v>
      </c>
    </row>
    <row r="742" spans="1:7" x14ac:dyDescent="0.3">
      <c r="A742" t="s">
        <v>56</v>
      </c>
      <c r="B742">
        <v>50</v>
      </c>
      <c r="C742">
        <v>0.95</v>
      </c>
      <c r="D742">
        <v>0.95</v>
      </c>
      <c r="E742" t="s">
        <v>34</v>
      </c>
      <c r="F742">
        <v>0.98019266154345697</v>
      </c>
      <c r="G742">
        <v>761</v>
      </c>
    </row>
    <row r="743" spans="1:7" x14ac:dyDescent="0.3">
      <c r="A743" t="s">
        <v>56</v>
      </c>
      <c r="B743">
        <v>50</v>
      </c>
      <c r="C743">
        <v>0.95</v>
      </c>
      <c r="D743">
        <v>0.95</v>
      </c>
      <c r="E743" t="s">
        <v>88</v>
      </c>
      <c r="F743">
        <v>0.98361539290719002</v>
      </c>
      <c r="G743">
        <v>723</v>
      </c>
    </row>
    <row r="744" spans="1:7" x14ac:dyDescent="0.3">
      <c r="A744" t="s">
        <v>56</v>
      </c>
      <c r="B744">
        <v>50</v>
      </c>
      <c r="C744">
        <v>0.95</v>
      </c>
      <c r="D744">
        <v>0.95</v>
      </c>
      <c r="E744" t="s">
        <v>84</v>
      </c>
      <c r="F744">
        <v>0.98383097984262202</v>
      </c>
      <c r="G744">
        <v>723</v>
      </c>
    </row>
    <row r="745" spans="1:7" x14ac:dyDescent="0.3">
      <c r="A745" t="s">
        <v>56</v>
      </c>
      <c r="B745">
        <v>50</v>
      </c>
      <c r="C745">
        <v>0.95</v>
      </c>
      <c r="D745">
        <v>0.95</v>
      </c>
      <c r="E745" t="s">
        <v>92</v>
      </c>
      <c r="F745">
        <v>0.975695554844899</v>
      </c>
      <c r="G745">
        <v>619</v>
      </c>
    </row>
    <row r="746" spans="1:7" x14ac:dyDescent="0.3">
      <c r="A746" t="s">
        <v>56</v>
      </c>
      <c r="B746">
        <v>50</v>
      </c>
      <c r="C746">
        <v>0.95</v>
      </c>
      <c r="D746">
        <v>0.95</v>
      </c>
      <c r="E746" t="s">
        <v>90</v>
      </c>
      <c r="F746">
        <v>0.91279999999999994</v>
      </c>
      <c r="G746">
        <v>0</v>
      </c>
    </row>
    <row r="747" spans="1:7" x14ac:dyDescent="0.3">
      <c r="A747" t="s">
        <v>56</v>
      </c>
      <c r="B747">
        <v>50</v>
      </c>
      <c r="C747">
        <v>0.95</v>
      </c>
      <c r="D747">
        <v>0.95</v>
      </c>
      <c r="E747" t="s">
        <v>86</v>
      </c>
      <c r="F747">
        <v>0.91310000000000002</v>
      </c>
      <c r="G747">
        <v>0</v>
      </c>
    </row>
    <row r="748" spans="1:7" x14ac:dyDescent="0.3">
      <c r="A748" t="s">
        <v>56</v>
      </c>
      <c r="B748">
        <v>50</v>
      </c>
      <c r="C748">
        <v>0.95</v>
      </c>
      <c r="D748">
        <v>0.95</v>
      </c>
      <c r="E748" t="s">
        <v>55</v>
      </c>
      <c r="F748">
        <v>0.96399999999999997</v>
      </c>
      <c r="G748">
        <v>0</v>
      </c>
    </row>
    <row r="749" spans="1:7" x14ac:dyDescent="0.3">
      <c r="A749" t="s">
        <v>56</v>
      </c>
      <c r="B749">
        <v>50</v>
      </c>
      <c r="C749">
        <v>0.95</v>
      </c>
      <c r="D749">
        <v>0.9</v>
      </c>
      <c r="E749" t="s">
        <v>32</v>
      </c>
      <c r="F749">
        <v>0.96103474401991595</v>
      </c>
      <c r="G749">
        <v>761</v>
      </c>
    </row>
    <row r="750" spans="1:7" x14ac:dyDescent="0.3">
      <c r="A750" t="s">
        <v>56</v>
      </c>
      <c r="B750">
        <v>50</v>
      </c>
      <c r="C750">
        <v>0.95</v>
      </c>
      <c r="D750">
        <v>0.9</v>
      </c>
      <c r="E750" t="s">
        <v>33</v>
      </c>
      <c r="F750">
        <v>0.88790000000000002</v>
      </c>
      <c r="G750">
        <v>0</v>
      </c>
    </row>
    <row r="751" spans="1:7" x14ac:dyDescent="0.3">
      <c r="A751" t="s">
        <v>56</v>
      </c>
      <c r="B751">
        <v>50</v>
      </c>
      <c r="C751">
        <v>0.95</v>
      </c>
      <c r="D751">
        <v>0.9</v>
      </c>
      <c r="E751" t="s">
        <v>34</v>
      </c>
      <c r="F751">
        <v>0.95789587617707495</v>
      </c>
      <c r="G751">
        <v>761</v>
      </c>
    </row>
    <row r="752" spans="1:7" x14ac:dyDescent="0.3">
      <c r="A752" t="s">
        <v>56</v>
      </c>
      <c r="B752">
        <v>50</v>
      </c>
      <c r="C752">
        <v>0.95</v>
      </c>
      <c r="D752">
        <v>0.9</v>
      </c>
      <c r="E752" t="s">
        <v>88</v>
      </c>
      <c r="F752">
        <v>0.95515791743020395</v>
      </c>
      <c r="G752">
        <v>723</v>
      </c>
    </row>
    <row r="753" spans="1:7" x14ac:dyDescent="0.3">
      <c r="A753" t="s">
        <v>56</v>
      </c>
      <c r="B753">
        <v>50</v>
      </c>
      <c r="C753">
        <v>0.95</v>
      </c>
      <c r="D753">
        <v>0.9</v>
      </c>
      <c r="E753" t="s">
        <v>84</v>
      </c>
      <c r="F753">
        <v>0.95591247170421501</v>
      </c>
      <c r="G753">
        <v>723</v>
      </c>
    </row>
    <row r="754" spans="1:7" x14ac:dyDescent="0.3">
      <c r="A754" t="s">
        <v>56</v>
      </c>
      <c r="B754">
        <v>50</v>
      </c>
      <c r="C754">
        <v>0.95</v>
      </c>
      <c r="D754">
        <v>0.9</v>
      </c>
      <c r="E754" t="s">
        <v>92</v>
      </c>
      <c r="F754">
        <v>0.94638098283765104</v>
      </c>
      <c r="G754">
        <v>619</v>
      </c>
    </row>
    <row r="755" spans="1:7" x14ac:dyDescent="0.3">
      <c r="A755" t="s">
        <v>56</v>
      </c>
      <c r="B755">
        <v>50</v>
      </c>
      <c r="C755">
        <v>0.95</v>
      </c>
      <c r="D755">
        <v>0.9</v>
      </c>
      <c r="E755" t="s">
        <v>90</v>
      </c>
      <c r="F755">
        <v>0.88719999999999999</v>
      </c>
      <c r="G755">
        <v>0</v>
      </c>
    </row>
    <row r="756" spans="1:7" x14ac:dyDescent="0.3">
      <c r="A756" t="s">
        <v>56</v>
      </c>
      <c r="B756">
        <v>50</v>
      </c>
      <c r="C756">
        <v>0.95</v>
      </c>
      <c r="D756">
        <v>0.9</v>
      </c>
      <c r="E756" t="s">
        <v>86</v>
      </c>
      <c r="F756">
        <v>0.88790000000000002</v>
      </c>
      <c r="G756">
        <v>0</v>
      </c>
    </row>
    <row r="757" spans="1:7" x14ac:dyDescent="0.3">
      <c r="A757" t="s">
        <v>56</v>
      </c>
      <c r="B757">
        <v>50</v>
      </c>
      <c r="C757">
        <v>0.95</v>
      </c>
      <c r="D757">
        <v>0.9</v>
      </c>
      <c r="E757" t="s">
        <v>55</v>
      </c>
      <c r="F757">
        <v>0.96399999999999997</v>
      </c>
      <c r="G757">
        <v>0</v>
      </c>
    </row>
    <row r="758" spans="1:7" x14ac:dyDescent="0.3">
      <c r="A758" t="s">
        <v>57</v>
      </c>
      <c r="B758">
        <v>50</v>
      </c>
      <c r="C758">
        <v>0.95</v>
      </c>
      <c r="D758">
        <v>0.95</v>
      </c>
      <c r="E758" t="s">
        <v>32</v>
      </c>
      <c r="F758">
        <v>0.988536822753325</v>
      </c>
      <c r="G758">
        <v>753</v>
      </c>
    </row>
    <row r="759" spans="1:7" x14ac:dyDescent="0.3">
      <c r="A759" t="s">
        <v>57</v>
      </c>
      <c r="B759">
        <v>50</v>
      </c>
      <c r="C759">
        <v>0.95</v>
      </c>
      <c r="D759">
        <v>0.95</v>
      </c>
      <c r="E759" t="s">
        <v>33</v>
      </c>
      <c r="F759">
        <v>0.91410000000000002</v>
      </c>
      <c r="G759">
        <v>0</v>
      </c>
    </row>
    <row r="760" spans="1:7" x14ac:dyDescent="0.3">
      <c r="A760" t="s">
        <v>57</v>
      </c>
      <c r="B760">
        <v>50</v>
      </c>
      <c r="C760">
        <v>0.95</v>
      </c>
      <c r="D760">
        <v>0.95</v>
      </c>
      <c r="E760" t="s">
        <v>34</v>
      </c>
      <c r="F760">
        <v>0.97923650913809901</v>
      </c>
      <c r="G760">
        <v>753</v>
      </c>
    </row>
    <row r="761" spans="1:7" x14ac:dyDescent="0.3">
      <c r="A761" t="s">
        <v>57</v>
      </c>
      <c r="B761">
        <v>50</v>
      </c>
      <c r="C761">
        <v>0.95</v>
      </c>
      <c r="D761">
        <v>0.95</v>
      </c>
      <c r="E761" t="s">
        <v>88</v>
      </c>
      <c r="F761">
        <v>0.97767761322172098</v>
      </c>
      <c r="G761">
        <v>682</v>
      </c>
    </row>
    <row r="762" spans="1:7" x14ac:dyDescent="0.3">
      <c r="A762" t="s">
        <v>57</v>
      </c>
      <c r="B762">
        <v>50</v>
      </c>
      <c r="C762">
        <v>0.95</v>
      </c>
      <c r="D762">
        <v>0.95</v>
      </c>
      <c r="E762" t="s">
        <v>84</v>
      </c>
      <c r="F762">
        <v>0.97864348572655102</v>
      </c>
      <c r="G762">
        <v>682</v>
      </c>
    </row>
    <row r="763" spans="1:7" x14ac:dyDescent="0.3">
      <c r="A763" t="s">
        <v>57</v>
      </c>
      <c r="B763">
        <v>50</v>
      </c>
      <c r="C763">
        <v>0.95</v>
      </c>
      <c r="D763">
        <v>0.95</v>
      </c>
      <c r="E763" t="s">
        <v>92</v>
      </c>
      <c r="F763">
        <v>0.960578737680856</v>
      </c>
      <c r="G763">
        <v>462</v>
      </c>
    </row>
    <row r="764" spans="1:7" x14ac:dyDescent="0.3">
      <c r="A764" t="s">
        <v>57</v>
      </c>
      <c r="B764">
        <v>50</v>
      </c>
      <c r="C764">
        <v>0.95</v>
      </c>
      <c r="D764">
        <v>0.95</v>
      </c>
      <c r="E764" t="s">
        <v>90</v>
      </c>
      <c r="F764">
        <v>0.91239999999999999</v>
      </c>
      <c r="G764">
        <v>0</v>
      </c>
    </row>
    <row r="765" spans="1:7" x14ac:dyDescent="0.3">
      <c r="A765" t="s">
        <v>57</v>
      </c>
      <c r="B765">
        <v>50</v>
      </c>
      <c r="C765">
        <v>0.95</v>
      </c>
      <c r="D765">
        <v>0.95</v>
      </c>
      <c r="E765" t="s">
        <v>86</v>
      </c>
      <c r="F765">
        <v>0.91290000000000004</v>
      </c>
      <c r="G765">
        <v>0</v>
      </c>
    </row>
    <row r="766" spans="1:7" x14ac:dyDescent="0.3">
      <c r="A766" t="s">
        <v>57</v>
      </c>
      <c r="B766">
        <v>50</v>
      </c>
      <c r="C766">
        <v>0.95</v>
      </c>
      <c r="D766">
        <v>0.95</v>
      </c>
      <c r="E766" t="s">
        <v>55</v>
      </c>
      <c r="F766">
        <v>0.96250000000000002</v>
      </c>
      <c r="G766">
        <v>0</v>
      </c>
    </row>
    <row r="767" spans="1:7" x14ac:dyDescent="0.3">
      <c r="A767" t="s">
        <v>57</v>
      </c>
      <c r="B767">
        <v>50</v>
      </c>
      <c r="C767">
        <v>0.95</v>
      </c>
      <c r="D767">
        <v>0.9</v>
      </c>
      <c r="E767" t="s">
        <v>32</v>
      </c>
      <c r="F767">
        <v>0.95944630691034904</v>
      </c>
      <c r="G767">
        <v>753</v>
      </c>
    </row>
    <row r="768" spans="1:7" x14ac:dyDescent="0.3">
      <c r="A768" t="s">
        <v>57</v>
      </c>
      <c r="B768">
        <v>50</v>
      </c>
      <c r="C768">
        <v>0.95</v>
      </c>
      <c r="D768">
        <v>0.9</v>
      </c>
      <c r="E768" t="s">
        <v>33</v>
      </c>
      <c r="F768">
        <v>0.88719999999999999</v>
      </c>
      <c r="G768">
        <v>0</v>
      </c>
    </row>
    <row r="769" spans="1:7" x14ac:dyDescent="0.3">
      <c r="A769" t="s">
        <v>57</v>
      </c>
      <c r="B769">
        <v>50</v>
      </c>
      <c r="C769">
        <v>0.95</v>
      </c>
      <c r="D769">
        <v>0.9</v>
      </c>
      <c r="E769" t="s">
        <v>34</v>
      </c>
      <c r="F769">
        <v>0.95609386828160503</v>
      </c>
      <c r="G769">
        <v>753</v>
      </c>
    </row>
    <row r="770" spans="1:7" x14ac:dyDescent="0.3">
      <c r="A770" t="s">
        <v>57</v>
      </c>
      <c r="B770">
        <v>50</v>
      </c>
      <c r="C770">
        <v>0.95</v>
      </c>
      <c r="D770">
        <v>0.9</v>
      </c>
      <c r="E770" t="s">
        <v>88</v>
      </c>
      <c r="F770">
        <v>0.94762824640480803</v>
      </c>
      <c r="G770">
        <v>682</v>
      </c>
    </row>
    <row r="771" spans="1:7" x14ac:dyDescent="0.3">
      <c r="A771" t="s">
        <v>57</v>
      </c>
      <c r="B771">
        <v>50</v>
      </c>
      <c r="C771">
        <v>0.95</v>
      </c>
      <c r="D771">
        <v>0.9</v>
      </c>
      <c r="E771" t="s">
        <v>84</v>
      </c>
      <c r="F771">
        <v>0.94859411890963696</v>
      </c>
      <c r="G771">
        <v>682</v>
      </c>
    </row>
    <row r="772" spans="1:7" x14ac:dyDescent="0.3">
      <c r="A772" t="s">
        <v>57</v>
      </c>
      <c r="B772">
        <v>50</v>
      </c>
      <c r="C772">
        <v>0.95</v>
      </c>
      <c r="D772">
        <v>0.9</v>
      </c>
      <c r="E772" t="s">
        <v>92</v>
      </c>
      <c r="F772">
        <v>0.92996435311386005</v>
      </c>
      <c r="G772">
        <v>462</v>
      </c>
    </row>
    <row r="773" spans="1:7" x14ac:dyDescent="0.3">
      <c r="A773" t="s">
        <v>57</v>
      </c>
      <c r="B773">
        <v>50</v>
      </c>
      <c r="C773">
        <v>0.95</v>
      </c>
      <c r="D773">
        <v>0.9</v>
      </c>
      <c r="E773" t="s">
        <v>90</v>
      </c>
      <c r="F773">
        <v>0.88480000000000003</v>
      </c>
      <c r="G773">
        <v>0</v>
      </c>
    </row>
    <row r="774" spans="1:7" x14ac:dyDescent="0.3">
      <c r="A774" t="s">
        <v>57</v>
      </c>
      <c r="B774">
        <v>50</v>
      </c>
      <c r="C774">
        <v>0.95</v>
      </c>
      <c r="D774">
        <v>0.9</v>
      </c>
      <c r="E774" t="s">
        <v>86</v>
      </c>
      <c r="F774">
        <v>0.88570000000000004</v>
      </c>
      <c r="G774">
        <v>0</v>
      </c>
    </row>
    <row r="775" spans="1:7" x14ac:dyDescent="0.3">
      <c r="A775" t="s">
        <v>57</v>
      </c>
      <c r="B775">
        <v>50</v>
      </c>
      <c r="C775">
        <v>0.95</v>
      </c>
      <c r="D775">
        <v>0.9</v>
      </c>
      <c r="E775" t="s">
        <v>55</v>
      </c>
      <c r="F775">
        <v>0.96250000000000002</v>
      </c>
      <c r="G775">
        <v>0</v>
      </c>
    </row>
    <row r="776" spans="1:7" x14ac:dyDescent="0.3">
      <c r="A776" t="s">
        <v>31</v>
      </c>
      <c r="B776">
        <v>100</v>
      </c>
      <c r="C776">
        <v>0.95</v>
      </c>
      <c r="D776">
        <v>0.95</v>
      </c>
      <c r="E776" t="s">
        <v>32</v>
      </c>
      <c r="F776">
        <v>0.93120059288537504</v>
      </c>
      <c r="G776">
        <v>1904</v>
      </c>
    </row>
    <row r="777" spans="1:7" x14ac:dyDescent="0.3">
      <c r="A777" t="s">
        <v>31</v>
      </c>
      <c r="B777">
        <v>100</v>
      </c>
      <c r="C777">
        <v>0.95</v>
      </c>
      <c r="D777">
        <v>0.95</v>
      </c>
      <c r="E777" t="s">
        <v>33</v>
      </c>
      <c r="F777">
        <v>0.92446351931330495</v>
      </c>
      <c r="G777">
        <v>1845</v>
      </c>
    </row>
    <row r="778" spans="1:7" x14ac:dyDescent="0.3">
      <c r="A778" t="s">
        <v>31</v>
      </c>
      <c r="B778">
        <v>100</v>
      </c>
      <c r="C778">
        <v>0.95</v>
      </c>
      <c r="D778">
        <v>0.95</v>
      </c>
      <c r="E778" t="s">
        <v>34</v>
      </c>
      <c r="F778">
        <v>0.96459108741575295</v>
      </c>
      <c r="G778">
        <v>59</v>
      </c>
    </row>
    <row r="779" spans="1:7" x14ac:dyDescent="0.3">
      <c r="A779" t="s">
        <v>31</v>
      </c>
      <c r="B779">
        <v>100</v>
      </c>
      <c r="C779">
        <v>0.95</v>
      </c>
      <c r="D779">
        <v>0.95</v>
      </c>
      <c r="E779" t="s">
        <v>88</v>
      </c>
      <c r="F779">
        <v>0.94260392487866596</v>
      </c>
      <c r="G779">
        <v>522</v>
      </c>
    </row>
    <row r="780" spans="1:7" x14ac:dyDescent="0.3">
      <c r="A780" t="s">
        <v>31</v>
      </c>
      <c r="B780">
        <v>100</v>
      </c>
      <c r="C780">
        <v>0.95</v>
      </c>
      <c r="D780">
        <v>0.95</v>
      </c>
      <c r="E780" t="s">
        <v>84</v>
      </c>
      <c r="F780">
        <v>0.94429204473517603</v>
      </c>
      <c r="G780">
        <v>522</v>
      </c>
    </row>
    <row r="781" spans="1:7" x14ac:dyDescent="0.3">
      <c r="A781" t="s">
        <v>31</v>
      </c>
      <c r="B781">
        <v>100</v>
      </c>
      <c r="C781">
        <v>0.95</v>
      </c>
      <c r="D781">
        <v>0.95</v>
      </c>
      <c r="E781" t="s">
        <v>92</v>
      </c>
      <c r="F781">
        <v>0.94448391352887495</v>
      </c>
      <c r="G781">
        <v>147</v>
      </c>
    </row>
    <row r="782" spans="1:7" x14ac:dyDescent="0.3">
      <c r="A782" t="s">
        <v>31</v>
      </c>
      <c r="B782">
        <v>100</v>
      </c>
      <c r="C782">
        <v>0.95</v>
      </c>
      <c r="D782">
        <v>0.95</v>
      </c>
      <c r="E782" t="s">
        <v>90</v>
      </c>
      <c r="F782">
        <v>0.94165179976912605</v>
      </c>
      <c r="G782">
        <v>471</v>
      </c>
    </row>
    <row r="783" spans="1:7" x14ac:dyDescent="0.3">
      <c r="A783" t="s">
        <v>31</v>
      </c>
      <c r="B783">
        <v>100</v>
      </c>
      <c r="C783">
        <v>0.95</v>
      </c>
      <c r="D783">
        <v>0.95</v>
      </c>
      <c r="E783" t="s">
        <v>86</v>
      </c>
      <c r="F783">
        <v>0.95351033686640796</v>
      </c>
      <c r="G783">
        <v>471</v>
      </c>
    </row>
    <row r="784" spans="1:7" x14ac:dyDescent="0.3">
      <c r="A784" t="s">
        <v>31</v>
      </c>
      <c r="B784">
        <v>100</v>
      </c>
      <c r="C784">
        <v>0.95</v>
      </c>
      <c r="D784">
        <v>0.95</v>
      </c>
      <c r="E784" t="s">
        <v>55</v>
      </c>
      <c r="F784">
        <v>0.96499999999999997</v>
      </c>
      <c r="G784">
        <v>0</v>
      </c>
    </row>
    <row r="785" spans="1:7" x14ac:dyDescent="0.3">
      <c r="A785" t="s">
        <v>31</v>
      </c>
      <c r="B785">
        <v>100</v>
      </c>
      <c r="C785">
        <v>0.95</v>
      </c>
      <c r="D785">
        <v>0.9</v>
      </c>
      <c r="E785" t="s">
        <v>32</v>
      </c>
      <c r="F785">
        <v>0.88821640316205497</v>
      </c>
      <c r="G785">
        <v>1904</v>
      </c>
    </row>
    <row r="786" spans="1:7" x14ac:dyDescent="0.3">
      <c r="A786" t="s">
        <v>31</v>
      </c>
      <c r="B786">
        <v>100</v>
      </c>
      <c r="C786">
        <v>0.95</v>
      </c>
      <c r="D786">
        <v>0.9</v>
      </c>
      <c r="E786" t="s">
        <v>33</v>
      </c>
      <c r="F786">
        <v>0.92446351931330495</v>
      </c>
      <c r="G786">
        <v>1845</v>
      </c>
    </row>
    <row r="787" spans="1:7" x14ac:dyDescent="0.3">
      <c r="A787" t="s">
        <v>31</v>
      </c>
      <c r="B787">
        <v>100</v>
      </c>
      <c r="C787">
        <v>0.95</v>
      </c>
      <c r="D787">
        <v>0.9</v>
      </c>
      <c r="E787" t="s">
        <v>34</v>
      </c>
      <c r="F787">
        <v>0.91872045065888697</v>
      </c>
      <c r="G787">
        <v>59</v>
      </c>
    </row>
    <row r="788" spans="1:7" x14ac:dyDescent="0.3">
      <c r="A788" t="s">
        <v>31</v>
      </c>
      <c r="B788">
        <v>100</v>
      </c>
      <c r="C788">
        <v>0.95</v>
      </c>
      <c r="D788">
        <v>0.9</v>
      </c>
      <c r="E788" t="s">
        <v>88</v>
      </c>
      <c r="F788">
        <v>0.90789196032918296</v>
      </c>
      <c r="G788">
        <v>522</v>
      </c>
    </row>
    <row r="789" spans="1:7" x14ac:dyDescent="0.3">
      <c r="A789" t="s">
        <v>31</v>
      </c>
      <c r="B789">
        <v>100</v>
      </c>
      <c r="C789">
        <v>0.95</v>
      </c>
      <c r="D789">
        <v>0.9</v>
      </c>
      <c r="E789" t="s">
        <v>84</v>
      </c>
      <c r="F789">
        <v>0.92994302595484302</v>
      </c>
      <c r="G789">
        <v>522</v>
      </c>
    </row>
    <row r="790" spans="1:7" x14ac:dyDescent="0.3">
      <c r="A790" t="s">
        <v>31</v>
      </c>
      <c r="B790">
        <v>100</v>
      </c>
      <c r="C790">
        <v>0.95</v>
      </c>
      <c r="D790">
        <v>0.9</v>
      </c>
      <c r="E790" t="s">
        <v>92</v>
      </c>
      <c r="F790">
        <v>0.91109306810108603</v>
      </c>
      <c r="G790">
        <v>147</v>
      </c>
    </row>
    <row r="791" spans="1:7" x14ac:dyDescent="0.3">
      <c r="A791" t="s">
        <v>31</v>
      </c>
      <c r="B791">
        <v>100</v>
      </c>
      <c r="C791">
        <v>0.95</v>
      </c>
      <c r="D791">
        <v>0.9</v>
      </c>
      <c r="E791" t="s">
        <v>90</v>
      </c>
      <c r="F791">
        <v>0.92790429216077197</v>
      </c>
      <c r="G791">
        <v>471</v>
      </c>
    </row>
    <row r="792" spans="1:7" x14ac:dyDescent="0.3">
      <c r="A792" t="s">
        <v>31</v>
      </c>
      <c r="B792">
        <v>100</v>
      </c>
      <c r="C792">
        <v>0.95</v>
      </c>
      <c r="D792">
        <v>0.9</v>
      </c>
      <c r="E792" t="s">
        <v>86</v>
      </c>
      <c r="F792">
        <v>0.928848777416308</v>
      </c>
      <c r="G792">
        <v>471</v>
      </c>
    </row>
    <row r="793" spans="1:7" x14ac:dyDescent="0.3">
      <c r="A793" t="s">
        <v>31</v>
      </c>
      <c r="B793">
        <v>100</v>
      </c>
      <c r="C793">
        <v>0.95</v>
      </c>
      <c r="D793">
        <v>0.9</v>
      </c>
      <c r="E793" t="s">
        <v>55</v>
      </c>
      <c r="F793">
        <v>0.93840000000000001</v>
      </c>
      <c r="G793">
        <v>0</v>
      </c>
    </row>
    <row r="794" spans="1:7" x14ac:dyDescent="0.3">
      <c r="A794" t="s">
        <v>56</v>
      </c>
      <c r="B794">
        <v>100</v>
      </c>
      <c r="C794">
        <v>0.95</v>
      </c>
      <c r="D794">
        <v>0.95</v>
      </c>
      <c r="E794" t="s">
        <v>32</v>
      </c>
      <c r="F794">
        <v>0.92823732151649396</v>
      </c>
      <c r="G794">
        <v>1876</v>
      </c>
    </row>
    <row r="795" spans="1:7" x14ac:dyDescent="0.3">
      <c r="A795" t="s">
        <v>56</v>
      </c>
      <c r="B795">
        <v>100</v>
      </c>
      <c r="C795">
        <v>0.95</v>
      </c>
      <c r="D795">
        <v>0.95</v>
      </c>
      <c r="E795" t="s">
        <v>33</v>
      </c>
      <c r="F795">
        <v>0.92098192476795304</v>
      </c>
      <c r="G795">
        <v>1812</v>
      </c>
    </row>
    <row r="796" spans="1:7" x14ac:dyDescent="0.3">
      <c r="A796" t="s">
        <v>56</v>
      </c>
      <c r="B796">
        <v>100</v>
      </c>
      <c r="C796">
        <v>0.95</v>
      </c>
      <c r="D796">
        <v>0.95</v>
      </c>
      <c r="E796" t="s">
        <v>34</v>
      </c>
      <c r="F796">
        <v>0.96185587761674696</v>
      </c>
      <c r="G796">
        <v>64</v>
      </c>
    </row>
    <row r="797" spans="1:7" x14ac:dyDescent="0.3">
      <c r="A797" t="s">
        <v>56</v>
      </c>
      <c r="B797">
        <v>100</v>
      </c>
      <c r="C797">
        <v>0.95</v>
      </c>
      <c r="D797">
        <v>0.95</v>
      </c>
      <c r="E797" t="s">
        <v>88</v>
      </c>
      <c r="F797">
        <v>0.93215992539923098</v>
      </c>
      <c r="G797">
        <v>1421</v>
      </c>
    </row>
    <row r="798" spans="1:7" x14ac:dyDescent="0.3">
      <c r="A798" t="s">
        <v>56</v>
      </c>
      <c r="B798">
        <v>100</v>
      </c>
      <c r="C798">
        <v>0.95</v>
      </c>
      <c r="D798">
        <v>0.95</v>
      </c>
      <c r="E798" t="s">
        <v>84</v>
      </c>
      <c r="F798">
        <v>0.93297587131367299</v>
      </c>
      <c r="G798">
        <v>1421</v>
      </c>
    </row>
    <row r="799" spans="1:7" x14ac:dyDescent="0.3">
      <c r="A799" t="s">
        <v>56</v>
      </c>
      <c r="B799">
        <v>100</v>
      </c>
      <c r="C799">
        <v>0.95</v>
      </c>
      <c r="D799">
        <v>0.95</v>
      </c>
      <c r="E799" t="s">
        <v>92</v>
      </c>
      <c r="F799">
        <v>0.94084877949964596</v>
      </c>
      <c r="G799">
        <v>127</v>
      </c>
    </row>
    <row r="800" spans="1:7" x14ac:dyDescent="0.3">
      <c r="A800" t="s">
        <v>56</v>
      </c>
      <c r="B800">
        <v>100</v>
      </c>
      <c r="C800">
        <v>0.95</v>
      </c>
      <c r="D800">
        <v>0.95</v>
      </c>
      <c r="E800" t="s">
        <v>90</v>
      </c>
      <c r="F800">
        <v>0.92643997224149899</v>
      </c>
      <c r="G800">
        <v>1354</v>
      </c>
    </row>
    <row r="801" spans="1:7" x14ac:dyDescent="0.3">
      <c r="A801" t="s">
        <v>56</v>
      </c>
      <c r="B801">
        <v>100</v>
      </c>
      <c r="C801">
        <v>0.95</v>
      </c>
      <c r="D801">
        <v>0.95</v>
      </c>
      <c r="E801" t="s">
        <v>86</v>
      </c>
      <c r="F801">
        <v>0.94378903539208903</v>
      </c>
      <c r="G801">
        <v>1354</v>
      </c>
    </row>
    <row r="802" spans="1:7" x14ac:dyDescent="0.3">
      <c r="A802" t="s">
        <v>56</v>
      </c>
      <c r="B802">
        <v>100</v>
      </c>
      <c r="C802">
        <v>0.95</v>
      </c>
      <c r="D802">
        <v>0.95</v>
      </c>
      <c r="E802" t="s">
        <v>55</v>
      </c>
      <c r="F802">
        <v>0.96489999999999998</v>
      </c>
      <c r="G802">
        <v>0</v>
      </c>
    </row>
    <row r="803" spans="1:7" x14ac:dyDescent="0.3">
      <c r="A803" t="s">
        <v>56</v>
      </c>
      <c r="B803">
        <v>100</v>
      </c>
      <c r="C803">
        <v>0.95</v>
      </c>
      <c r="D803">
        <v>0.9</v>
      </c>
      <c r="E803" t="s">
        <v>32</v>
      </c>
      <c r="F803">
        <v>0.88860167405219104</v>
      </c>
      <c r="G803">
        <v>1876</v>
      </c>
    </row>
    <row r="804" spans="1:7" x14ac:dyDescent="0.3">
      <c r="A804" t="s">
        <v>56</v>
      </c>
      <c r="B804">
        <v>100</v>
      </c>
      <c r="C804">
        <v>0.95</v>
      </c>
      <c r="D804">
        <v>0.9</v>
      </c>
      <c r="E804" t="s">
        <v>33</v>
      </c>
      <c r="F804">
        <v>0.92098192476795304</v>
      </c>
      <c r="G804">
        <v>1812</v>
      </c>
    </row>
    <row r="805" spans="1:7" x14ac:dyDescent="0.3">
      <c r="A805" t="s">
        <v>56</v>
      </c>
      <c r="B805">
        <v>100</v>
      </c>
      <c r="C805">
        <v>0.95</v>
      </c>
      <c r="D805">
        <v>0.9</v>
      </c>
      <c r="E805" t="s">
        <v>34</v>
      </c>
      <c r="F805">
        <v>0.91636473429951704</v>
      </c>
      <c r="G805">
        <v>64</v>
      </c>
    </row>
    <row r="806" spans="1:7" x14ac:dyDescent="0.3">
      <c r="A806" t="s">
        <v>56</v>
      </c>
      <c r="B806">
        <v>100</v>
      </c>
      <c r="C806">
        <v>0.95</v>
      </c>
      <c r="D806">
        <v>0.9</v>
      </c>
      <c r="E806" t="s">
        <v>88</v>
      </c>
      <c r="F806">
        <v>0.89509266814314004</v>
      </c>
      <c r="G806">
        <v>1421</v>
      </c>
    </row>
    <row r="807" spans="1:7" x14ac:dyDescent="0.3">
      <c r="A807" t="s">
        <v>56</v>
      </c>
      <c r="B807">
        <v>100</v>
      </c>
      <c r="C807">
        <v>0.95</v>
      </c>
      <c r="D807">
        <v>0.9</v>
      </c>
      <c r="E807" t="s">
        <v>84</v>
      </c>
      <c r="F807">
        <v>0.92947896025177801</v>
      </c>
      <c r="G807">
        <v>1421</v>
      </c>
    </row>
    <row r="808" spans="1:7" x14ac:dyDescent="0.3">
      <c r="A808" t="s">
        <v>56</v>
      </c>
      <c r="B808">
        <v>100</v>
      </c>
      <c r="C808">
        <v>0.95</v>
      </c>
      <c r="D808">
        <v>0.9</v>
      </c>
      <c r="E808" t="s">
        <v>92</v>
      </c>
      <c r="F808">
        <v>0.90863972450116504</v>
      </c>
      <c r="G808">
        <v>127</v>
      </c>
    </row>
    <row r="809" spans="1:7" x14ac:dyDescent="0.3">
      <c r="A809" t="s">
        <v>56</v>
      </c>
      <c r="B809">
        <v>100</v>
      </c>
      <c r="C809">
        <v>0.95</v>
      </c>
      <c r="D809">
        <v>0.9</v>
      </c>
      <c r="E809" t="s">
        <v>90</v>
      </c>
      <c r="F809">
        <v>0.92331714087439298</v>
      </c>
      <c r="G809">
        <v>1354</v>
      </c>
    </row>
    <row r="810" spans="1:7" x14ac:dyDescent="0.3">
      <c r="A810" t="s">
        <v>56</v>
      </c>
      <c r="B810">
        <v>100</v>
      </c>
      <c r="C810">
        <v>0.95</v>
      </c>
      <c r="D810">
        <v>0.9</v>
      </c>
      <c r="E810" t="s">
        <v>86</v>
      </c>
      <c r="F810">
        <v>0.92354846171640104</v>
      </c>
      <c r="G810">
        <v>1354</v>
      </c>
    </row>
    <row r="811" spans="1:7" x14ac:dyDescent="0.3">
      <c r="A811" t="s">
        <v>56</v>
      </c>
      <c r="B811">
        <v>100</v>
      </c>
      <c r="C811">
        <v>0.95</v>
      </c>
      <c r="D811">
        <v>0.9</v>
      </c>
      <c r="E811" t="s">
        <v>55</v>
      </c>
      <c r="F811">
        <v>0.93530000000000002</v>
      </c>
      <c r="G811">
        <v>0</v>
      </c>
    </row>
    <row r="812" spans="1:7" x14ac:dyDescent="0.3">
      <c r="A812" t="s">
        <v>57</v>
      </c>
      <c r="B812">
        <v>100</v>
      </c>
      <c r="C812">
        <v>0.95</v>
      </c>
      <c r="D812">
        <v>0.95</v>
      </c>
      <c r="E812" t="s">
        <v>32</v>
      </c>
      <c r="F812">
        <v>0.92791903233769402</v>
      </c>
      <c r="G812">
        <v>1898</v>
      </c>
    </row>
    <row r="813" spans="1:7" x14ac:dyDescent="0.3">
      <c r="A813" t="s">
        <v>57</v>
      </c>
      <c r="B813">
        <v>100</v>
      </c>
      <c r="C813">
        <v>0.95</v>
      </c>
      <c r="D813">
        <v>0.95</v>
      </c>
      <c r="E813" t="s">
        <v>33</v>
      </c>
      <c r="F813">
        <v>0.92166237587348299</v>
      </c>
      <c r="G813">
        <v>1843</v>
      </c>
    </row>
    <row r="814" spans="1:7" x14ac:dyDescent="0.3">
      <c r="A814" t="s">
        <v>57</v>
      </c>
      <c r="B814">
        <v>100</v>
      </c>
      <c r="C814">
        <v>0.95</v>
      </c>
      <c r="D814">
        <v>0.95</v>
      </c>
      <c r="E814" t="s">
        <v>34</v>
      </c>
      <c r="F814">
        <v>0.96339869281045798</v>
      </c>
      <c r="G814">
        <v>55</v>
      </c>
    </row>
    <row r="815" spans="1:7" x14ac:dyDescent="0.3">
      <c r="A815" t="s">
        <v>57</v>
      </c>
      <c r="B815">
        <v>100</v>
      </c>
      <c r="C815">
        <v>0.95</v>
      </c>
      <c r="D815">
        <v>0.95</v>
      </c>
      <c r="E815" t="s">
        <v>88</v>
      </c>
      <c r="F815">
        <v>0.93545878693623596</v>
      </c>
      <c r="G815">
        <v>998</v>
      </c>
    </row>
    <row r="816" spans="1:7" x14ac:dyDescent="0.3">
      <c r="A816" t="s">
        <v>57</v>
      </c>
      <c r="B816">
        <v>100</v>
      </c>
      <c r="C816">
        <v>0.95</v>
      </c>
      <c r="D816">
        <v>0.95</v>
      </c>
      <c r="E816" t="s">
        <v>84</v>
      </c>
      <c r="F816">
        <v>0.93645856476338596</v>
      </c>
      <c r="G816">
        <v>998</v>
      </c>
    </row>
    <row r="817" spans="1:7" x14ac:dyDescent="0.3">
      <c r="A817" t="s">
        <v>57</v>
      </c>
      <c r="B817">
        <v>100</v>
      </c>
      <c r="C817">
        <v>0.95</v>
      </c>
      <c r="D817">
        <v>0.95</v>
      </c>
      <c r="E817" t="s">
        <v>92</v>
      </c>
      <c r="F817">
        <v>0.94042293615290795</v>
      </c>
      <c r="G817">
        <v>164</v>
      </c>
    </row>
    <row r="818" spans="1:7" x14ac:dyDescent="0.3">
      <c r="A818" t="s">
        <v>57</v>
      </c>
      <c r="B818">
        <v>100</v>
      </c>
      <c r="C818">
        <v>0.95</v>
      </c>
      <c r="D818">
        <v>0.95</v>
      </c>
      <c r="E818" t="s">
        <v>90</v>
      </c>
      <c r="F818">
        <v>0.93242049469964705</v>
      </c>
      <c r="G818">
        <v>944</v>
      </c>
    </row>
    <row r="819" spans="1:7" x14ac:dyDescent="0.3">
      <c r="A819" t="s">
        <v>57</v>
      </c>
      <c r="B819">
        <v>100</v>
      </c>
      <c r="C819">
        <v>0.95</v>
      </c>
      <c r="D819">
        <v>0.95</v>
      </c>
      <c r="E819" t="s">
        <v>86</v>
      </c>
      <c r="F819">
        <v>0.94810070671378099</v>
      </c>
      <c r="G819">
        <v>944</v>
      </c>
    </row>
    <row r="820" spans="1:7" x14ac:dyDescent="0.3">
      <c r="A820" t="s">
        <v>57</v>
      </c>
      <c r="B820">
        <v>100</v>
      </c>
      <c r="C820">
        <v>0.95</v>
      </c>
      <c r="D820">
        <v>0.95</v>
      </c>
      <c r="E820" t="s">
        <v>55</v>
      </c>
      <c r="F820">
        <v>0.96599999999999997</v>
      </c>
      <c r="G820">
        <v>0</v>
      </c>
    </row>
    <row r="821" spans="1:7" x14ac:dyDescent="0.3">
      <c r="A821" t="s">
        <v>57</v>
      </c>
      <c r="B821">
        <v>100</v>
      </c>
      <c r="C821">
        <v>0.95</v>
      </c>
      <c r="D821">
        <v>0.9</v>
      </c>
      <c r="E821" t="s">
        <v>32</v>
      </c>
      <c r="F821">
        <v>0.88015304862996802</v>
      </c>
      <c r="G821">
        <v>1898</v>
      </c>
    </row>
    <row r="822" spans="1:7" x14ac:dyDescent="0.3">
      <c r="A822" t="s">
        <v>57</v>
      </c>
      <c r="B822">
        <v>100</v>
      </c>
      <c r="C822">
        <v>0.95</v>
      </c>
      <c r="D822">
        <v>0.9</v>
      </c>
      <c r="E822" t="s">
        <v>33</v>
      </c>
      <c r="F822">
        <v>0.92166237587348299</v>
      </c>
      <c r="G822">
        <v>1843</v>
      </c>
    </row>
    <row r="823" spans="1:7" x14ac:dyDescent="0.3">
      <c r="A823" t="s">
        <v>57</v>
      </c>
      <c r="B823">
        <v>100</v>
      </c>
      <c r="C823">
        <v>0.95</v>
      </c>
      <c r="D823">
        <v>0.9</v>
      </c>
      <c r="E823" t="s">
        <v>34</v>
      </c>
      <c r="F823">
        <v>0.91141277023629996</v>
      </c>
      <c r="G823">
        <v>55</v>
      </c>
    </row>
    <row r="824" spans="1:7" x14ac:dyDescent="0.3">
      <c r="A824" t="s">
        <v>57</v>
      </c>
      <c r="B824">
        <v>100</v>
      </c>
      <c r="C824">
        <v>0.95</v>
      </c>
      <c r="D824">
        <v>0.9</v>
      </c>
      <c r="E824" t="s">
        <v>88</v>
      </c>
      <c r="F824">
        <v>0.89402355032215097</v>
      </c>
      <c r="G824">
        <v>998</v>
      </c>
    </row>
    <row r="825" spans="1:7" x14ac:dyDescent="0.3">
      <c r="A825" t="s">
        <v>57</v>
      </c>
      <c r="B825">
        <v>100</v>
      </c>
      <c r="C825">
        <v>0.95</v>
      </c>
      <c r="D825">
        <v>0.9</v>
      </c>
      <c r="E825" t="s">
        <v>84</v>
      </c>
      <c r="F825">
        <v>0.92801599644523403</v>
      </c>
      <c r="G825">
        <v>998</v>
      </c>
    </row>
    <row r="826" spans="1:7" x14ac:dyDescent="0.3">
      <c r="A826" t="s">
        <v>57</v>
      </c>
      <c r="B826">
        <v>100</v>
      </c>
      <c r="C826">
        <v>0.95</v>
      </c>
      <c r="D826">
        <v>0.9</v>
      </c>
      <c r="E826" t="s">
        <v>92</v>
      </c>
      <c r="F826">
        <v>0.902806018706791</v>
      </c>
      <c r="G826">
        <v>164</v>
      </c>
    </row>
    <row r="827" spans="1:7" x14ac:dyDescent="0.3">
      <c r="A827" t="s">
        <v>57</v>
      </c>
      <c r="B827">
        <v>100</v>
      </c>
      <c r="C827">
        <v>0.95</v>
      </c>
      <c r="D827">
        <v>0.9</v>
      </c>
      <c r="E827" t="s">
        <v>90</v>
      </c>
      <c r="F827">
        <v>0.92513250883392195</v>
      </c>
      <c r="G827">
        <v>944</v>
      </c>
    </row>
    <row r="828" spans="1:7" x14ac:dyDescent="0.3">
      <c r="A828" t="s">
        <v>57</v>
      </c>
      <c r="B828">
        <v>100</v>
      </c>
      <c r="C828">
        <v>0.95</v>
      </c>
      <c r="D828">
        <v>0.9</v>
      </c>
      <c r="E828" t="s">
        <v>86</v>
      </c>
      <c r="F828">
        <v>0.92568462897526504</v>
      </c>
      <c r="G828">
        <v>944</v>
      </c>
    </row>
    <row r="829" spans="1:7" x14ac:dyDescent="0.3">
      <c r="A829" t="s">
        <v>57</v>
      </c>
      <c r="B829">
        <v>100</v>
      </c>
      <c r="C829">
        <v>0.95</v>
      </c>
      <c r="D829">
        <v>0.9</v>
      </c>
      <c r="E829" t="s">
        <v>55</v>
      </c>
      <c r="F829">
        <v>0.93610000000000004</v>
      </c>
      <c r="G829">
        <v>0</v>
      </c>
    </row>
  </sheetData>
  <pageMargins left="0.7" right="0.7" top="0.75" bottom="0.75" header="0.3" footer="0.3"/>
</worksheet>
</file>

<file path=xl/worksheets/sheet1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FFC7C-6CCB-4CD7-B516-396E1DBA99C7}">
  <dimension ref="A1:I26"/>
  <sheetViews>
    <sheetView workbookViewId="0">
      <selection activeCell="A2" sqref="A1:I26"/>
    </sheetView>
  </sheetViews>
  <sheetFormatPr defaultRowHeight="14.4" x14ac:dyDescent="0.3"/>
  <cols>
    <col min="1" max="1" width="12.44140625" bestFit="1" customWidth="1"/>
    <col min="2" max="2" width="7.109375" bestFit="1" customWidth="1"/>
    <col min="4" max="5" width="11.109375" bestFit="1" customWidth="1"/>
    <col min="6" max="6" width="12.109375" bestFit="1" customWidth="1"/>
  </cols>
  <sheetData>
    <row r="1" spans="1:9" x14ac:dyDescent="0.3">
      <c r="D1" s="45" t="s">
        <v>202</v>
      </c>
      <c r="E1" s="45"/>
      <c r="F1" s="45"/>
      <c r="G1" s="45" t="s">
        <v>203</v>
      </c>
      <c r="H1" s="45"/>
      <c r="I1" s="45"/>
    </row>
    <row r="2" spans="1:9" x14ac:dyDescent="0.3">
      <c r="C2" t="s">
        <v>1</v>
      </c>
      <c r="D2">
        <v>20</v>
      </c>
      <c r="E2">
        <v>50</v>
      </c>
      <c r="F2">
        <v>100</v>
      </c>
      <c r="G2">
        <v>20</v>
      </c>
      <c r="H2">
        <v>50</v>
      </c>
      <c r="I2">
        <v>100</v>
      </c>
    </row>
    <row r="3" spans="1:9" x14ac:dyDescent="0.3">
      <c r="A3" s="46" t="s">
        <v>146</v>
      </c>
      <c r="B3" s="46" t="s">
        <v>123</v>
      </c>
      <c r="C3" t="s">
        <v>147</v>
      </c>
      <c r="D3" s="15">
        <v>0.93799999999999994</v>
      </c>
      <c r="E3" s="15">
        <v>0.95</v>
      </c>
      <c r="F3" s="15">
        <v>0.94899999999999995</v>
      </c>
      <c r="G3" s="15">
        <v>0</v>
      </c>
      <c r="H3" s="15">
        <v>0</v>
      </c>
      <c r="I3" s="15">
        <v>0</v>
      </c>
    </row>
    <row r="4" spans="1:9" x14ac:dyDescent="0.3">
      <c r="A4" s="46"/>
      <c r="B4" s="46"/>
      <c r="C4" t="s">
        <v>148</v>
      </c>
      <c r="D4" s="15">
        <v>0.93300000000000005</v>
      </c>
      <c r="E4" s="15">
        <v>0.94399999999999995</v>
      </c>
      <c r="F4" s="15">
        <v>0.95199999999999996</v>
      </c>
      <c r="G4" s="15">
        <v>2.9999999999999997E-4</v>
      </c>
      <c r="H4" s="15">
        <v>0</v>
      </c>
      <c r="I4" s="15">
        <v>0</v>
      </c>
    </row>
    <row r="5" spans="1:9" x14ac:dyDescent="0.3">
      <c r="A5" s="46"/>
      <c r="B5" s="46"/>
      <c r="C5" t="s">
        <v>31</v>
      </c>
      <c r="D5" s="15">
        <v>0.95499999999999996</v>
      </c>
      <c r="E5" s="15">
        <v>0.95299999999999996</v>
      </c>
      <c r="F5" s="15">
        <v>0.95199999999999996</v>
      </c>
      <c r="G5" s="15">
        <v>2.0000000000000001E-4</v>
      </c>
      <c r="H5" s="15">
        <v>0</v>
      </c>
      <c r="I5" s="15">
        <v>0</v>
      </c>
    </row>
    <row r="6" spans="1:9" x14ac:dyDescent="0.3">
      <c r="A6" s="46"/>
      <c r="B6" s="46" t="s">
        <v>149</v>
      </c>
      <c r="C6" t="s">
        <v>147</v>
      </c>
      <c r="D6" s="15">
        <v>0.91800000000000004</v>
      </c>
      <c r="E6" s="15">
        <v>0.93200000000000005</v>
      </c>
      <c r="F6" s="15">
        <v>0.94399999999999995</v>
      </c>
      <c r="G6" s="15">
        <v>2.0000000000000001E-4</v>
      </c>
      <c r="H6" s="15">
        <v>0</v>
      </c>
      <c r="I6" s="15">
        <v>0</v>
      </c>
    </row>
    <row r="7" spans="1:9" x14ac:dyDescent="0.3">
      <c r="A7" s="46"/>
      <c r="B7" s="46" t="s">
        <v>149</v>
      </c>
      <c r="C7" t="s">
        <v>148</v>
      </c>
      <c r="D7" s="15">
        <v>0.91700000000000004</v>
      </c>
      <c r="E7" s="15">
        <v>0.93899999999999995</v>
      </c>
      <c r="F7" s="15">
        <v>0.94599999999999995</v>
      </c>
      <c r="G7" s="15">
        <v>2.0000000000000001E-4</v>
      </c>
      <c r="H7" s="15">
        <v>0</v>
      </c>
      <c r="I7" s="15">
        <v>0</v>
      </c>
    </row>
    <row r="8" spans="1:9" x14ac:dyDescent="0.3">
      <c r="A8" s="46"/>
      <c r="B8" s="46" t="s">
        <v>149</v>
      </c>
      <c r="C8" t="s">
        <v>31</v>
      </c>
      <c r="D8" s="15">
        <v>0.93500000000000005</v>
      </c>
      <c r="E8" s="15">
        <v>0.94499999999999995</v>
      </c>
      <c r="F8" s="15">
        <v>0.94399999999999995</v>
      </c>
      <c r="G8" s="15">
        <v>1E-4</v>
      </c>
      <c r="H8" s="15">
        <v>0</v>
      </c>
      <c r="I8" s="15">
        <v>0</v>
      </c>
    </row>
    <row r="9" spans="1:9" x14ac:dyDescent="0.3">
      <c r="A9" s="46" t="s">
        <v>200</v>
      </c>
      <c r="B9" s="46" t="s">
        <v>123</v>
      </c>
      <c r="C9" t="s">
        <v>147</v>
      </c>
      <c r="D9" s="15">
        <v>0.95499999999999996</v>
      </c>
      <c r="E9" s="15">
        <v>0.96699999999999997</v>
      </c>
      <c r="F9" s="15">
        <v>0.96399999999999997</v>
      </c>
      <c r="G9" s="15">
        <v>0</v>
      </c>
      <c r="H9" s="15">
        <v>0</v>
      </c>
      <c r="I9" s="15">
        <v>0</v>
      </c>
    </row>
    <row r="10" spans="1:9" x14ac:dyDescent="0.3">
      <c r="A10" s="46" t="s">
        <v>200</v>
      </c>
      <c r="B10" s="46" t="s">
        <v>123</v>
      </c>
      <c r="C10" t="s">
        <v>148</v>
      </c>
      <c r="D10" s="15">
        <v>0.96199999999999997</v>
      </c>
      <c r="E10" s="15">
        <v>0.96899999999999997</v>
      </c>
      <c r="F10" s="15">
        <v>0.96399999999999997</v>
      </c>
      <c r="G10" s="15">
        <v>0</v>
      </c>
      <c r="H10" s="15">
        <v>0</v>
      </c>
      <c r="I10" s="15">
        <v>0</v>
      </c>
    </row>
    <row r="11" spans="1:9" x14ac:dyDescent="0.3">
      <c r="A11" s="46" t="s">
        <v>200</v>
      </c>
      <c r="B11" s="46" t="s">
        <v>123</v>
      </c>
      <c r="C11" t="s">
        <v>31</v>
      </c>
      <c r="D11" s="15">
        <v>0.95399999999999996</v>
      </c>
      <c r="E11" s="15">
        <v>0.96899999999999997</v>
      </c>
      <c r="F11" s="15">
        <v>0.96699999999999997</v>
      </c>
      <c r="G11" s="15">
        <v>0</v>
      </c>
      <c r="H11" s="15">
        <v>0</v>
      </c>
      <c r="I11" s="15">
        <v>0</v>
      </c>
    </row>
    <row r="12" spans="1:9" x14ac:dyDescent="0.3">
      <c r="A12" s="46" t="s">
        <v>200</v>
      </c>
      <c r="B12" s="46" t="s">
        <v>149</v>
      </c>
      <c r="C12" t="s">
        <v>147</v>
      </c>
      <c r="D12" s="15">
        <v>0.95499999999999996</v>
      </c>
      <c r="E12" s="15">
        <v>0.93600000000000005</v>
      </c>
      <c r="F12" s="15">
        <v>0.94099999999999995</v>
      </c>
      <c r="G12" s="15">
        <v>0</v>
      </c>
      <c r="H12" s="15">
        <v>0</v>
      </c>
      <c r="I12" s="15">
        <v>0</v>
      </c>
    </row>
    <row r="13" spans="1:9" x14ac:dyDescent="0.3">
      <c r="A13" s="46" t="s">
        <v>200</v>
      </c>
      <c r="B13" s="46" t="s">
        <v>149</v>
      </c>
      <c r="C13" t="s">
        <v>148</v>
      </c>
      <c r="D13" s="15">
        <v>0.95899999999999996</v>
      </c>
      <c r="E13" s="15">
        <v>0.93899999999999995</v>
      </c>
      <c r="F13" s="15">
        <v>0.94299999999999995</v>
      </c>
      <c r="G13" s="15">
        <v>0</v>
      </c>
      <c r="H13" s="15">
        <v>0</v>
      </c>
      <c r="I13" s="15">
        <v>0</v>
      </c>
    </row>
    <row r="14" spans="1:9" x14ac:dyDescent="0.3">
      <c r="A14" s="46" t="s">
        <v>200</v>
      </c>
      <c r="B14" s="46" t="s">
        <v>149</v>
      </c>
      <c r="C14" t="s">
        <v>31</v>
      </c>
      <c r="D14" s="15">
        <v>0.96099999999999997</v>
      </c>
      <c r="E14" s="15">
        <v>0.93500000000000005</v>
      </c>
      <c r="F14" s="15">
        <v>0.94199999999999995</v>
      </c>
      <c r="G14" s="15">
        <v>0</v>
      </c>
      <c r="H14" s="15">
        <v>0</v>
      </c>
      <c r="I14" s="15">
        <v>0</v>
      </c>
    </row>
    <row r="15" spans="1:9" x14ac:dyDescent="0.3">
      <c r="A15" s="46" t="s">
        <v>201</v>
      </c>
      <c r="B15" s="46" t="s">
        <v>123</v>
      </c>
      <c r="C15" t="s">
        <v>147</v>
      </c>
      <c r="D15" s="15">
        <v>0.96199999999999997</v>
      </c>
      <c r="E15" s="15">
        <v>0.97</v>
      </c>
      <c r="F15" s="15">
        <v>0.96099999999999997</v>
      </c>
      <c r="G15" s="15">
        <v>0</v>
      </c>
      <c r="H15" s="15">
        <v>0</v>
      </c>
      <c r="I15" s="15">
        <v>0</v>
      </c>
    </row>
    <row r="16" spans="1:9" x14ac:dyDescent="0.3">
      <c r="A16" s="46" t="s">
        <v>201</v>
      </c>
      <c r="B16" s="46" t="s">
        <v>123</v>
      </c>
      <c r="C16" t="s">
        <v>148</v>
      </c>
      <c r="D16" s="15">
        <v>0.95799999999999996</v>
      </c>
      <c r="E16" s="15">
        <v>0.96699999999999997</v>
      </c>
      <c r="F16" s="15">
        <v>0.96099999999999997</v>
      </c>
      <c r="G16" s="15">
        <v>0</v>
      </c>
      <c r="H16" s="15">
        <v>0</v>
      </c>
      <c r="I16" s="15">
        <v>0</v>
      </c>
    </row>
    <row r="17" spans="1:9" x14ac:dyDescent="0.3">
      <c r="A17" s="46" t="s">
        <v>201</v>
      </c>
      <c r="B17" s="46" t="s">
        <v>123</v>
      </c>
      <c r="C17" t="s">
        <v>31</v>
      </c>
      <c r="D17" s="15">
        <v>0.95799999999999996</v>
      </c>
      <c r="E17" s="15">
        <v>0.96699999999999997</v>
      </c>
      <c r="F17" s="15">
        <v>0.96299999999999997</v>
      </c>
      <c r="G17" s="15">
        <v>0</v>
      </c>
      <c r="H17" s="15">
        <v>0</v>
      </c>
      <c r="I17" s="15">
        <v>0</v>
      </c>
    </row>
    <row r="18" spans="1:9" x14ac:dyDescent="0.3">
      <c r="A18" s="46" t="s">
        <v>201</v>
      </c>
      <c r="B18" s="46" t="s">
        <v>149</v>
      </c>
      <c r="C18" t="s">
        <v>147</v>
      </c>
      <c r="D18" s="15">
        <v>0.96199999999999997</v>
      </c>
      <c r="E18" s="15">
        <v>0.95299999999999996</v>
      </c>
      <c r="F18" s="15">
        <v>0.95099999999999996</v>
      </c>
      <c r="G18" s="15">
        <v>1.8E-3</v>
      </c>
      <c r="H18" s="15">
        <v>0</v>
      </c>
      <c r="I18" s="15">
        <v>0</v>
      </c>
    </row>
    <row r="19" spans="1:9" x14ac:dyDescent="0.3">
      <c r="A19" s="46" t="s">
        <v>201</v>
      </c>
      <c r="B19" s="46" t="s">
        <v>149</v>
      </c>
      <c r="C19" t="s">
        <v>148</v>
      </c>
      <c r="D19" s="15">
        <v>0.95799999999999996</v>
      </c>
      <c r="E19" s="15">
        <v>0.95099999999999996</v>
      </c>
      <c r="F19" s="15">
        <v>0.94699999999999995</v>
      </c>
      <c r="G19" s="15">
        <v>3.3999999999999998E-3</v>
      </c>
      <c r="H19" s="15">
        <v>0</v>
      </c>
      <c r="I19" s="15">
        <v>0</v>
      </c>
    </row>
    <row r="20" spans="1:9" x14ac:dyDescent="0.3">
      <c r="A20" s="46" t="s">
        <v>201</v>
      </c>
      <c r="B20" s="46" t="s">
        <v>149</v>
      </c>
      <c r="C20" t="s">
        <v>31</v>
      </c>
      <c r="D20" s="15">
        <v>0.96399999999999997</v>
      </c>
      <c r="E20" s="15">
        <v>0.94799999999999995</v>
      </c>
      <c r="F20" s="15">
        <v>0.95099999999999996</v>
      </c>
      <c r="G20" s="15">
        <v>3.7000000000000002E-3</v>
      </c>
      <c r="H20" s="15">
        <v>0</v>
      </c>
      <c r="I20" s="15">
        <v>0</v>
      </c>
    </row>
    <row r="21" spans="1:9" x14ac:dyDescent="0.3">
      <c r="A21" s="46" t="s">
        <v>154</v>
      </c>
      <c r="B21" s="46" t="s">
        <v>123</v>
      </c>
      <c r="C21" t="s">
        <v>147</v>
      </c>
      <c r="D21" s="15">
        <v>0.624</v>
      </c>
      <c r="E21" s="15">
        <v>0.91400000000000003</v>
      </c>
      <c r="F21" s="15">
        <v>0.93600000000000005</v>
      </c>
      <c r="G21" s="15">
        <v>0</v>
      </c>
      <c r="H21" s="15">
        <v>0</v>
      </c>
      <c r="I21" s="15">
        <v>0</v>
      </c>
    </row>
    <row r="22" spans="1:9" x14ac:dyDescent="0.3">
      <c r="A22" s="46" t="s">
        <v>154</v>
      </c>
      <c r="B22" s="46" t="s">
        <v>123</v>
      </c>
      <c r="C22" t="s">
        <v>148</v>
      </c>
      <c r="D22" s="15">
        <v>0.628</v>
      </c>
      <c r="E22" s="15">
        <v>0.90900000000000003</v>
      </c>
      <c r="F22" s="15">
        <v>0.93300000000000005</v>
      </c>
      <c r="G22" s="15">
        <v>0</v>
      </c>
      <c r="H22" s="15">
        <v>0</v>
      </c>
      <c r="I22" s="15">
        <v>0</v>
      </c>
    </row>
    <row r="23" spans="1:9" x14ac:dyDescent="0.3">
      <c r="A23" s="46" t="s">
        <v>154</v>
      </c>
      <c r="B23" s="46" t="s">
        <v>123</v>
      </c>
      <c r="C23" t="s">
        <v>31</v>
      </c>
      <c r="D23" s="15">
        <v>0.63100000000000001</v>
      </c>
      <c r="E23" s="15">
        <v>0.91400000000000003</v>
      </c>
      <c r="F23" s="15">
        <v>0.93500000000000005</v>
      </c>
      <c r="G23" s="15">
        <v>0</v>
      </c>
      <c r="H23" s="15">
        <v>0</v>
      </c>
      <c r="I23" s="15">
        <v>0</v>
      </c>
    </row>
    <row r="24" spans="1:9" x14ac:dyDescent="0.3">
      <c r="A24" s="46" t="s">
        <v>154</v>
      </c>
      <c r="B24" s="46" t="s">
        <v>149</v>
      </c>
      <c r="C24" t="s">
        <v>147</v>
      </c>
      <c r="D24" s="15">
        <v>0.61799999999999999</v>
      </c>
      <c r="E24" s="15">
        <v>0.91100000000000003</v>
      </c>
      <c r="F24" s="15">
        <v>0.93700000000000006</v>
      </c>
      <c r="G24" s="15">
        <v>0.36830000000000002</v>
      </c>
      <c r="H24" s="15">
        <v>7.6399999999999996E-2</v>
      </c>
      <c r="I24" s="15">
        <v>5.4999999999999997E-3</v>
      </c>
    </row>
    <row r="25" spans="1:9" x14ac:dyDescent="0.3">
      <c r="A25" s="46" t="s">
        <v>154</v>
      </c>
      <c r="B25" s="46" t="s">
        <v>149</v>
      </c>
      <c r="C25" t="s">
        <v>148</v>
      </c>
      <c r="D25" s="15">
        <v>0.61699999999999999</v>
      </c>
      <c r="E25" s="15">
        <v>0.91400000000000003</v>
      </c>
      <c r="F25" s="15">
        <v>0.93799999999999994</v>
      </c>
      <c r="G25" s="15">
        <v>0.36549999999999999</v>
      </c>
      <c r="H25" s="15">
        <v>7.6999999999999999E-2</v>
      </c>
      <c r="I25" s="15">
        <v>5.1999999999999998E-3</v>
      </c>
    </row>
    <row r="26" spans="1:9" x14ac:dyDescent="0.3">
      <c r="A26" s="46" t="s">
        <v>154</v>
      </c>
      <c r="B26" s="46" t="s">
        <v>149</v>
      </c>
      <c r="C26" t="s">
        <v>31</v>
      </c>
      <c r="D26" s="15">
        <v>0.63</v>
      </c>
      <c r="E26" s="15">
        <v>0.90500000000000003</v>
      </c>
      <c r="F26" s="15">
        <v>0.93200000000000005</v>
      </c>
      <c r="G26" s="15">
        <v>0.35289999999999999</v>
      </c>
      <c r="H26" s="15">
        <v>8.1699999999999995E-2</v>
      </c>
      <c r="I26" s="15">
        <v>5.4999999999999997E-3</v>
      </c>
    </row>
  </sheetData>
  <mergeCells count="14">
    <mergeCell ref="B21:B23"/>
    <mergeCell ref="B24:B26"/>
    <mergeCell ref="D1:F1"/>
    <mergeCell ref="G1:I1"/>
    <mergeCell ref="A3:A8"/>
    <mergeCell ref="A9:A14"/>
    <mergeCell ref="A15:A20"/>
    <mergeCell ref="A21:A26"/>
    <mergeCell ref="B3:B5"/>
    <mergeCell ref="B6:B8"/>
    <mergeCell ref="B9:B11"/>
    <mergeCell ref="B12:B14"/>
    <mergeCell ref="B15:B17"/>
    <mergeCell ref="B18:B20"/>
  </mergeCells>
  <conditionalFormatting sqref="D3:F26">
    <cfRule type="colorScale" priority="1">
      <colorScale>
        <cfvo type="min"/>
        <cfvo type="num" val="0.95"/>
        <cfvo type="max"/>
        <color rgb="FF00B0F0"/>
        <color rgb="FF92D050"/>
        <color rgb="FFC00000"/>
      </colorScale>
    </cfRule>
  </conditionalFormatting>
  <pageMargins left="0.7" right="0.7" top="0.75" bottom="0.75" header="0.3" footer="0.3"/>
</worksheet>
</file>

<file path=xl/worksheets/sheet1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F4CC-0896-4E3F-B242-AA453341810B}">
  <sheetPr>
    <tabColor rgb="FFFFC000"/>
  </sheetPr>
  <dimension ref="A1:R63"/>
  <sheetViews>
    <sheetView workbookViewId="0">
      <selection activeCell="C4" sqref="C4"/>
    </sheetView>
  </sheetViews>
  <sheetFormatPr defaultRowHeight="14.4" x14ac:dyDescent="0.3"/>
  <cols>
    <col min="3" max="3" width="17.44140625" bestFit="1" customWidth="1"/>
  </cols>
  <sheetData>
    <row r="1" spans="1:18" x14ac:dyDescent="0.3">
      <c r="D1" s="42" t="str">
        <f>LEFT(D3,FIND("_",D3)-1)</f>
        <v>0.05</v>
      </c>
      <c r="E1" s="43"/>
      <c r="F1" s="44"/>
      <c r="G1" s="43" t="str">
        <f t="shared" ref="G1:R1" si="0">LEFT(G3,FIND("_",G3)-1)</f>
        <v>0.1</v>
      </c>
      <c r="H1" s="43" t="str">
        <f t="shared" si="0"/>
        <v>0.1</v>
      </c>
      <c r="I1" s="44" t="str">
        <f t="shared" si="0"/>
        <v>0.1</v>
      </c>
      <c r="J1" s="43" t="str">
        <f t="shared" si="0"/>
        <v>0.5</v>
      </c>
      <c r="K1" s="43" t="str">
        <f t="shared" si="0"/>
        <v>0.5</v>
      </c>
      <c r="L1" s="44" t="str">
        <f t="shared" si="0"/>
        <v>0.5</v>
      </c>
      <c r="M1" s="43" t="str">
        <f t="shared" si="0"/>
        <v>0.9</v>
      </c>
      <c r="N1" s="43" t="str">
        <f t="shared" si="0"/>
        <v>0.9</v>
      </c>
      <c r="O1" s="44" t="str">
        <f t="shared" si="0"/>
        <v>0.9</v>
      </c>
      <c r="P1" s="43" t="str">
        <f t="shared" si="0"/>
        <v>0.95</v>
      </c>
      <c r="Q1" s="43" t="str">
        <f t="shared" si="0"/>
        <v>0.95</v>
      </c>
      <c r="R1" s="44" t="str">
        <f t="shared" si="0"/>
        <v>0.95</v>
      </c>
    </row>
    <row r="2" spans="1:18" x14ac:dyDescent="0.3">
      <c r="D2" s="18" t="str">
        <f t="shared" ref="D2:R2" si="1">RIGHT(D3,LEN(D3)-FIND("_",D3))</f>
        <v>20</v>
      </c>
      <c r="E2" t="str">
        <f t="shared" si="1"/>
        <v>50</v>
      </c>
      <c r="F2" s="19" t="str">
        <f t="shared" si="1"/>
        <v>100</v>
      </c>
      <c r="G2" t="str">
        <f t="shared" si="1"/>
        <v>20</v>
      </c>
      <c r="H2" t="str">
        <f t="shared" si="1"/>
        <v>50</v>
      </c>
      <c r="I2" s="19" t="str">
        <f t="shared" si="1"/>
        <v>100</v>
      </c>
      <c r="J2" t="str">
        <f t="shared" si="1"/>
        <v>20</v>
      </c>
      <c r="K2" t="str">
        <f t="shared" si="1"/>
        <v>50</v>
      </c>
      <c r="L2" s="19" t="str">
        <f t="shared" si="1"/>
        <v>100</v>
      </c>
      <c r="M2" t="str">
        <f t="shared" si="1"/>
        <v>20</v>
      </c>
      <c r="N2" t="str">
        <f t="shared" si="1"/>
        <v>50</v>
      </c>
      <c r="O2" s="19" t="str">
        <f t="shared" si="1"/>
        <v>100</v>
      </c>
      <c r="P2" t="str">
        <f t="shared" si="1"/>
        <v>20</v>
      </c>
      <c r="Q2" t="str">
        <f t="shared" si="1"/>
        <v>50</v>
      </c>
      <c r="R2" s="19" t="str">
        <f t="shared" si="1"/>
        <v>100</v>
      </c>
    </row>
    <row r="3" spans="1:18" x14ac:dyDescent="0.3">
      <c r="A3" t="s">
        <v>61</v>
      </c>
      <c r="B3" t="s">
        <v>0</v>
      </c>
      <c r="C3" t="s">
        <v>2</v>
      </c>
      <c r="D3" t="s">
        <v>101</v>
      </c>
      <c r="E3" t="s">
        <v>102</v>
      </c>
      <c r="F3" t="s">
        <v>103</v>
      </c>
      <c r="G3" t="s">
        <v>104</v>
      </c>
      <c r="H3" t="s">
        <v>105</v>
      </c>
      <c r="I3" t="s">
        <v>106</v>
      </c>
      <c r="J3" t="s">
        <v>107</v>
      </c>
      <c r="K3" t="s">
        <v>108</v>
      </c>
      <c r="L3" t="s">
        <v>109</v>
      </c>
      <c r="M3" t="s">
        <v>110</v>
      </c>
      <c r="N3" t="s">
        <v>111</v>
      </c>
      <c r="O3" t="s">
        <v>112</v>
      </c>
      <c r="P3" t="s">
        <v>113</v>
      </c>
      <c r="Q3" t="s">
        <v>114</v>
      </c>
      <c r="R3" t="s">
        <v>115</v>
      </c>
    </row>
    <row r="4" spans="1:18" x14ac:dyDescent="0.3">
      <c r="A4">
        <v>0.9</v>
      </c>
      <c r="B4" t="s">
        <v>31</v>
      </c>
      <c r="C4" t="s">
        <v>34</v>
      </c>
      <c r="D4" s="15">
        <v>0.94465854786496095</v>
      </c>
      <c r="E4" s="15">
        <v>0.95425970084543699</v>
      </c>
      <c r="F4" s="15">
        <v>0.91179425356640498</v>
      </c>
      <c r="G4" s="15">
        <v>0.95552514539856304</v>
      </c>
      <c r="H4" s="15">
        <v>0.90647626709573603</v>
      </c>
      <c r="I4" s="15">
        <v>0.89429999999999998</v>
      </c>
      <c r="J4" s="15">
        <v>0.90720000000000001</v>
      </c>
      <c r="K4" s="15">
        <v>0.90239999999999998</v>
      </c>
      <c r="L4" s="15">
        <v>0.90500000000000003</v>
      </c>
      <c r="M4" s="15">
        <v>0.94826412525527604</v>
      </c>
      <c r="N4" s="15">
        <v>0.91285140562249001</v>
      </c>
      <c r="O4" s="15">
        <v>0.90369999999999995</v>
      </c>
      <c r="P4" s="15">
        <v>0.94430538172715905</v>
      </c>
      <c r="Q4" s="15">
        <v>0.95370771899392903</v>
      </c>
      <c r="R4" s="15">
        <v>0.91872045065888697</v>
      </c>
    </row>
    <row r="5" spans="1:18" x14ac:dyDescent="0.3">
      <c r="A5">
        <v>0.9</v>
      </c>
      <c r="B5" t="s">
        <v>57</v>
      </c>
      <c r="C5" t="s">
        <v>34</v>
      </c>
      <c r="D5" s="15">
        <v>0.95966360380003102</v>
      </c>
      <c r="E5" s="15">
        <v>0.95750677506775095</v>
      </c>
      <c r="F5" s="15">
        <v>0.91296911158064198</v>
      </c>
      <c r="G5" s="15">
        <v>0.95289443813847896</v>
      </c>
      <c r="H5" s="15">
        <v>0.91018685955394796</v>
      </c>
      <c r="I5" s="15">
        <v>0.89749999999999996</v>
      </c>
      <c r="J5" s="15">
        <v>0.90569999999999995</v>
      </c>
      <c r="K5" s="15">
        <v>0.90010000000000001</v>
      </c>
      <c r="L5" s="15">
        <v>0.90339999999999998</v>
      </c>
      <c r="M5" s="15">
        <v>0.94954441913439602</v>
      </c>
      <c r="N5" s="15">
        <v>0.91170555108608198</v>
      </c>
      <c r="O5" s="15">
        <v>0.9042</v>
      </c>
      <c r="P5" s="15">
        <v>0.94776589049716797</v>
      </c>
      <c r="Q5" s="15">
        <v>0.95609386828160503</v>
      </c>
      <c r="R5" s="15">
        <v>0.91141277023629996</v>
      </c>
    </row>
    <row r="6" spans="1:18" x14ac:dyDescent="0.3">
      <c r="A6">
        <v>0.9</v>
      </c>
      <c r="B6" t="s">
        <v>56</v>
      </c>
      <c r="C6" t="s">
        <v>34</v>
      </c>
      <c r="D6" s="15">
        <v>0.95845092505487595</v>
      </c>
      <c r="E6" s="15">
        <v>0.95632904550859399</v>
      </c>
      <c r="F6" s="15">
        <v>0.91027962180647803</v>
      </c>
      <c r="G6" s="15">
        <v>0.95354634035803298</v>
      </c>
      <c r="H6" s="15">
        <v>0.91296035419601496</v>
      </c>
      <c r="I6" s="15">
        <v>0.9</v>
      </c>
      <c r="J6" s="15">
        <v>0.89870000000000005</v>
      </c>
      <c r="K6" s="15">
        <v>0.90390000000000004</v>
      </c>
      <c r="L6" s="15">
        <v>0.90280000000000005</v>
      </c>
      <c r="M6" s="15">
        <v>0.94960665830577995</v>
      </c>
      <c r="N6" s="15">
        <v>0.91168491911986305</v>
      </c>
      <c r="O6" s="15">
        <v>0.89949999999999997</v>
      </c>
      <c r="P6" s="15">
        <v>0.94169976171564695</v>
      </c>
      <c r="Q6" s="15">
        <v>0.95789587617707495</v>
      </c>
      <c r="R6" s="15">
        <v>0.91636473429951704</v>
      </c>
    </row>
    <row r="7" spans="1:18" x14ac:dyDescent="0.3">
      <c r="A7">
        <v>0.9</v>
      </c>
      <c r="B7" t="s">
        <v>31</v>
      </c>
      <c r="C7" t="s">
        <v>33</v>
      </c>
      <c r="D7" s="15">
        <v>0.63200000000000001</v>
      </c>
      <c r="E7" s="15">
        <v>0.88400000000000001</v>
      </c>
      <c r="F7" s="15">
        <v>0.93520000000000003</v>
      </c>
      <c r="G7" s="15">
        <v>0.83579999999999999</v>
      </c>
      <c r="H7" s="15">
        <v>0.93497589716122098</v>
      </c>
      <c r="I7" s="15">
        <v>0.89649999999999996</v>
      </c>
      <c r="J7" s="15">
        <v>0.88900000000000001</v>
      </c>
      <c r="K7" s="15">
        <v>0.93489999999999995</v>
      </c>
      <c r="L7" s="15">
        <v>0.91549999999999998</v>
      </c>
      <c r="M7" s="15">
        <v>0.83399999999999996</v>
      </c>
      <c r="N7" s="15">
        <v>0.94320000000000004</v>
      </c>
      <c r="O7" s="15">
        <v>0.90469999999999995</v>
      </c>
      <c r="P7" s="15">
        <v>0.62239999999999995</v>
      </c>
      <c r="Q7" s="15">
        <v>0.86578670716037798</v>
      </c>
      <c r="R7" s="15">
        <v>0.938587717543509</v>
      </c>
    </row>
    <row r="8" spans="1:18" x14ac:dyDescent="0.3">
      <c r="A8">
        <v>0.9</v>
      </c>
      <c r="B8" t="s">
        <v>57</v>
      </c>
      <c r="C8" t="s">
        <v>33</v>
      </c>
      <c r="D8" s="15">
        <v>0.62739999999999996</v>
      </c>
      <c r="E8" s="15">
        <v>0.88590000000000002</v>
      </c>
      <c r="F8" s="15">
        <v>0.93500000000000005</v>
      </c>
      <c r="G8" s="15">
        <v>0.8377</v>
      </c>
      <c r="H8" s="15">
        <v>0.93656557026911602</v>
      </c>
      <c r="I8" s="15">
        <v>0.89929999999999999</v>
      </c>
      <c r="J8" s="15">
        <v>0.88839999999999997</v>
      </c>
      <c r="K8" s="15">
        <v>0.93559999999999999</v>
      </c>
      <c r="L8" s="15">
        <v>0.91379999999999995</v>
      </c>
      <c r="M8" s="15">
        <v>0.83209999999999995</v>
      </c>
      <c r="N8" s="15">
        <v>0.94040000000000001</v>
      </c>
      <c r="O8" s="15">
        <v>0.90449999999999997</v>
      </c>
      <c r="P8" s="15">
        <v>0.62070000000000003</v>
      </c>
      <c r="Q8" s="15">
        <v>0.87234782608695605</v>
      </c>
      <c r="R8" s="15">
        <v>0.93619361936193601</v>
      </c>
    </row>
    <row r="9" spans="1:18" x14ac:dyDescent="0.3">
      <c r="A9">
        <v>0.9</v>
      </c>
      <c r="B9" t="s">
        <v>56</v>
      </c>
      <c r="C9" t="s">
        <v>33</v>
      </c>
      <c r="D9" s="15">
        <v>0.62319999999999998</v>
      </c>
      <c r="E9" s="15">
        <v>0.88749999999999996</v>
      </c>
      <c r="F9" s="15">
        <v>0.93200000000000005</v>
      </c>
      <c r="G9" s="15">
        <v>0.8397</v>
      </c>
      <c r="H9" s="15">
        <v>0.93597787940019095</v>
      </c>
      <c r="I9" s="15">
        <v>0.9022</v>
      </c>
      <c r="J9" s="15">
        <v>0.87880000000000003</v>
      </c>
      <c r="K9" s="15">
        <v>0.93789999999999996</v>
      </c>
      <c r="L9" s="15">
        <v>0.91300000000000003</v>
      </c>
      <c r="M9" s="15">
        <v>0.83120000000000005</v>
      </c>
      <c r="N9" s="15">
        <v>0.9385</v>
      </c>
      <c r="O9" s="15">
        <v>0.90059999999999996</v>
      </c>
      <c r="P9" s="15">
        <v>0.61240000000000006</v>
      </c>
      <c r="Q9" s="15">
        <v>0.87235526621715898</v>
      </c>
      <c r="R9" s="15">
        <v>0.93567426970788303</v>
      </c>
    </row>
    <row r="10" spans="1:18" x14ac:dyDescent="0.3">
      <c r="A10">
        <v>0.9</v>
      </c>
      <c r="B10" t="s">
        <v>31</v>
      </c>
      <c r="C10" t="s">
        <v>84</v>
      </c>
      <c r="D10" s="15">
        <v>0.896606156274665</v>
      </c>
      <c r="E10" s="15">
        <v>0.93846153846153801</v>
      </c>
      <c r="F10" s="15">
        <v>0.92438125329120602</v>
      </c>
      <c r="G10" s="15">
        <v>0.91748838263629195</v>
      </c>
      <c r="H10" s="15">
        <v>0.90760257853269199</v>
      </c>
      <c r="I10" s="15">
        <v>0.89165906557210906</v>
      </c>
      <c r="J10" s="15">
        <v>0.89658624486935601</v>
      </c>
      <c r="K10" s="15">
        <v>0.89351481184948001</v>
      </c>
      <c r="L10" s="15">
        <v>0.90722578062449999</v>
      </c>
      <c r="M10" s="15">
        <v>0.91392207212236198</v>
      </c>
      <c r="N10" s="15">
        <v>0.91376165383056296</v>
      </c>
      <c r="O10" s="15">
        <v>0.902286692857862</v>
      </c>
      <c r="P10" s="15">
        <v>0.89499447339333604</v>
      </c>
      <c r="Q10" s="15">
        <v>0.93705247408357395</v>
      </c>
      <c r="R10" s="15">
        <v>0.92994302595484302</v>
      </c>
    </row>
    <row r="11" spans="1:18" x14ac:dyDescent="0.3">
      <c r="A11">
        <v>0.9</v>
      </c>
      <c r="B11" t="s">
        <v>57</v>
      </c>
      <c r="C11" t="s">
        <v>84</v>
      </c>
      <c r="D11" s="15">
        <v>0.82690033329749502</v>
      </c>
      <c r="E11" s="15">
        <v>0.88509600731484295</v>
      </c>
      <c r="F11" s="15">
        <v>0.90916374561842805</v>
      </c>
      <c r="G11" s="15">
        <v>0.87934433032472203</v>
      </c>
      <c r="H11" s="15">
        <v>0.90529582540794895</v>
      </c>
      <c r="I11" s="15">
        <v>0.89419999999999999</v>
      </c>
      <c r="J11" s="15">
        <v>0.89627925585116996</v>
      </c>
      <c r="K11" s="15">
        <v>0.89346804041212402</v>
      </c>
      <c r="L11" s="15">
        <v>0.90537161148344503</v>
      </c>
      <c r="M11" s="15">
        <v>0.925572299551363</v>
      </c>
      <c r="N11" s="15">
        <v>0.91105891963647501</v>
      </c>
      <c r="O11" s="15">
        <v>0.90158955148324404</v>
      </c>
      <c r="P11" s="15">
        <v>0.92036659877800397</v>
      </c>
      <c r="Q11" s="15">
        <v>0.94859411890963696</v>
      </c>
      <c r="R11" s="15">
        <v>0.92801599644523403</v>
      </c>
    </row>
    <row r="12" spans="1:18" x14ac:dyDescent="0.3">
      <c r="A12">
        <v>0.9</v>
      </c>
      <c r="B12" t="s">
        <v>56</v>
      </c>
      <c r="C12" t="s">
        <v>84</v>
      </c>
      <c r="D12" s="15">
        <v>0.87571080422420799</v>
      </c>
      <c r="E12" s="15">
        <v>0.92578536791060495</v>
      </c>
      <c r="F12" s="15">
        <v>0.91863303498779503</v>
      </c>
      <c r="G12" s="15">
        <v>0.91495698213103904</v>
      </c>
      <c r="H12" s="15">
        <v>0.91193757600324299</v>
      </c>
      <c r="I12" s="15">
        <v>0.89869972785001495</v>
      </c>
      <c r="J12" s="15">
        <v>0.88231725811343598</v>
      </c>
      <c r="K12" s="15">
        <v>0.89182111200644598</v>
      </c>
      <c r="L12" s="15">
        <v>0.90791193324620501</v>
      </c>
      <c r="M12" s="15">
        <v>0.93695475165755504</v>
      </c>
      <c r="N12" s="15">
        <v>0.91014669926650404</v>
      </c>
      <c r="O12" s="15">
        <v>0.89872650090964201</v>
      </c>
      <c r="P12" s="15">
        <v>0.91718913270637403</v>
      </c>
      <c r="Q12" s="15">
        <v>0.95591247170421501</v>
      </c>
      <c r="R12" s="15">
        <v>0.92947896025177801</v>
      </c>
    </row>
    <row r="13" spans="1:18" x14ac:dyDescent="0.3">
      <c r="A13">
        <v>0.9</v>
      </c>
      <c r="B13" t="s">
        <v>31</v>
      </c>
      <c r="C13" t="s">
        <v>86</v>
      </c>
      <c r="D13" s="15">
        <v>0.65162492237631997</v>
      </c>
      <c r="E13" s="15">
        <v>0.88515377541636897</v>
      </c>
      <c r="F13" s="15">
        <v>0.92771573604060897</v>
      </c>
      <c r="G13" s="15">
        <v>0.84322694666805298</v>
      </c>
      <c r="H13" s="15">
        <v>0.92715367301002705</v>
      </c>
      <c r="I13" s="15">
        <v>0.89862033725089396</v>
      </c>
      <c r="J13" s="15">
        <v>0.92827766074831997</v>
      </c>
      <c r="K13" s="15">
        <v>0.91996384816228205</v>
      </c>
      <c r="L13" s="15">
        <v>0.913108839446783</v>
      </c>
      <c r="M13" s="15">
        <v>0.84337600166510596</v>
      </c>
      <c r="N13" s="15">
        <v>0.93051020408163299</v>
      </c>
      <c r="O13" s="15">
        <v>0.90922131147540997</v>
      </c>
      <c r="P13" s="15">
        <v>0.64252312168762304</v>
      </c>
      <c r="Q13" s="15">
        <v>0.88014088884284702</v>
      </c>
      <c r="R13" s="15">
        <v>0.93202110389610404</v>
      </c>
    </row>
    <row r="14" spans="1:18" x14ac:dyDescent="0.3">
      <c r="A14">
        <v>0.9</v>
      </c>
      <c r="B14" t="s">
        <v>57</v>
      </c>
      <c r="C14" t="s">
        <v>86</v>
      </c>
      <c r="D14" s="15">
        <v>0.80591691145614797</v>
      </c>
      <c r="E14" s="15">
        <v>0.88532110091743099</v>
      </c>
      <c r="F14" s="15">
        <v>0.91199667911996696</v>
      </c>
      <c r="G14" s="15">
        <v>0.86702946914467605</v>
      </c>
      <c r="H14" s="15">
        <v>0.91667518658623903</v>
      </c>
      <c r="I14" s="15">
        <v>0.90647482014388503</v>
      </c>
      <c r="J14" s="15">
        <v>0.93335337743034696</v>
      </c>
      <c r="K14" s="15">
        <v>0.91823204419889504</v>
      </c>
      <c r="L14" s="15">
        <v>0.91208901363271899</v>
      </c>
      <c r="M14" s="15">
        <v>0.835183072295405</v>
      </c>
      <c r="N14" s="15">
        <v>0.93228266395526205</v>
      </c>
      <c r="O14" s="15">
        <v>0.90754332313965302</v>
      </c>
      <c r="P14" s="15">
        <v>0.63047267507433602</v>
      </c>
      <c r="Q14" s="15">
        <v>0.882134521536177</v>
      </c>
      <c r="R14" s="15">
        <v>0.93239152371342104</v>
      </c>
    </row>
    <row r="15" spans="1:18" x14ac:dyDescent="0.3">
      <c r="A15">
        <v>0.9</v>
      </c>
      <c r="B15" t="s">
        <v>56</v>
      </c>
      <c r="C15" t="s">
        <v>86</v>
      </c>
      <c r="D15" s="15">
        <v>0.66673635793435104</v>
      </c>
      <c r="E15" s="15">
        <v>0.88572310224233697</v>
      </c>
      <c r="F15" s="15">
        <v>0.92023785113799506</v>
      </c>
      <c r="G15" s="15">
        <v>0.84874125143633095</v>
      </c>
      <c r="H15" s="15">
        <v>0.92672721706296601</v>
      </c>
      <c r="I15" s="15">
        <v>0.90636205306833295</v>
      </c>
      <c r="J15" s="15">
        <v>0.91444332998997002</v>
      </c>
      <c r="K15" s="15">
        <v>0.92710430930326204</v>
      </c>
      <c r="L15" s="15">
        <v>0.91204167501502698</v>
      </c>
      <c r="M15" s="15">
        <v>0.83113294442738705</v>
      </c>
      <c r="N15" s="15">
        <v>0.93497576736672094</v>
      </c>
      <c r="O15" s="15">
        <v>0.90284790951323002</v>
      </c>
      <c r="P15" s="15">
        <v>0.613126079447323</v>
      </c>
      <c r="Q15" s="15">
        <v>0.88029567519858798</v>
      </c>
      <c r="R15" s="15">
        <v>0.93398975183361799</v>
      </c>
    </row>
    <row r="16" spans="1:18" x14ac:dyDescent="0.3">
      <c r="A16">
        <v>0.9</v>
      </c>
      <c r="B16" t="s">
        <v>31</v>
      </c>
      <c r="C16" t="s">
        <v>88</v>
      </c>
      <c r="D16" s="15">
        <v>0.84230465666929799</v>
      </c>
      <c r="E16" s="15">
        <v>0.936324786324786</v>
      </c>
      <c r="F16" s="15">
        <v>0.90500263296471795</v>
      </c>
      <c r="G16" s="15">
        <v>0.91397483849030903</v>
      </c>
      <c r="H16" s="15">
        <v>0.90453289675637005</v>
      </c>
      <c r="I16" s="15">
        <v>0.890949630080065</v>
      </c>
      <c r="J16" s="15">
        <v>0.89418360196215796</v>
      </c>
      <c r="K16" s="15">
        <v>0.89211369095276205</v>
      </c>
      <c r="L16" s="15">
        <v>0.90662530024019194</v>
      </c>
      <c r="M16" s="15">
        <v>0.91135424807413201</v>
      </c>
      <c r="N16" s="15">
        <v>0.91092419943250902</v>
      </c>
      <c r="O16" s="15">
        <v>0.90057419159867003</v>
      </c>
      <c r="P16" s="15">
        <v>0.84667614084951803</v>
      </c>
      <c r="Q16" s="15">
        <v>0.93544939617398704</v>
      </c>
      <c r="R16" s="15">
        <v>0.90789196032918296</v>
      </c>
    </row>
    <row r="17" spans="1:18" x14ac:dyDescent="0.3">
      <c r="A17">
        <v>0.9</v>
      </c>
      <c r="B17" t="s">
        <v>57</v>
      </c>
      <c r="C17" t="s">
        <v>88</v>
      </c>
      <c r="D17" s="15">
        <v>0.81840662294376898</v>
      </c>
      <c r="E17" s="15">
        <v>0.87564766839378205</v>
      </c>
      <c r="F17" s="15">
        <v>0.901251877816725</v>
      </c>
      <c r="G17" s="15">
        <v>0.87228965660338198</v>
      </c>
      <c r="H17" s="15">
        <v>0.89718690559615599</v>
      </c>
      <c r="I17" s="15">
        <v>0.89100000000000001</v>
      </c>
      <c r="J17" s="15">
        <v>0.89377875575114996</v>
      </c>
      <c r="K17" s="15">
        <v>0.89216765029508804</v>
      </c>
      <c r="L17" s="15">
        <v>0.904871461438432</v>
      </c>
      <c r="M17" s="15">
        <v>0.92373173818014498</v>
      </c>
      <c r="N17" s="15">
        <v>0.90881241703257398</v>
      </c>
      <c r="O17" s="15">
        <v>0.90088083426141496</v>
      </c>
      <c r="P17" s="15">
        <v>0.83523421588594704</v>
      </c>
      <c r="Q17" s="15">
        <v>0.94762824640480803</v>
      </c>
      <c r="R17" s="15">
        <v>0.89402355032215097</v>
      </c>
    </row>
    <row r="18" spans="1:18" x14ac:dyDescent="0.3">
      <c r="A18">
        <v>0.9</v>
      </c>
      <c r="B18" t="s">
        <v>56</v>
      </c>
      <c r="C18" t="s">
        <v>88</v>
      </c>
      <c r="D18" s="15">
        <v>0.85228811264554605</v>
      </c>
      <c r="E18" s="15">
        <v>0.92262281256588696</v>
      </c>
      <c r="F18" s="15">
        <v>0.90530919446704605</v>
      </c>
      <c r="G18" s="15">
        <v>0.91043459077873401</v>
      </c>
      <c r="H18" s="15">
        <v>0.90869477097689499</v>
      </c>
      <c r="I18" s="15">
        <v>0.89708698719887103</v>
      </c>
      <c r="J18" s="15">
        <v>0.88009301385097605</v>
      </c>
      <c r="K18" s="15">
        <v>0.89101531023368297</v>
      </c>
      <c r="L18" s="15">
        <v>0.90761033477430397</v>
      </c>
      <c r="M18" s="15">
        <v>0.93614051413283705</v>
      </c>
      <c r="N18" s="15">
        <v>0.90963732681336595</v>
      </c>
      <c r="O18" s="15">
        <v>0.898221144127754</v>
      </c>
      <c r="P18" s="15">
        <v>0.78892371995820298</v>
      </c>
      <c r="Q18" s="15">
        <v>0.95515791743020395</v>
      </c>
      <c r="R18" s="15">
        <v>0.89509266814314004</v>
      </c>
    </row>
    <row r="19" spans="1:18" x14ac:dyDescent="0.3">
      <c r="A19">
        <v>0.9</v>
      </c>
      <c r="B19" t="s">
        <v>31</v>
      </c>
      <c r="C19" t="s">
        <v>90</v>
      </c>
      <c r="D19" s="15">
        <v>0.64965845580625103</v>
      </c>
      <c r="E19" s="15">
        <v>0.88239501379380803</v>
      </c>
      <c r="F19" s="15">
        <v>0.92568527918781696</v>
      </c>
      <c r="G19" s="15">
        <v>0.83813286204387105</v>
      </c>
      <c r="H19" s="15">
        <v>0.923879680785758</v>
      </c>
      <c r="I19" s="15">
        <v>0.89749616760347495</v>
      </c>
      <c r="J19" s="15">
        <v>0.91824656434948304</v>
      </c>
      <c r="K19" s="15">
        <v>0.91865836513356103</v>
      </c>
      <c r="L19" s="15">
        <v>0.91260773702144704</v>
      </c>
      <c r="M19" s="15">
        <v>0.83619523363513404</v>
      </c>
      <c r="N19" s="15">
        <v>0.92785714285714305</v>
      </c>
      <c r="O19" s="15">
        <v>0.90829918032786905</v>
      </c>
      <c r="P19" s="15">
        <v>0.64023693234957901</v>
      </c>
      <c r="Q19" s="15">
        <v>0.87869056251942401</v>
      </c>
      <c r="R19" s="15">
        <v>0.93110795454545503</v>
      </c>
    </row>
    <row r="20" spans="1:18" x14ac:dyDescent="0.3">
      <c r="A20">
        <v>0.9</v>
      </c>
      <c r="B20" t="s">
        <v>57</v>
      </c>
      <c r="C20" t="s">
        <v>90</v>
      </c>
      <c r="D20" s="15">
        <v>0.79678976080570696</v>
      </c>
      <c r="E20" s="15">
        <v>0.875834028356964</v>
      </c>
      <c r="F20" s="15">
        <v>0.90452469904524702</v>
      </c>
      <c r="G20" s="15">
        <v>0.861895471814355</v>
      </c>
      <c r="H20" s="15">
        <v>0.90859830283202103</v>
      </c>
      <c r="I20" s="15">
        <v>0.90246659815005104</v>
      </c>
      <c r="J20" s="15">
        <v>0.92333132892363201</v>
      </c>
      <c r="K20" s="15">
        <v>0.91612255148166799</v>
      </c>
      <c r="L20" s="15">
        <v>0.91148757016840398</v>
      </c>
      <c r="M20" s="15">
        <v>0.83176019085157105</v>
      </c>
      <c r="N20" s="15">
        <v>0.931062531774276</v>
      </c>
      <c r="O20" s="15">
        <v>0.90662589194699295</v>
      </c>
      <c r="P20" s="15">
        <v>0.62924228442530505</v>
      </c>
      <c r="Q20" s="15">
        <v>0.88117971568003395</v>
      </c>
      <c r="R20" s="15">
        <v>0.93188698284561</v>
      </c>
    </row>
    <row r="21" spans="1:18" x14ac:dyDescent="0.3">
      <c r="A21">
        <v>0.9</v>
      </c>
      <c r="B21" t="s">
        <v>56</v>
      </c>
      <c r="C21" t="s">
        <v>90</v>
      </c>
      <c r="D21" s="15">
        <v>0.66328664018398498</v>
      </c>
      <c r="E21" s="15">
        <v>0.88346019337584902</v>
      </c>
      <c r="F21" s="15">
        <v>0.91736723395529995</v>
      </c>
      <c r="G21" s="15">
        <v>0.844353912044291</v>
      </c>
      <c r="H21" s="15">
        <v>0.92438003877946695</v>
      </c>
      <c r="I21" s="15">
        <v>0.90492777379366895</v>
      </c>
      <c r="J21" s="15">
        <v>0.90170511534603803</v>
      </c>
      <c r="K21" s="15">
        <v>0.92599677809101899</v>
      </c>
      <c r="L21" s="15">
        <v>0.91184131436585902</v>
      </c>
      <c r="M21" s="15">
        <v>0.82980247671681495</v>
      </c>
      <c r="N21" s="15">
        <v>0.93406704361874004</v>
      </c>
      <c r="O21" s="15">
        <v>0.90264593011512795</v>
      </c>
      <c r="P21" s="15">
        <v>0.61251650919435097</v>
      </c>
      <c r="Q21" s="15">
        <v>0.87952338923212703</v>
      </c>
      <c r="R21" s="15">
        <v>0.933889279614187</v>
      </c>
    </row>
    <row r="22" spans="1:18" x14ac:dyDescent="0.3">
      <c r="A22">
        <v>0.9</v>
      </c>
      <c r="B22" t="s">
        <v>31</v>
      </c>
      <c r="C22" t="s">
        <v>55</v>
      </c>
      <c r="D22" s="15">
        <v>0.92069999999999996</v>
      </c>
      <c r="E22" s="15">
        <v>0.96140000000000003</v>
      </c>
      <c r="F22" s="15">
        <v>0.93520000000000003</v>
      </c>
      <c r="G22" s="15">
        <v>0.95889999999999997</v>
      </c>
      <c r="H22" s="15">
        <v>0.90439999999999998</v>
      </c>
      <c r="I22" s="15">
        <v>0.90090000000000003</v>
      </c>
      <c r="J22" s="15">
        <v>0.95609999999999995</v>
      </c>
      <c r="K22" s="15">
        <v>0.93489999999999995</v>
      </c>
      <c r="L22" s="15">
        <v>0.91549999999999998</v>
      </c>
      <c r="M22" s="15">
        <v>0.9526</v>
      </c>
      <c r="N22" s="15">
        <v>0.90890000000000004</v>
      </c>
      <c r="O22" s="15">
        <v>0.91</v>
      </c>
      <c r="P22" s="15">
        <v>0.92469999999999997</v>
      </c>
      <c r="Q22" s="15">
        <v>0.96020000000000005</v>
      </c>
      <c r="R22" s="15">
        <v>0.93840000000000001</v>
      </c>
    </row>
    <row r="23" spans="1:18" x14ac:dyDescent="0.3">
      <c r="A23">
        <v>0.9</v>
      </c>
      <c r="B23" t="s">
        <v>57</v>
      </c>
      <c r="C23" t="s">
        <v>55</v>
      </c>
      <c r="D23" s="15">
        <v>0.92430000000000001</v>
      </c>
      <c r="E23" s="15">
        <v>0.96340000000000003</v>
      </c>
      <c r="F23" s="15">
        <v>0.93500000000000005</v>
      </c>
      <c r="G23" s="15">
        <v>0.95669999999999999</v>
      </c>
      <c r="H23" s="15">
        <v>0.90510000000000002</v>
      </c>
      <c r="I23" s="15">
        <v>0.90110000000000001</v>
      </c>
      <c r="J23" s="15">
        <v>0.96020000000000005</v>
      </c>
      <c r="K23" s="15">
        <v>0.93559999999999999</v>
      </c>
      <c r="L23" s="15">
        <v>0.91379999999999995</v>
      </c>
      <c r="M23" s="15">
        <v>0.95409999999999995</v>
      </c>
      <c r="N23" s="15">
        <v>0.90669999999999995</v>
      </c>
      <c r="O23" s="15">
        <v>0.90800000000000003</v>
      </c>
      <c r="P23" s="15">
        <v>0.93</v>
      </c>
      <c r="Q23" s="15">
        <v>0.96250000000000002</v>
      </c>
      <c r="R23" s="15">
        <v>0.93610000000000004</v>
      </c>
    </row>
    <row r="24" spans="1:18" x14ac:dyDescent="0.3">
      <c r="A24">
        <v>0.9</v>
      </c>
      <c r="B24" t="s">
        <v>56</v>
      </c>
      <c r="C24" t="s">
        <v>55</v>
      </c>
      <c r="D24" s="15">
        <v>0.92859999999999998</v>
      </c>
      <c r="E24" s="15">
        <v>0.96240000000000003</v>
      </c>
      <c r="F24" s="15">
        <v>0.93200000000000005</v>
      </c>
      <c r="G24" s="15">
        <v>0.95709999999999995</v>
      </c>
      <c r="H24" s="15">
        <v>0.90720000000000001</v>
      </c>
      <c r="I24" s="15">
        <v>0.90459999999999996</v>
      </c>
      <c r="J24" s="15">
        <v>0.95640000000000003</v>
      </c>
      <c r="K24" s="15">
        <v>0.93789999999999996</v>
      </c>
      <c r="L24" s="15">
        <v>0.91300000000000003</v>
      </c>
      <c r="M24" s="15">
        <v>0.95409999999999995</v>
      </c>
      <c r="N24" s="15">
        <v>0.90659999999999996</v>
      </c>
      <c r="O24" s="15">
        <v>0.90129999999999999</v>
      </c>
      <c r="P24" s="15">
        <v>0.92510000000000003</v>
      </c>
      <c r="Q24" s="15">
        <v>0.96399999999999997</v>
      </c>
      <c r="R24" s="15">
        <v>0.93530000000000002</v>
      </c>
    </row>
    <row r="25" spans="1:18" x14ac:dyDescent="0.3">
      <c r="A25">
        <v>0.9</v>
      </c>
      <c r="B25" t="s">
        <v>31</v>
      </c>
      <c r="C25" t="s">
        <v>32</v>
      </c>
      <c r="D25" s="15">
        <v>0.71121631463947599</v>
      </c>
      <c r="E25" s="15">
        <v>0.95816171688705798</v>
      </c>
      <c r="F25" s="15">
        <v>0.88668381722405998</v>
      </c>
      <c r="G25" s="15">
        <v>0.93133979284998303</v>
      </c>
      <c r="H25" s="15">
        <v>0.88844819038175504</v>
      </c>
      <c r="I25" s="15">
        <v>0.88197057817310998</v>
      </c>
      <c r="J25" s="15">
        <v>0.88900000000000001</v>
      </c>
      <c r="K25" s="15">
        <v>0.88149999999999995</v>
      </c>
      <c r="L25" s="15">
        <v>0.91549999999999998</v>
      </c>
      <c r="M25" s="15">
        <v>0.94622191967324698</v>
      </c>
      <c r="N25" s="15">
        <v>0.91255020080321303</v>
      </c>
      <c r="O25" s="15">
        <v>0.90469999999999995</v>
      </c>
      <c r="P25" s="15">
        <v>0.71997024916325802</v>
      </c>
      <c r="Q25" s="15">
        <v>0.95685169124024305</v>
      </c>
      <c r="R25" s="15">
        <v>0.88821640316205497</v>
      </c>
    </row>
    <row r="26" spans="1:18" x14ac:dyDescent="0.3">
      <c r="A26">
        <v>0.9</v>
      </c>
      <c r="B26" t="s">
        <v>57</v>
      </c>
      <c r="C26" t="s">
        <v>32</v>
      </c>
      <c r="D26" s="15">
        <v>0.71433962264150896</v>
      </c>
      <c r="E26" s="15">
        <v>0.96032520325203297</v>
      </c>
      <c r="F26" s="15">
        <v>0.88714889386030304</v>
      </c>
      <c r="G26" s="15">
        <v>0.92694449131095003</v>
      </c>
      <c r="H26" s="15">
        <v>0.88857354392892396</v>
      </c>
      <c r="I26" s="15">
        <v>0.88430606617647101</v>
      </c>
      <c r="J26" s="15">
        <v>0.88839999999999997</v>
      </c>
      <c r="K26" s="15">
        <v>0.88029999999999997</v>
      </c>
      <c r="L26" s="15">
        <v>0.91379999999999995</v>
      </c>
      <c r="M26" s="15">
        <v>0.94772209567198196</v>
      </c>
      <c r="N26" s="15">
        <v>0.911806114239743</v>
      </c>
      <c r="O26" s="15">
        <v>0.90449999999999997</v>
      </c>
      <c r="P26" s="15">
        <v>0.73373906428299696</v>
      </c>
      <c r="Q26" s="15">
        <v>0.95944630691034904</v>
      </c>
      <c r="R26" s="15">
        <v>0.88015304862996802</v>
      </c>
    </row>
    <row r="27" spans="1:18" x14ac:dyDescent="0.3">
      <c r="A27">
        <v>0.9</v>
      </c>
      <c r="B27" t="s">
        <v>56</v>
      </c>
      <c r="C27" t="s">
        <v>32</v>
      </c>
      <c r="D27" s="15">
        <v>0.72758489126287695</v>
      </c>
      <c r="E27" s="15">
        <v>0.95935574532483003</v>
      </c>
      <c r="F27" s="15">
        <v>0.88159509202454001</v>
      </c>
      <c r="G27" s="15">
        <v>0.92798388450562397</v>
      </c>
      <c r="H27" s="15">
        <v>0.89395052657359797</v>
      </c>
      <c r="I27" s="15">
        <v>0.88752156411730898</v>
      </c>
      <c r="J27" s="15">
        <v>0.87880000000000003</v>
      </c>
      <c r="K27" s="15">
        <v>0.88549999999999995</v>
      </c>
      <c r="L27" s="15">
        <v>0.91300000000000003</v>
      </c>
      <c r="M27" s="15">
        <v>0.94766845285600299</v>
      </c>
      <c r="N27" s="15">
        <v>0.91088114136441301</v>
      </c>
      <c r="O27" s="15">
        <v>0.90059999999999996</v>
      </c>
      <c r="P27" s="15">
        <v>0.71639530480878499</v>
      </c>
      <c r="Q27" s="15">
        <v>0.96103474401991595</v>
      </c>
      <c r="R27" s="15">
        <v>0.88860167405219104</v>
      </c>
    </row>
    <row r="28" spans="1:18" x14ac:dyDescent="0.3">
      <c r="A28">
        <v>0.9</v>
      </c>
      <c r="B28" t="s">
        <v>31</v>
      </c>
      <c r="C28" t="s">
        <v>58</v>
      </c>
      <c r="D28" s="15" t="s">
        <v>59</v>
      </c>
      <c r="E28" s="15" t="s">
        <v>59</v>
      </c>
      <c r="F28" s="15" t="s">
        <v>59</v>
      </c>
      <c r="G28" s="15" t="s">
        <v>59</v>
      </c>
      <c r="H28" s="15" t="s">
        <v>59</v>
      </c>
      <c r="I28" s="15" t="s">
        <v>59</v>
      </c>
      <c r="J28" s="15">
        <v>0.90639999999999998</v>
      </c>
      <c r="K28" s="15">
        <v>0.90090000000000003</v>
      </c>
      <c r="L28" s="15">
        <v>0.90010000000000001</v>
      </c>
      <c r="M28" s="15" t="s">
        <v>59</v>
      </c>
      <c r="N28" s="15" t="s">
        <v>59</v>
      </c>
      <c r="O28" s="15" t="s">
        <v>59</v>
      </c>
      <c r="P28" s="15" t="s">
        <v>59</v>
      </c>
      <c r="Q28" s="15" t="s">
        <v>59</v>
      </c>
      <c r="R28" s="15" t="s">
        <v>59</v>
      </c>
    </row>
    <row r="29" spans="1:18" x14ac:dyDescent="0.3">
      <c r="A29">
        <v>0.9</v>
      </c>
      <c r="B29" t="s">
        <v>57</v>
      </c>
      <c r="C29" t="s">
        <v>58</v>
      </c>
      <c r="D29" s="15" t="s">
        <v>59</v>
      </c>
      <c r="E29" s="15" t="s">
        <v>59</v>
      </c>
      <c r="F29" s="15" t="s">
        <v>59</v>
      </c>
      <c r="G29" s="15" t="s">
        <v>59</v>
      </c>
      <c r="H29" s="15" t="s">
        <v>59</v>
      </c>
      <c r="I29" s="15" t="s">
        <v>59</v>
      </c>
      <c r="J29" s="15">
        <v>0.82289999999999996</v>
      </c>
      <c r="K29" s="15">
        <v>0.6774</v>
      </c>
      <c r="L29" s="15">
        <v>0.49230000000000002</v>
      </c>
      <c r="M29" s="15" t="s">
        <v>59</v>
      </c>
      <c r="N29" s="15" t="s">
        <v>59</v>
      </c>
      <c r="O29" s="15" t="s">
        <v>59</v>
      </c>
      <c r="P29" s="15" t="s">
        <v>59</v>
      </c>
      <c r="Q29" s="15" t="s">
        <v>59</v>
      </c>
      <c r="R29" s="15" t="s">
        <v>59</v>
      </c>
    </row>
    <row r="30" spans="1:18" x14ac:dyDescent="0.3">
      <c r="A30">
        <v>0.9</v>
      </c>
      <c r="B30" t="s">
        <v>56</v>
      </c>
      <c r="C30" t="s">
        <v>58</v>
      </c>
      <c r="D30" s="15" t="s">
        <v>59</v>
      </c>
      <c r="E30" s="15" t="s">
        <v>59</v>
      </c>
      <c r="F30" s="15" t="s">
        <v>59</v>
      </c>
      <c r="G30" s="15" t="s">
        <v>59</v>
      </c>
      <c r="H30" s="15" t="s">
        <v>59</v>
      </c>
      <c r="I30" s="15" t="s">
        <v>59</v>
      </c>
      <c r="J30" s="15">
        <v>0.8448</v>
      </c>
      <c r="K30" s="15">
        <v>0.75139999999999996</v>
      </c>
      <c r="L30" s="15">
        <v>0.61680000000000001</v>
      </c>
      <c r="M30" s="15" t="s">
        <v>59</v>
      </c>
      <c r="N30" s="15" t="s">
        <v>59</v>
      </c>
      <c r="O30" s="15" t="s">
        <v>59</v>
      </c>
      <c r="P30" s="15" t="s">
        <v>59</v>
      </c>
      <c r="Q30" s="15" t="s">
        <v>59</v>
      </c>
      <c r="R30" s="15" t="s">
        <v>59</v>
      </c>
    </row>
    <row r="31" spans="1:18" x14ac:dyDescent="0.3">
      <c r="A31">
        <v>0.9</v>
      </c>
      <c r="B31" t="s">
        <v>31</v>
      </c>
      <c r="C31" t="s">
        <v>92</v>
      </c>
      <c r="D31" s="15">
        <v>0.94219477627049997</v>
      </c>
      <c r="E31" s="15">
        <v>0.88470000000000004</v>
      </c>
      <c r="F31" s="15">
        <v>0.90770627395602199</v>
      </c>
      <c r="G31" s="15">
        <v>0.85277636271013801</v>
      </c>
      <c r="H31" s="15">
        <v>0.90489680291380004</v>
      </c>
      <c r="I31" s="15">
        <v>0.89252525252525206</v>
      </c>
      <c r="J31" s="15">
        <v>0.90295147573786905</v>
      </c>
      <c r="K31" s="15">
        <v>0.89588958895889603</v>
      </c>
      <c r="L31" s="15">
        <v>0.90867260178053399</v>
      </c>
      <c r="M31" s="15">
        <v>0.86575735821967004</v>
      </c>
      <c r="N31" s="15">
        <v>0.91196046793061702</v>
      </c>
      <c r="O31" s="15">
        <v>0.90348848899165601</v>
      </c>
      <c r="P31" s="15">
        <v>0.93988505747126405</v>
      </c>
      <c r="Q31" s="15">
        <v>0.91011120263591405</v>
      </c>
      <c r="R31" s="15">
        <v>0.91109306810108603</v>
      </c>
    </row>
    <row r="32" spans="1:18" x14ac:dyDescent="0.3">
      <c r="A32">
        <v>0.9</v>
      </c>
      <c r="B32" t="s">
        <v>57</v>
      </c>
      <c r="C32" t="s">
        <v>92</v>
      </c>
      <c r="D32" s="15">
        <v>0.98570000000000002</v>
      </c>
      <c r="E32" s="15">
        <v>0.92510000000000003</v>
      </c>
      <c r="F32" s="15">
        <v>0.91869999999999996</v>
      </c>
      <c r="G32" s="15">
        <v>0.92520000000000002</v>
      </c>
      <c r="H32" s="15">
        <v>0.91869999999999996</v>
      </c>
      <c r="I32" s="15">
        <v>0.90190000000000003</v>
      </c>
      <c r="J32" s="15">
        <v>0.90439999999999998</v>
      </c>
      <c r="K32" s="15">
        <v>0.89608960896089596</v>
      </c>
      <c r="L32" s="15">
        <v>0.90720000000000001</v>
      </c>
      <c r="M32" s="15">
        <v>0.87596816976127301</v>
      </c>
      <c r="N32" s="15">
        <v>0.90884174195513101</v>
      </c>
      <c r="O32" s="15">
        <v>0.90240951708841599</v>
      </c>
      <c r="P32" s="15">
        <v>0.92347072722499302</v>
      </c>
      <c r="Q32" s="15">
        <v>0.92996435311386005</v>
      </c>
      <c r="R32" s="15">
        <v>0.902806018706791</v>
      </c>
    </row>
    <row r="33" spans="1:18" x14ac:dyDescent="0.3">
      <c r="A33">
        <v>0.9</v>
      </c>
      <c r="B33" t="s">
        <v>56</v>
      </c>
      <c r="C33" t="s">
        <v>92</v>
      </c>
      <c r="D33" s="15">
        <v>0.96539618856569698</v>
      </c>
      <c r="E33" s="15">
        <v>0.89190000000000003</v>
      </c>
      <c r="F33" s="15">
        <v>0.90647915620291297</v>
      </c>
      <c r="G33" s="15">
        <v>0.86351706036745401</v>
      </c>
      <c r="H33" s="15">
        <v>0.90880693268843205</v>
      </c>
      <c r="I33" s="15">
        <v>0.90007051475773103</v>
      </c>
      <c r="J33" s="15">
        <v>0.88515546639919795</v>
      </c>
      <c r="K33" s="15">
        <v>0.89326123961149495</v>
      </c>
      <c r="L33" s="15">
        <v>0.90839006808169798</v>
      </c>
      <c r="M33" s="15">
        <v>0.90877816002663403</v>
      </c>
      <c r="N33" s="15">
        <v>0.90925663358314801</v>
      </c>
      <c r="O33" s="15">
        <v>0.89904088844018204</v>
      </c>
      <c r="P33" s="15">
        <v>0.90131195335277003</v>
      </c>
      <c r="Q33" s="15">
        <v>0.94638098283765104</v>
      </c>
      <c r="R33" s="15">
        <v>0.90863972450116504</v>
      </c>
    </row>
    <row r="34" spans="1:18" x14ac:dyDescent="0.3">
      <c r="A34">
        <v>0.95</v>
      </c>
      <c r="B34" t="s">
        <v>31</v>
      </c>
      <c r="C34" t="s">
        <v>34</v>
      </c>
      <c r="D34" s="15">
        <v>0.97132726992446405</v>
      </c>
      <c r="E34" s="15">
        <v>0.97908085844352899</v>
      </c>
      <c r="F34" s="15">
        <v>0.96092023307213204</v>
      </c>
      <c r="G34" s="15">
        <v>0.980499486828601</v>
      </c>
      <c r="H34" s="15">
        <v>0.95625502815768304</v>
      </c>
      <c r="I34" s="15">
        <v>0.94879999999999998</v>
      </c>
      <c r="J34" s="15">
        <v>0.94969999999999999</v>
      </c>
      <c r="K34" s="15">
        <v>0.95150000000000001</v>
      </c>
      <c r="L34" s="15">
        <v>0.95409999999999995</v>
      </c>
      <c r="M34" s="15">
        <v>0.97889720898570498</v>
      </c>
      <c r="N34" s="15">
        <v>0.95712851405622501</v>
      </c>
      <c r="O34" s="15">
        <v>0.95179999999999998</v>
      </c>
      <c r="P34" s="15">
        <v>0.97058823529411797</v>
      </c>
      <c r="Q34" s="15">
        <v>0.97745013009540305</v>
      </c>
      <c r="R34" s="15">
        <v>0.96459108741575295</v>
      </c>
    </row>
    <row r="35" spans="1:18" x14ac:dyDescent="0.3">
      <c r="A35">
        <v>0.95</v>
      </c>
      <c r="B35" t="s">
        <v>57</v>
      </c>
      <c r="C35" t="s">
        <v>34</v>
      </c>
      <c r="D35" s="15">
        <v>0.97523750194673697</v>
      </c>
      <c r="E35" s="15">
        <v>0.982764227642276</v>
      </c>
      <c r="F35" s="15">
        <v>0.95733977261293901</v>
      </c>
      <c r="G35" s="15">
        <v>0.980136208853575</v>
      </c>
      <c r="H35" s="15">
        <v>0.95459111914808104</v>
      </c>
      <c r="I35" s="15">
        <v>0.95020000000000004</v>
      </c>
      <c r="J35" s="15">
        <v>0.95340000000000003</v>
      </c>
      <c r="K35" s="15">
        <v>0.95189999999999997</v>
      </c>
      <c r="L35" s="15">
        <v>0.95109999999999995</v>
      </c>
      <c r="M35" s="15">
        <v>0.97744874715261998</v>
      </c>
      <c r="N35" s="15">
        <v>0.95826629123089302</v>
      </c>
      <c r="O35" s="15">
        <v>0.95569999999999999</v>
      </c>
      <c r="P35" s="15">
        <v>0.97404027690371298</v>
      </c>
      <c r="Q35" s="15">
        <v>0.97923650913809901</v>
      </c>
      <c r="R35" s="15">
        <v>0.96339869281045798</v>
      </c>
    </row>
    <row r="36" spans="1:18" x14ac:dyDescent="0.3">
      <c r="A36">
        <v>0.95</v>
      </c>
      <c r="B36" t="s">
        <v>56</v>
      </c>
      <c r="C36" t="s">
        <v>34</v>
      </c>
      <c r="D36" s="15">
        <v>0.97554092191909703</v>
      </c>
      <c r="E36" s="15">
        <v>0.97978596908442295</v>
      </c>
      <c r="F36" s="15">
        <v>0.95855964594649001</v>
      </c>
      <c r="G36" s="15">
        <v>0.98085202809879901</v>
      </c>
      <c r="H36" s="15">
        <v>0.95612799356007205</v>
      </c>
      <c r="I36" s="15">
        <v>0.95209999999999995</v>
      </c>
      <c r="J36" s="15">
        <v>0.94930000000000003</v>
      </c>
      <c r="K36" s="15">
        <v>0.95499999999999996</v>
      </c>
      <c r="L36" s="15">
        <v>0.9506</v>
      </c>
      <c r="M36" s="15">
        <v>0.977653631284916</v>
      </c>
      <c r="N36" s="15">
        <v>0.95719883452225496</v>
      </c>
      <c r="O36" s="15">
        <v>0.95009999999999994</v>
      </c>
      <c r="P36" s="15">
        <v>0.96902303415409097</v>
      </c>
      <c r="Q36" s="15">
        <v>0.98019266154345697</v>
      </c>
      <c r="R36" s="15">
        <v>0.96185587761674696</v>
      </c>
    </row>
    <row r="37" spans="1:18" x14ac:dyDescent="0.3">
      <c r="A37">
        <v>0.95</v>
      </c>
      <c r="B37" t="s">
        <v>31</v>
      </c>
      <c r="C37" t="s">
        <v>33</v>
      </c>
      <c r="D37" s="15">
        <v>0.63200000000000001</v>
      </c>
      <c r="E37" s="15">
        <v>0.91020000000000001</v>
      </c>
      <c r="F37" s="15">
        <v>0.93520000000000003</v>
      </c>
      <c r="G37" s="15">
        <v>0.86719999999999997</v>
      </c>
      <c r="H37" s="15">
        <v>0.93497589716122098</v>
      </c>
      <c r="I37" s="15">
        <v>0.95320000000000005</v>
      </c>
      <c r="J37" s="15">
        <v>0.95609999999999995</v>
      </c>
      <c r="K37" s="15">
        <v>0.96509999999999996</v>
      </c>
      <c r="L37" s="15">
        <v>0.96619999999999995</v>
      </c>
      <c r="M37" s="15">
        <v>0.86950000000000005</v>
      </c>
      <c r="N37" s="15">
        <v>0.94320000000000004</v>
      </c>
      <c r="O37" s="15">
        <v>0.95609999999999995</v>
      </c>
      <c r="P37" s="15">
        <v>0.62239999999999995</v>
      </c>
      <c r="Q37" s="15">
        <v>0.89802593155005295</v>
      </c>
      <c r="R37" s="15">
        <v>0.938587717543509</v>
      </c>
    </row>
    <row r="38" spans="1:18" x14ac:dyDescent="0.3">
      <c r="A38">
        <v>0.95</v>
      </c>
      <c r="B38" t="s">
        <v>57</v>
      </c>
      <c r="C38" t="s">
        <v>33</v>
      </c>
      <c r="D38" s="15">
        <v>0.62739999999999996</v>
      </c>
      <c r="E38" s="15">
        <v>0.91169999999999995</v>
      </c>
      <c r="F38" s="15">
        <v>0.93500000000000005</v>
      </c>
      <c r="G38" s="15">
        <v>0.86780000000000002</v>
      </c>
      <c r="H38" s="15">
        <v>0.93656557026911602</v>
      </c>
      <c r="I38" s="15">
        <v>0.95389999999999997</v>
      </c>
      <c r="J38" s="15">
        <v>0.96020000000000005</v>
      </c>
      <c r="K38" s="15">
        <v>0.96599999999999997</v>
      </c>
      <c r="L38" s="15">
        <v>0.96279999999999999</v>
      </c>
      <c r="M38" s="15">
        <v>0.86599999999999999</v>
      </c>
      <c r="N38" s="15">
        <v>0.94040000000000001</v>
      </c>
      <c r="O38" s="15">
        <v>0.95950000000000002</v>
      </c>
      <c r="P38" s="15">
        <v>0.62070000000000003</v>
      </c>
      <c r="Q38" s="15">
        <v>0.90353623188405796</v>
      </c>
      <c r="R38" s="15">
        <v>0.93619361936193601</v>
      </c>
    </row>
    <row r="39" spans="1:18" x14ac:dyDescent="0.3">
      <c r="A39">
        <v>0.95</v>
      </c>
      <c r="B39" t="s">
        <v>56</v>
      </c>
      <c r="C39" t="s">
        <v>33</v>
      </c>
      <c r="D39" s="15">
        <v>0.62319999999999998</v>
      </c>
      <c r="E39" s="15">
        <v>0.91349999999999998</v>
      </c>
      <c r="F39" s="15">
        <v>0.93200000000000005</v>
      </c>
      <c r="G39" s="15">
        <v>0.87180000000000002</v>
      </c>
      <c r="H39" s="15">
        <v>0.93597787940019095</v>
      </c>
      <c r="I39" s="15">
        <v>0.95669999999999999</v>
      </c>
      <c r="J39" s="15">
        <v>0.95640000000000003</v>
      </c>
      <c r="K39" s="15">
        <v>0.97060000000000002</v>
      </c>
      <c r="L39" s="15">
        <v>0.96509999999999996</v>
      </c>
      <c r="M39" s="15">
        <v>0.86509999999999998</v>
      </c>
      <c r="N39" s="15">
        <v>0.9385</v>
      </c>
      <c r="O39" s="15">
        <v>0.95520000000000005</v>
      </c>
      <c r="P39" s="15">
        <v>0.61240000000000006</v>
      </c>
      <c r="Q39" s="15">
        <v>0.90258079516391498</v>
      </c>
      <c r="R39" s="15">
        <v>0.93567426970788303</v>
      </c>
    </row>
    <row r="40" spans="1:18" x14ac:dyDescent="0.3">
      <c r="A40">
        <v>0.95</v>
      </c>
      <c r="B40" t="s">
        <v>31</v>
      </c>
      <c r="C40" t="s">
        <v>84</v>
      </c>
      <c r="D40" s="15">
        <v>0.91744277821625897</v>
      </c>
      <c r="E40" s="15">
        <v>0.96784188034188001</v>
      </c>
      <c r="F40" s="15">
        <v>0.94081095313322805</v>
      </c>
      <c r="G40" s="15">
        <v>0.95500396690468103</v>
      </c>
      <c r="H40" s="15">
        <v>0.94402946894505302</v>
      </c>
      <c r="I40" s="15">
        <v>0.95054221141177697</v>
      </c>
      <c r="J40" s="15">
        <v>0.94974471919111003</v>
      </c>
      <c r="K40" s="15">
        <v>0.94555644515612502</v>
      </c>
      <c r="L40" s="15">
        <v>0.95076060848678901</v>
      </c>
      <c r="M40" s="15">
        <v>0.952439432845819</v>
      </c>
      <c r="N40" s="15">
        <v>0.94659505472233496</v>
      </c>
      <c r="O40" s="15">
        <v>0.95325878916087403</v>
      </c>
      <c r="P40" s="15">
        <v>0.91552186957208304</v>
      </c>
      <c r="Q40" s="15">
        <v>0.96697659506251998</v>
      </c>
      <c r="R40" s="15">
        <v>0.94429204473517603</v>
      </c>
    </row>
    <row r="41" spans="1:18" x14ac:dyDescent="0.3">
      <c r="A41">
        <v>0.95</v>
      </c>
      <c r="B41" t="s">
        <v>57</v>
      </c>
      <c r="C41" t="s">
        <v>84</v>
      </c>
      <c r="D41" s="15">
        <v>0.87452962047091698</v>
      </c>
      <c r="E41" s="15">
        <v>0.92268617291476196</v>
      </c>
      <c r="F41" s="15">
        <v>0.95012518778167299</v>
      </c>
      <c r="G41" s="15">
        <v>0.91409897292250197</v>
      </c>
      <c r="H41" s="15">
        <v>0.94834317749524499</v>
      </c>
      <c r="I41" s="15">
        <v>0.9506</v>
      </c>
      <c r="J41" s="15">
        <v>0.95169033806761305</v>
      </c>
      <c r="K41" s="15">
        <v>0.94748424527358199</v>
      </c>
      <c r="L41" s="15">
        <v>0.94938481544463305</v>
      </c>
      <c r="M41" s="15">
        <v>0.96433912343264705</v>
      </c>
      <c r="N41" s="15">
        <v>0.94557336873276798</v>
      </c>
      <c r="O41" s="15">
        <v>0.957881947959907</v>
      </c>
      <c r="P41" s="15">
        <v>0.93238289205702696</v>
      </c>
      <c r="Q41" s="15">
        <v>0.97864348572655102</v>
      </c>
      <c r="R41" s="15">
        <v>0.93645856476338596</v>
      </c>
    </row>
    <row r="42" spans="1:18" x14ac:dyDescent="0.3">
      <c r="A42">
        <v>0.95</v>
      </c>
      <c r="B42" t="s">
        <v>56</v>
      </c>
      <c r="C42" t="s">
        <v>84</v>
      </c>
      <c r="D42" s="15">
        <v>0.90251827782290805</v>
      </c>
      <c r="E42" s="15">
        <v>0.95551338815095899</v>
      </c>
      <c r="F42" s="15">
        <v>0.94395850284784399</v>
      </c>
      <c r="G42" s="15">
        <v>0.950033090668432</v>
      </c>
      <c r="H42" s="15">
        <v>0.94669639237940795</v>
      </c>
      <c r="I42" s="15">
        <v>0.95312972482612601</v>
      </c>
      <c r="J42" s="15">
        <v>0.95147103427358204</v>
      </c>
      <c r="K42" s="15">
        <v>0.94510475423045903</v>
      </c>
      <c r="L42" s="15">
        <v>0.94701920176937804</v>
      </c>
      <c r="M42" s="15">
        <v>0.97731766895428596</v>
      </c>
      <c r="N42" s="15">
        <v>0.94182966585167105</v>
      </c>
      <c r="O42" s="15">
        <v>0.954517889630079</v>
      </c>
      <c r="P42" s="15">
        <v>0.92633228840125403</v>
      </c>
      <c r="Q42" s="15">
        <v>0.98383097984262202</v>
      </c>
      <c r="R42" s="15">
        <v>0.93297587131367299</v>
      </c>
    </row>
    <row r="43" spans="1:18" x14ac:dyDescent="0.3">
      <c r="A43">
        <v>0.95</v>
      </c>
      <c r="B43" t="s">
        <v>31</v>
      </c>
      <c r="C43" t="s">
        <v>86</v>
      </c>
      <c r="D43" s="15">
        <v>0.67015110743117401</v>
      </c>
      <c r="E43" s="15">
        <v>0.91243486257280104</v>
      </c>
      <c r="F43" s="15">
        <v>0.95279187817258904</v>
      </c>
      <c r="G43" s="15">
        <v>0.86724191703919296</v>
      </c>
      <c r="H43" s="15">
        <v>0.94649068958461202</v>
      </c>
      <c r="I43" s="15">
        <v>0.95186509964231003</v>
      </c>
      <c r="J43" s="15">
        <v>0.96107934597251499</v>
      </c>
      <c r="K43" s="15">
        <v>0.95872665193814</v>
      </c>
      <c r="L43" s="15">
        <v>0.96061334936861098</v>
      </c>
      <c r="M43" s="15">
        <v>0.86866479342283298</v>
      </c>
      <c r="N43" s="15">
        <v>0.94887755102040805</v>
      </c>
      <c r="O43" s="15">
        <v>0.95440573770491799</v>
      </c>
      <c r="P43" s="15">
        <v>0.66351449651875705</v>
      </c>
      <c r="Q43" s="15">
        <v>0.90873303636175295</v>
      </c>
      <c r="R43" s="15">
        <v>0.95566152597402598</v>
      </c>
    </row>
    <row r="44" spans="1:18" x14ac:dyDescent="0.3">
      <c r="A44">
        <v>0.95</v>
      </c>
      <c r="B44" t="s">
        <v>57</v>
      </c>
      <c r="C44" t="s">
        <v>86</v>
      </c>
      <c r="D44" s="15">
        <v>0.84106168694922401</v>
      </c>
      <c r="E44" s="15">
        <v>0.91951626355296101</v>
      </c>
      <c r="F44" s="15">
        <v>0.95444167704441696</v>
      </c>
      <c r="G44" s="15">
        <v>0.89690933360714697</v>
      </c>
      <c r="H44" s="15">
        <v>0.95573049790410003</v>
      </c>
      <c r="I44" s="15">
        <v>0.95292908530318599</v>
      </c>
      <c r="J44" s="15">
        <v>0.96542393265183402</v>
      </c>
      <c r="K44" s="15">
        <v>0.96082370668006001</v>
      </c>
      <c r="L44" s="15">
        <v>0.95699679230152401</v>
      </c>
      <c r="M44" s="15">
        <v>0.86329218960688703</v>
      </c>
      <c r="N44" s="15">
        <v>0.94550076258261295</v>
      </c>
      <c r="O44" s="15">
        <v>0.95861365953109101</v>
      </c>
      <c r="P44" s="15">
        <v>0.64503229775453697</v>
      </c>
      <c r="Q44" s="15">
        <v>0.91099087629959696</v>
      </c>
      <c r="R44" s="15">
        <v>0.95277497477295703</v>
      </c>
    </row>
    <row r="45" spans="1:18" x14ac:dyDescent="0.3">
      <c r="A45">
        <v>0.95</v>
      </c>
      <c r="B45" t="s">
        <v>56</v>
      </c>
      <c r="C45" t="s">
        <v>86</v>
      </c>
      <c r="D45" s="15">
        <v>0.68868910725486099</v>
      </c>
      <c r="E45" s="15">
        <v>0.914009463073442</v>
      </c>
      <c r="F45" s="15">
        <v>0.95089194176748004</v>
      </c>
      <c r="G45" s="15">
        <v>0.87391622270970404</v>
      </c>
      <c r="H45" s="15">
        <v>0.94948464128992804</v>
      </c>
      <c r="I45" s="15">
        <v>0.95533244544616303</v>
      </c>
      <c r="J45" s="15">
        <v>0.95917753259779304</v>
      </c>
      <c r="K45" s="15">
        <v>0.96737817156665296</v>
      </c>
      <c r="L45" s="15">
        <v>0.95912642756962496</v>
      </c>
      <c r="M45" s="15">
        <v>0.86367823150138201</v>
      </c>
      <c r="N45" s="15">
        <v>0.94073101777059798</v>
      </c>
      <c r="O45" s="15">
        <v>0.95475661482528795</v>
      </c>
      <c r="P45" s="15">
        <v>0.62867012089810004</v>
      </c>
      <c r="Q45" s="15">
        <v>0.90809796999117398</v>
      </c>
      <c r="R45" s="15">
        <v>0.95157239023410001</v>
      </c>
    </row>
    <row r="46" spans="1:18" x14ac:dyDescent="0.3">
      <c r="A46">
        <v>0.95</v>
      </c>
      <c r="B46" t="s">
        <v>31</v>
      </c>
      <c r="C46" t="s">
        <v>88</v>
      </c>
      <c r="D46" s="15">
        <v>0.91412786108918698</v>
      </c>
      <c r="E46" s="15">
        <v>0.96613247863247897</v>
      </c>
      <c r="F46" s="15">
        <v>0.937862032648763</v>
      </c>
      <c r="G46" s="15">
        <v>0.95239714382863006</v>
      </c>
      <c r="H46" s="15">
        <v>0.94136907807224002</v>
      </c>
      <c r="I46" s="15">
        <v>0.95033951555690699</v>
      </c>
      <c r="J46" s="15">
        <v>0.94874361797977802</v>
      </c>
      <c r="K46" s="15">
        <v>0.94405524419535602</v>
      </c>
      <c r="L46" s="15">
        <v>0.95016012810248196</v>
      </c>
      <c r="M46" s="15">
        <v>0.94987160879758803</v>
      </c>
      <c r="N46" s="15">
        <v>0.94466963923794101</v>
      </c>
      <c r="O46" s="15">
        <v>0.95225143547899704</v>
      </c>
      <c r="P46" s="15">
        <v>0.912679614716564</v>
      </c>
      <c r="Q46" s="15">
        <v>0.96505290157101598</v>
      </c>
      <c r="R46" s="15">
        <v>0.94260392487866596</v>
      </c>
    </row>
    <row r="47" spans="1:18" x14ac:dyDescent="0.3">
      <c r="A47">
        <v>0.95</v>
      </c>
      <c r="B47" t="s">
        <v>57</v>
      </c>
      <c r="C47" t="s">
        <v>88</v>
      </c>
      <c r="D47" s="15">
        <v>0.86646597140092496</v>
      </c>
      <c r="E47" s="15">
        <v>0.91760642080666499</v>
      </c>
      <c r="F47" s="15">
        <v>0.94271407110665995</v>
      </c>
      <c r="G47" s="15">
        <v>0.90797800601722201</v>
      </c>
      <c r="H47" s="15">
        <v>0.94413855240764799</v>
      </c>
      <c r="I47" s="15">
        <v>0.94820000000000004</v>
      </c>
      <c r="J47" s="15">
        <v>0.94978995799159804</v>
      </c>
      <c r="K47" s="15">
        <v>0.94648394518355505</v>
      </c>
      <c r="L47" s="15">
        <v>0.94878463539061697</v>
      </c>
      <c r="M47" s="15">
        <v>0.96226849189002694</v>
      </c>
      <c r="N47" s="15">
        <v>0.94383743490248095</v>
      </c>
      <c r="O47" s="15">
        <v>0.95747696669029103</v>
      </c>
      <c r="P47" s="15">
        <v>0.93054989816700595</v>
      </c>
      <c r="Q47" s="15">
        <v>0.97767761322172098</v>
      </c>
      <c r="R47" s="15">
        <v>0.93545878693623596</v>
      </c>
    </row>
    <row r="48" spans="1:18" x14ac:dyDescent="0.3">
      <c r="A48">
        <v>0.95</v>
      </c>
      <c r="B48" t="s">
        <v>56</v>
      </c>
      <c r="C48" t="s">
        <v>88</v>
      </c>
      <c r="D48" s="15">
        <v>0.89723801787164903</v>
      </c>
      <c r="E48" s="15">
        <v>0.95182374024878802</v>
      </c>
      <c r="F48" s="15">
        <v>0.93846623270952001</v>
      </c>
      <c r="G48" s="15">
        <v>0.94628281491286104</v>
      </c>
      <c r="H48" s="15">
        <v>0.94264288609647295</v>
      </c>
      <c r="I48" s="15">
        <v>0.95222255820985802</v>
      </c>
      <c r="J48" s="15">
        <v>0.95086442220200196</v>
      </c>
      <c r="K48" s="15">
        <v>0.94470185334407697</v>
      </c>
      <c r="L48" s="15">
        <v>0.94661707047350996</v>
      </c>
      <c r="M48" s="15">
        <v>0.97603815284401496</v>
      </c>
      <c r="N48" s="15">
        <v>0.94162591687041597</v>
      </c>
      <c r="O48" s="15">
        <v>0.95431574691732401</v>
      </c>
      <c r="P48" s="15">
        <v>0.92424242424242398</v>
      </c>
      <c r="Q48" s="15">
        <v>0.98361539290719002</v>
      </c>
      <c r="R48" s="15">
        <v>0.93215992539923098</v>
      </c>
    </row>
    <row r="49" spans="1:18" x14ac:dyDescent="0.3">
      <c r="A49">
        <v>0.95</v>
      </c>
      <c r="B49" t="s">
        <v>31</v>
      </c>
      <c r="C49" t="s">
        <v>90</v>
      </c>
      <c r="D49" s="15">
        <v>0.66135375698613097</v>
      </c>
      <c r="E49" s="15">
        <v>0.91120874629610704</v>
      </c>
      <c r="F49" s="15">
        <v>0.93928934010152298</v>
      </c>
      <c r="G49" s="15">
        <v>0.86578646428942696</v>
      </c>
      <c r="H49" s="15">
        <v>0.94209126253325104</v>
      </c>
      <c r="I49" s="15">
        <v>0.95145631067961201</v>
      </c>
      <c r="J49" s="15">
        <v>0.95947437054870099</v>
      </c>
      <c r="K49" s="15">
        <v>0.95792327776662001</v>
      </c>
      <c r="L49" s="15">
        <v>0.959410703547805</v>
      </c>
      <c r="M49" s="15">
        <v>0.86699968779269398</v>
      </c>
      <c r="N49" s="15">
        <v>0.94642857142857095</v>
      </c>
      <c r="O49" s="15">
        <v>0.95379098360655701</v>
      </c>
      <c r="P49" s="15">
        <v>0.65520108074405103</v>
      </c>
      <c r="Q49" s="15">
        <v>0.90800787320004095</v>
      </c>
      <c r="R49" s="15">
        <v>0.94419642857142905</v>
      </c>
    </row>
    <row r="50" spans="1:18" x14ac:dyDescent="0.3">
      <c r="A50">
        <v>0.95</v>
      </c>
      <c r="B50" t="s">
        <v>57</v>
      </c>
      <c r="C50" t="s">
        <v>90</v>
      </c>
      <c r="D50" s="15">
        <v>0.83602601762484297</v>
      </c>
      <c r="E50" s="15">
        <v>0.91336530442035002</v>
      </c>
      <c r="F50" s="15">
        <v>0.94645080946450799</v>
      </c>
      <c r="G50" s="15">
        <v>0.89413697504877299</v>
      </c>
      <c r="H50" s="15">
        <v>0.94959615581228896</v>
      </c>
      <c r="I50" s="15">
        <v>0.95087358684481005</v>
      </c>
      <c r="J50" s="15">
        <v>0.96422128683102803</v>
      </c>
      <c r="K50" s="15">
        <v>0.95981918633852303</v>
      </c>
      <c r="L50" s="15">
        <v>0.956295108259824</v>
      </c>
      <c r="M50" s="15">
        <v>0.86225495280572595</v>
      </c>
      <c r="N50" s="15">
        <v>0.94336553126588696</v>
      </c>
      <c r="O50" s="15">
        <v>0.95840978593272197</v>
      </c>
      <c r="P50" s="15">
        <v>0.63600943299497603</v>
      </c>
      <c r="Q50" s="15">
        <v>0.91046042860174003</v>
      </c>
      <c r="R50" s="15">
        <v>0.93844601412714401</v>
      </c>
    </row>
    <row r="51" spans="1:18" x14ac:dyDescent="0.3">
      <c r="A51">
        <v>0.95</v>
      </c>
      <c r="B51" t="s">
        <v>56</v>
      </c>
      <c r="C51" t="s">
        <v>90</v>
      </c>
      <c r="D51" s="15">
        <v>0.68293957767091795</v>
      </c>
      <c r="E51" s="15">
        <v>0.91143797572515906</v>
      </c>
      <c r="F51" s="15">
        <v>0.94012712733237602</v>
      </c>
      <c r="G51" s="15">
        <v>0.87224485532226104</v>
      </c>
      <c r="H51" s="15">
        <v>0.94519848964179998</v>
      </c>
      <c r="I51" s="15">
        <v>0.95461530580883103</v>
      </c>
      <c r="J51" s="15">
        <v>0.95807422266800402</v>
      </c>
      <c r="K51" s="15">
        <v>0.96717680225533598</v>
      </c>
      <c r="L51" s="15">
        <v>0.95802444399919895</v>
      </c>
      <c r="M51" s="15">
        <v>0.863166513151162</v>
      </c>
      <c r="N51" s="15">
        <v>0.93962035541195499</v>
      </c>
      <c r="O51" s="15">
        <v>0.95465562512623703</v>
      </c>
      <c r="P51" s="15">
        <v>0.61607233567001896</v>
      </c>
      <c r="Q51" s="15">
        <v>0.90776699029126195</v>
      </c>
      <c r="R51" s="15">
        <v>0.93650155731940099</v>
      </c>
    </row>
    <row r="52" spans="1:18" x14ac:dyDescent="0.3">
      <c r="A52">
        <v>0.95</v>
      </c>
      <c r="B52" t="s">
        <v>31</v>
      </c>
      <c r="C52" t="s">
        <v>55</v>
      </c>
      <c r="D52" s="15">
        <v>0.98329999999999995</v>
      </c>
      <c r="E52" s="15">
        <v>0.96140000000000003</v>
      </c>
      <c r="F52" s="15">
        <v>0.96599999999999997</v>
      </c>
      <c r="G52" s="15">
        <v>0.95889999999999997</v>
      </c>
      <c r="H52" s="15">
        <v>0.97030000000000005</v>
      </c>
      <c r="I52" s="15">
        <v>0.95320000000000005</v>
      </c>
      <c r="J52" s="15">
        <v>0.95609999999999995</v>
      </c>
      <c r="K52" s="15">
        <v>0.96509999999999996</v>
      </c>
      <c r="L52" s="15">
        <v>0.96619999999999995</v>
      </c>
      <c r="M52" s="15">
        <v>0.9526</v>
      </c>
      <c r="N52" s="15">
        <v>0.97089999999999999</v>
      </c>
      <c r="O52" s="15">
        <v>0.95609999999999995</v>
      </c>
      <c r="P52" s="15">
        <v>0.98319999999999996</v>
      </c>
      <c r="Q52" s="15">
        <v>0.96020000000000005</v>
      </c>
      <c r="R52" s="15">
        <v>0.96499999999999997</v>
      </c>
    </row>
    <row r="53" spans="1:18" x14ac:dyDescent="0.3">
      <c r="A53">
        <v>0.95</v>
      </c>
      <c r="B53" t="s">
        <v>57</v>
      </c>
      <c r="C53" t="s">
        <v>55</v>
      </c>
      <c r="D53" s="15">
        <v>0.98529999999999995</v>
      </c>
      <c r="E53" s="15">
        <v>0.96340000000000003</v>
      </c>
      <c r="F53" s="15">
        <v>0.96660000000000001</v>
      </c>
      <c r="G53" s="15">
        <v>0.95669999999999999</v>
      </c>
      <c r="H53" s="15">
        <v>0.9677</v>
      </c>
      <c r="I53" s="15">
        <v>0.95389999999999997</v>
      </c>
      <c r="J53" s="15">
        <v>0.96020000000000005</v>
      </c>
      <c r="K53" s="15">
        <v>0.96599999999999997</v>
      </c>
      <c r="L53" s="15">
        <v>0.96279999999999999</v>
      </c>
      <c r="M53" s="15">
        <v>0.95409999999999995</v>
      </c>
      <c r="N53" s="15">
        <v>0.96950000000000003</v>
      </c>
      <c r="O53" s="15">
        <v>0.95950000000000002</v>
      </c>
      <c r="P53" s="15">
        <v>0.98509999999999998</v>
      </c>
      <c r="Q53" s="15">
        <v>0.96250000000000002</v>
      </c>
      <c r="R53" s="15">
        <v>0.96599999999999997</v>
      </c>
    </row>
    <row r="54" spans="1:18" x14ac:dyDescent="0.3">
      <c r="A54">
        <v>0.95</v>
      </c>
      <c r="B54" t="s">
        <v>56</v>
      </c>
      <c r="C54" t="s">
        <v>55</v>
      </c>
      <c r="D54" s="15">
        <v>0.98540000000000005</v>
      </c>
      <c r="E54" s="15">
        <v>0.96240000000000003</v>
      </c>
      <c r="F54" s="15">
        <v>0.96440000000000003</v>
      </c>
      <c r="G54" s="15">
        <v>0.95709999999999995</v>
      </c>
      <c r="H54" s="15">
        <v>0.96740000000000004</v>
      </c>
      <c r="I54" s="15">
        <v>0.95669999999999999</v>
      </c>
      <c r="J54" s="15">
        <v>0.95640000000000003</v>
      </c>
      <c r="K54" s="15">
        <v>0.97060000000000002</v>
      </c>
      <c r="L54" s="15">
        <v>0.96509999999999996</v>
      </c>
      <c r="M54" s="15">
        <v>0.95409999999999995</v>
      </c>
      <c r="N54" s="15">
        <v>0.97060000000000002</v>
      </c>
      <c r="O54" s="15">
        <v>0.95520000000000005</v>
      </c>
      <c r="P54" s="15">
        <v>0.9829</v>
      </c>
      <c r="Q54" s="15">
        <v>0.96399999999999997</v>
      </c>
      <c r="R54" s="15">
        <v>0.96489999999999998</v>
      </c>
    </row>
    <row r="55" spans="1:18" x14ac:dyDescent="0.3">
      <c r="A55">
        <v>0.95</v>
      </c>
      <c r="B55" t="s">
        <v>31</v>
      </c>
      <c r="C55" t="s">
        <v>32</v>
      </c>
      <c r="D55" s="15">
        <v>0.93918426802622001</v>
      </c>
      <c r="E55" s="15">
        <v>0.98655972252330404</v>
      </c>
      <c r="F55" s="15">
        <v>0.92625260320960401</v>
      </c>
      <c r="G55" s="15">
        <v>0.983795522886736</v>
      </c>
      <c r="H55" s="15">
        <v>0.93170550322260803</v>
      </c>
      <c r="I55" s="15">
        <v>0.94663017447827602</v>
      </c>
      <c r="J55" s="15">
        <v>0.95609999999999995</v>
      </c>
      <c r="K55" s="15">
        <v>0.93489999999999995</v>
      </c>
      <c r="L55" s="15">
        <v>0.94610000000000005</v>
      </c>
      <c r="M55" s="15">
        <v>0.98649875198547798</v>
      </c>
      <c r="N55" s="15">
        <v>0.94698795180722894</v>
      </c>
      <c r="O55" s="15">
        <v>0.95609999999999995</v>
      </c>
      <c r="P55" s="15">
        <v>0.93752324284120503</v>
      </c>
      <c r="Q55" s="15">
        <v>0.98677363399826501</v>
      </c>
      <c r="R55" s="15">
        <v>0.93120059288537504</v>
      </c>
    </row>
    <row r="56" spans="1:18" x14ac:dyDescent="0.3">
      <c r="A56">
        <v>0.95</v>
      </c>
      <c r="B56" t="s">
        <v>57</v>
      </c>
      <c r="C56" t="s">
        <v>32</v>
      </c>
      <c r="D56" s="15">
        <v>0.94452830188679204</v>
      </c>
      <c r="E56" s="15">
        <v>0.98829268292682904</v>
      </c>
      <c r="F56" s="15">
        <v>0.92679592344021899</v>
      </c>
      <c r="G56" s="15">
        <v>0.97772903661211397</v>
      </c>
      <c r="H56" s="15">
        <v>0.93237907206317905</v>
      </c>
      <c r="I56" s="15">
        <v>0.94703584558823495</v>
      </c>
      <c r="J56" s="15">
        <v>0.96020000000000005</v>
      </c>
      <c r="K56" s="15">
        <v>0.93559999999999999</v>
      </c>
      <c r="L56" s="15">
        <v>0.94550000000000001</v>
      </c>
      <c r="M56" s="15">
        <v>0.98633257403189101</v>
      </c>
      <c r="N56" s="15">
        <v>0.94569589702333101</v>
      </c>
      <c r="O56" s="15">
        <v>0.95950000000000002</v>
      </c>
      <c r="P56" s="15">
        <v>0.94332445796880904</v>
      </c>
      <c r="Q56" s="15">
        <v>0.988536822753325</v>
      </c>
      <c r="R56" s="15">
        <v>0.92791903233769402</v>
      </c>
    </row>
    <row r="57" spans="1:18" x14ac:dyDescent="0.3">
      <c r="A57">
        <v>0.95</v>
      </c>
      <c r="B57" t="s">
        <v>56</v>
      </c>
      <c r="C57" t="s">
        <v>32</v>
      </c>
      <c r="D57" s="15">
        <v>0.94429607020221296</v>
      </c>
      <c r="E57" s="15">
        <v>0.98746081504702199</v>
      </c>
      <c r="F57" s="15">
        <v>0.92368098159509204</v>
      </c>
      <c r="G57" s="15">
        <v>0.981870068826591</v>
      </c>
      <c r="H57" s="15">
        <v>0.93387215282880198</v>
      </c>
      <c r="I57" s="15">
        <v>0.95020126509488201</v>
      </c>
      <c r="J57" s="15">
        <v>0.95640000000000003</v>
      </c>
      <c r="K57" s="15">
        <v>0.93789999999999996</v>
      </c>
      <c r="L57" s="15">
        <v>0.94399999999999995</v>
      </c>
      <c r="M57" s="15">
        <v>0.98631854976627498</v>
      </c>
      <c r="N57" s="15">
        <v>0.94293177936300598</v>
      </c>
      <c r="O57" s="15">
        <v>0.95520000000000005</v>
      </c>
      <c r="P57" s="15">
        <v>0.93525179856115104</v>
      </c>
      <c r="Q57" s="15">
        <v>0.98917631778331006</v>
      </c>
      <c r="R57" s="15">
        <v>0.92823732151649396</v>
      </c>
    </row>
    <row r="58" spans="1:18" x14ac:dyDescent="0.3">
      <c r="A58">
        <v>0.95</v>
      </c>
      <c r="B58" t="s">
        <v>31</v>
      </c>
      <c r="C58" t="s">
        <v>58</v>
      </c>
      <c r="D58" s="15" t="s">
        <v>59</v>
      </c>
      <c r="E58" s="15" t="s">
        <v>59</v>
      </c>
      <c r="F58" s="15" t="s">
        <v>59</v>
      </c>
      <c r="G58" s="15" t="s">
        <v>59</v>
      </c>
      <c r="H58" s="15" t="s">
        <v>59</v>
      </c>
      <c r="I58" s="15" t="s">
        <v>59</v>
      </c>
      <c r="J58" s="15">
        <v>0.95430000000000004</v>
      </c>
      <c r="K58" s="15">
        <v>0.95020000000000004</v>
      </c>
      <c r="L58" s="15">
        <v>0.94779999999999998</v>
      </c>
      <c r="M58" s="15" t="s">
        <v>59</v>
      </c>
      <c r="N58" s="15" t="s">
        <v>59</v>
      </c>
      <c r="O58" s="15" t="s">
        <v>59</v>
      </c>
      <c r="P58" s="15" t="s">
        <v>59</v>
      </c>
      <c r="Q58" s="15" t="s">
        <v>59</v>
      </c>
      <c r="R58" s="15" t="s">
        <v>59</v>
      </c>
    </row>
    <row r="59" spans="1:18" x14ac:dyDescent="0.3">
      <c r="A59">
        <v>0.95</v>
      </c>
      <c r="B59" t="s">
        <v>57</v>
      </c>
      <c r="C59" t="s">
        <v>58</v>
      </c>
      <c r="D59" s="15" t="s">
        <v>59</v>
      </c>
      <c r="E59" s="15" t="s">
        <v>59</v>
      </c>
      <c r="F59" s="15" t="s">
        <v>59</v>
      </c>
      <c r="G59" s="15" t="s">
        <v>59</v>
      </c>
      <c r="H59" s="15" t="s">
        <v>59</v>
      </c>
      <c r="I59" s="15" t="s">
        <v>59</v>
      </c>
      <c r="J59" s="15">
        <v>0.90149999999999997</v>
      </c>
      <c r="K59" s="15">
        <v>0.78920000000000001</v>
      </c>
      <c r="L59" s="15">
        <v>0.61809999999999998</v>
      </c>
      <c r="M59" s="15" t="s">
        <v>59</v>
      </c>
      <c r="N59" s="15" t="s">
        <v>59</v>
      </c>
      <c r="O59" s="15" t="s">
        <v>59</v>
      </c>
      <c r="P59" s="15" t="s">
        <v>59</v>
      </c>
      <c r="Q59" s="15" t="s">
        <v>59</v>
      </c>
      <c r="R59" s="15" t="s">
        <v>59</v>
      </c>
    </row>
    <row r="60" spans="1:18" x14ac:dyDescent="0.3">
      <c r="A60">
        <v>0.95</v>
      </c>
      <c r="B60" t="s">
        <v>56</v>
      </c>
      <c r="C60" t="s">
        <v>58</v>
      </c>
      <c r="D60" s="15" t="s">
        <v>59</v>
      </c>
      <c r="E60" s="15" t="s">
        <v>59</v>
      </c>
      <c r="F60" s="15" t="s">
        <v>59</v>
      </c>
      <c r="G60" s="15" t="s">
        <v>59</v>
      </c>
      <c r="H60" s="15" t="s">
        <v>59</v>
      </c>
      <c r="I60" s="15" t="s">
        <v>59</v>
      </c>
      <c r="J60" s="15">
        <v>0.91539999999999999</v>
      </c>
      <c r="K60" s="15">
        <v>0.84970000000000001</v>
      </c>
      <c r="L60" s="15">
        <v>0.73270000000000002</v>
      </c>
      <c r="M60" s="15" t="s">
        <v>59</v>
      </c>
      <c r="N60" s="15" t="s">
        <v>59</v>
      </c>
      <c r="O60" s="15" t="s">
        <v>59</v>
      </c>
      <c r="P60" s="15" t="s">
        <v>59</v>
      </c>
      <c r="Q60" s="15" t="s">
        <v>59</v>
      </c>
      <c r="R60" s="15" t="s">
        <v>59</v>
      </c>
    </row>
    <row r="61" spans="1:18" x14ac:dyDescent="0.3">
      <c r="A61">
        <v>0.95</v>
      </c>
      <c r="B61" t="s">
        <v>31</v>
      </c>
      <c r="C61" t="s">
        <v>92</v>
      </c>
      <c r="D61" s="15">
        <v>0.982688803401498</v>
      </c>
      <c r="E61" s="15">
        <v>0.91520000000000001</v>
      </c>
      <c r="F61" s="15">
        <v>0.93867258422432898</v>
      </c>
      <c r="G61" s="15">
        <v>0.90015282730514501</v>
      </c>
      <c r="H61" s="15">
        <v>0.94152165115337905</v>
      </c>
      <c r="I61" s="15">
        <v>0.95121212121212095</v>
      </c>
      <c r="J61" s="15">
        <v>0.95347673836918501</v>
      </c>
      <c r="K61" s="15">
        <v>0.94649464946494599</v>
      </c>
      <c r="L61" s="15">
        <v>0.95148544563368997</v>
      </c>
      <c r="M61" s="15">
        <v>0.91488052507435103</v>
      </c>
      <c r="N61" s="15">
        <v>0.94604679306171802</v>
      </c>
      <c r="O61" s="15">
        <v>0.95405649944706905</v>
      </c>
      <c r="P61" s="15">
        <v>0.98011494252873599</v>
      </c>
      <c r="Q61" s="15">
        <v>0.942133443163097</v>
      </c>
      <c r="R61" s="15">
        <v>0.94448391352887495</v>
      </c>
    </row>
    <row r="62" spans="1:18" x14ac:dyDescent="0.3">
      <c r="A62">
        <v>0.95</v>
      </c>
      <c r="B62" t="s">
        <v>57</v>
      </c>
      <c r="C62" t="s">
        <v>92</v>
      </c>
      <c r="D62" s="15">
        <v>0.99529999999999996</v>
      </c>
      <c r="E62" s="15">
        <v>0.96330000000000005</v>
      </c>
      <c r="F62" s="15">
        <v>0.95699999999999996</v>
      </c>
      <c r="G62" s="15">
        <v>0.97099999999999997</v>
      </c>
      <c r="H62" s="15">
        <v>0.95689999999999997</v>
      </c>
      <c r="I62" s="15">
        <v>0.95420000000000005</v>
      </c>
      <c r="J62" s="15">
        <v>0.95669999999999999</v>
      </c>
      <c r="K62" s="15">
        <v>0.94859485948594902</v>
      </c>
      <c r="L62" s="15">
        <v>0.94989999999999997</v>
      </c>
      <c r="M62" s="15">
        <v>0.922970822281167</v>
      </c>
      <c r="N62" s="15">
        <v>0.943965079687341</v>
      </c>
      <c r="O62" s="15">
        <v>0.95826192156467405</v>
      </c>
      <c r="P62" s="15">
        <v>0.97991598844841199</v>
      </c>
      <c r="Q62" s="15">
        <v>0.960578737680856</v>
      </c>
      <c r="R62" s="15">
        <v>0.94042293615290795</v>
      </c>
    </row>
    <row r="63" spans="1:18" x14ac:dyDescent="0.3">
      <c r="A63">
        <v>0.95</v>
      </c>
      <c r="B63" t="s">
        <v>56</v>
      </c>
      <c r="C63" t="s">
        <v>92</v>
      </c>
      <c r="D63" s="15">
        <v>0.98595787362086296</v>
      </c>
      <c r="E63" s="15">
        <v>0.9244</v>
      </c>
      <c r="F63" s="15">
        <v>0.94013058764440005</v>
      </c>
      <c r="G63" s="15">
        <v>0.91096305269533595</v>
      </c>
      <c r="H63" s="15">
        <v>0.94447803305118905</v>
      </c>
      <c r="I63" s="15">
        <v>0.95436687821094002</v>
      </c>
      <c r="J63" s="15">
        <v>0.95325977933801398</v>
      </c>
      <c r="K63" s="15">
        <v>0.94542905777510799</v>
      </c>
      <c r="L63" s="15">
        <v>0.94743692430917104</v>
      </c>
      <c r="M63" s="15">
        <v>0.951281766729553</v>
      </c>
      <c r="N63" s="15">
        <v>0.94095604618189199</v>
      </c>
      <c r="O63" s="15">
        <v>0.95456839979808195</v>
      </c>
      <c r="P63" s="15">
        <v>0.97434402332361503</v>
      </c>
      <c r="Q63" s="15">
        <v>0.975695554844899</v>
      </c>
      <c r="R63" s="15">
        <v>0.94084877949964596</v>
      </c>
    </row>
  </sheetData>
  <mergeCells count="5">
    <mergeCell ref="D1:F1"/>
    <mergeCell ref="G1:I1"/>
    <mergeCell ref="J1:L1"/>
    <mergeCell ref="M1:O1"/>
    <mergeCell ref="P1:R1"/>
  </mergeCells>
  <conditionalFormatting sqref="D4:R63">
    <cfRule type="colorScale" priority="1">
      <colorScale>
        <cfvo type="min"/>
        <cfvo type="num" val="0.9"/>
        <cfvo type="max"/>
        <color rgb="FF5A8AC6"/>
        <color rgb="FF92D050"/>
        <color rgb="FFF8696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83AC1-C48D-46F2-B8B2-6A12CFD81967}">
  <sheetPr>
    <tabColor rgb="FFFFC000"/>
  </sheetPr>
  <dimension ref="A1:R63"/>
  <sheetViews>
    <sheetView topLeftCell="A21" workbookViewId="0">
      <selection activeCell="D1" sqref="D1:F2"/>
    </sheetView>
  </sheetViews>
  <sheetFormatPr defaultRowHeight="14.4" x14ac:dyDescent="0.3"/>
  <sheetData>
    <row r="1" spans="1:18" x14ac:dyDescent="0.3">
      <c r="D1" s="42" t="str">
        <f>LEFT(D3,FIND("_",D3)-1)</f>
        <v>0.05</v>
      </c>
      <c r="E1" s="43"/>
      <c r="F1" s="44"/>
      <c r="G1" s="43" t="str">
        <f t="shared" ref="G1:R1" si="0">LEFT(G3,FIND("_",G3)-1)</f>
        <v>0.1</v>
      </c>
      <c r="H1" s="43" t="str">
        <f t="shared" si="0"/>
        <v>0.1</v>
      </c>
      <c r="I1" s="44" t="str">
        <f t="shared" si="0"/>
        <v>0.1</v>
      </c>
      <c r="J1" s="43" t="str">
        <f t="shared" si="0"/>
        <v>0.5</v>
      </c>
      <c r="K1" s="43" t="str">
        <f t="shared" si="0"/>
        <v>0.5</v>
      </c>
      <c r="L1" s="44" t="str">
        <f t="shared" si="0"/>
        <v>0.5</v>
      </c>
      <c r="M1" s="43" t="str">
        <f t="shared" si="0"/>
        <v>0.9</v>
      </c>
      <c r="N1" s="43" t="str">
        <f t="shared" si="0"/>
        <v>0.9</v>
      </c>
      <c r="O1" s="44" t="str">
        <f t="shared" si="0"/>
        <v>0.9</v>
      </c>
      <c r="P1" s="43" t="str">
        <f t="shared" si="0"/>
        <v>0.95</v>
      </c>
      <c r="Q1" s="43" t="str">
        <f t="shared" si="0"/>
        <v>0.95</v>
      </c>
      <c r="R1" s="44" t="str">
        <f t="shared" si="0"/>
        <v>0.95</v>
      </c>
    </row>
    <row r="2" spans="1:18" x14ac:dyDescent="0.3">
      <c r="D2" s="18" t="str">
        <f t="shared" ref="D2:R2" si="1">RIGHT(D3,LEN(D3)-FIND("_",D3))</f>
        <v>20</v>
      </c>
      <c r="E2" t="str">
        <f t="shared" si="1"/>
        <v>50</v>
      </c>
      <c r="F2" s="19" t="str">
        <f t="shared" si="1"/>
        <v>100</v>
      </c>
      <c r="G2" t="str">
        <f t="shared" si="1"/>
        <v>20</v>
      </c>
      <c r="H2" t="str">
        <f t="shared" si="1"/>
        <v>50</v>
      </c>
      <c r="I2" s="19" t="str">
        <f t="shared" si="1"/>
        <v>100</v>
      </c>
      <c r="J2" t="str">
        <f t="shared" si="1"/>
        <v>20</v>
      </c>
      <c r="K2" t="str">
        <f t="shared" si="1"/>
        <v>50</v>
      </c>
      <c r="L2" s="19" t="str">
        <f t="shared" si="1"/>
        <v>100</v>
      </c>
      <c r="M2" t="str">
        <f t="shared" si="1"/>
        <v>20</v>
      </c>
      <c r="N2" t="str">
        <f t="shared" si="1"/>
        <v>50</v>
      </c>
      <c r="O2" s="19" t="str">
        <f t="shared" si="1"/>
        <v>100</v>
      </c>
      <c r="P2" t="str">
        <f t="shared" si="1"/>
        <v>20</v>
      </c>
      <c r="Q2" t="str">
        <f t="shared" si="1"/>
        <v>50</v>
      </c>
      <c r="R2" s="19" t="str">
        <f t="shared" si="1"/>
        <v>100</v>
      </c>
    </row>
    <row r="3" spans="1:18" x14ac:dyDescent="0.3">
      <c r="A3" t="s">
        <v>61</v>
      </c>
      <c r="B3" t="s">
        <v>0</v>
      </c>
      <c r="C3" t="s">
        <v>2</v>
      </c>
      <c r="D3" t="s">
        <v>101</v>
      </c>
      <c r="E3" t="s">
        <v>102</v>
      </c>
      <c r="F3" t="s">
        <v>103</v>
      </c>
      <c r="G3" t="s">
        <v>104</v>
      </c>
      <c r="H3" t="s">
        <v>105</v>
      </c>
      <c r="I3" t="s">
        <v>106</v>
      </c>
      <c r="J3" t="s">
        <v>107</v>
      </c>
      <c r="K3" t="s">
        <v>108</v>
      </c>
      <c r="L3" t="s">
        <v>109</v>
      </c>
      <c r="M3" t="s">
        <v>110</v>
      </c>
      <c r="N3" t="s">
        <v>111</v>
      </c>
      <c r="O3" t="s">
        <v>112</v>
      </c>
      <c r="P3" t="s">
        <v>113</v>
      </c>
      <c r="Q3" t="s">
        <v>114</v>
      </c>
      <c r="R3" t="s">
        <v>115</v>
      </c>
    </row>
    <row r="4" spans="1:18" x14ac:dyDescent="0.3">
      <c r="A4">
        <v>0.9</v>
      </c>
      <c r="B4" t="s">
        <v>31</v>
      </c>
      <c r="C4" t="s">
        <v>34</v>
      </c>
      <c r="D4">
        <v>3513</v>
      </c>
      <c r="E4">
        <v>774</v>
      </c>
      <c r="F4">
        <v>46</v>
      </c>
      <c r="G4">
        <v>1231</v>
      </c>
      <c r="H4">
        <v>56</v>
      </c>
      <c r="I4">
        <v>0</v>
      </c>
      <c r="J4">
        <v>0</v>
      </c>
      <c r="K4">
        <v>0</v>
      </c>
      <c r="L4">
        <v>0</v>
      </c>
      <c r="M4">
        <v>1186</v>
      </c>
      <c r="N4">
        <v>40</v>
      </c>
      <c r="O4">
        <v>0</v>
      </c>
      <c r="P4">
        <v>3608</v>
      </c>
      <c r="Q4">
        <v>776</v>
      </c>
      <c r="R4">
        <v>59</v>
      </c>
    </row>
    <row r="5" spans="1:18" x14ac:dyDescent="0.3">
      <c r="A5">
        <v>0.9</v>
      </c>
      <c r="B5" t="s">
        <v>57</v>
      </c>
      <c r="C5" t="s">
        <v>34</v>
      </c>
      <c r="D5">
        <v>3579</v>
      </c>
      <c r="E5">
        <v>775</v>
      </c>
      <c r="F5">
        <v>61</v>
      </c>
      <c r="G5">
        <v>1190</v>
      </c>
      <c r="H5">
        <v>46</v>
      </c>
      <c r="I5">
        <v>0</v>
      </c>
      <c r="J5">
        <v>0</v>
      </c>
      <c r="K5">
        <v>0</v>
      </c>
      <c r="L5">
        <v>0</v>
      </c>
      <c r="M5">
        <v>1220</v>
      </c>
      <c r="N5">
        <v>56</v>
      </c>
      <c r="O5">
        <v>0</v>
      </c>
      <c r="P5">
        <v>3644</v>
      </c>
      <c r="Q5">
        <v>753</v>
      </c>
      <c r="R5">
        <v>55</v>
      </c>
    </row>
    <row r="6" spans="1:18" x14ac:dyDescent="0.3">
      <c r="A6">
        <v>0.9</v>
      </c>
      <c r="B6" t="s">
        <v>56</v>
      </c>
      <c r="C6" t="s">
        <v>34</v>
      </c>
      <c r="D6">
        <v>3622</v>
      </c>
      <c r="E6">
        <v>749</v>
      </c>
      <c r="F6">
        <v>58</v>
      </c>
      <c r="G6">
        <v>1174</v>
      </c>
      <c r="H6">
        <v>62</v>
      </c>
      <c r="I6">
        <v>0</v>
      </c>
      <c r="J6">
        <v>0</v>
      </c>
      <c r="K6">
        <v>0</v>
      </c>
      <c r="L6">
        <v>0</v>
      </c>
      <c r="M6">
        <v>1229</v>
      </c>
      <c r="N6">
        <v>47</v>
      </c>
      <c r="O6">
        <v>0</v>
      </c>
      <c r="P6">
        <v>3705</v>
      </c>
      <c r="Q6">
        <v>761</v>
      </c>
      <c r="R6">
        <v>64</v>
      </c>
    </row>
    <row r="7" spans="1:18" x14ac:dyDescent="0.3">
      <c r="A7">
        <v>0.9</v>
      </c>
      <c r="B7" t="s">
        <v>31</v>
      </c>
      <c r="C7" t="s">
        <v>33</v>
      </c>
      <c r="D7">
        <v>0</v>
      </c>
      <c r="E7">
        <v>0</v>
      </c>
      <c r="F7">
        <v>0</v>
      </c>
      <c r="G7">
        <v>0</v>
      </c>
      <c r="H7">
        <v>665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1439</v>
      </c>
      <c r="R7">
        <v>2</v>
      </c>
    </row>
    <row r="8" spans="1:18" x14ac:dyDescent="0.3">
      <c r="A8">
        <v>0.9</v>
      </c>
      <c r="B8" t="s">
        <v>57</v>
      </c>
      <c r="C8" t="s">
        <v>33</v>
      </c>
      <c r="D8">
        <v>0</v>
      </c>
      <c r="E8">
        <v>0</v>
      </c>
      <c r="F8">
        <v>0</v>
      </c>
      <c r="G8">
        <v>0</v>
      </c>
      <c r="H8">
        <v>636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1375</v>
      </c>
      <c r="R8">
        <v>1</v>
      </c>
    </row>
    <row r="9" spans="1:18" x14ac:dyDescent="0.3">
      <c r="A9">
        <v>0.9</v>
      </c>
      <c r="B9" t="s">
        <v>56</v>
      </c>
      <c r="C9" t="s">
        <v>33</v>
      </c>
      <c r="D9">
        <v>0</v>
      </c>
      <c r="E9">
        <v>0</v>
      </c>
      <c r="F9">
        <v>0</v>
      </c>
      <c r="G9">
        <v>0</v>
      </c>
      <c r="H9">
        <v>597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1398</v>
      </c>
      <c r="R9">
        <v>4</v>
      </c>
    </row>
    <row r="10" spans="1:18" x14ac:dyDescent="0.3">
      <c r="A10">
        <v>0.9</v>
      </c>
      <c r="B10" t="s">
        <v>31</v>
      </c>
      <c r="C10" t="s">
        <v>84</v>
      </c>
      <c r="D10">
        <v>3665</v>
      </c>
      <c r="E10">
        <v>640</v>
      </c>
      <c r="F10">
        <v>505</v>
      </c>
      <c r="G10">
        <v>1177</v>
      </c>
      <c r="H10">
        <v>227</v>
      </c>
      <c r="I10">
        <v>133</v>
      </c>
      <c r="J10">
        <v>11</v>
      </c>
      <c r="K10">
        <v>8</v>
      </c>
      <c r="L10">
        <v>8</v>
      </c>
      <c r="M10">
        <v>1043</v>
      </c>
      <c r="N10">
        <v>132</v>
      </c>
      <c r="O10">
        <v>73</v>
      </c>
      <c r="P10">
        <v>3667</v>
      </c>
      <c r="Q10">
        <v>643</v>
      </c>
      <c r="R10">
        <v>522</v>
      </c>
    </row>
    <row r="11" spans="1:18" x14ac:dyDescent="0.3">
      <c r="A11">
        <v>0.9</v>
      </c>
      <c r="B11" t="s">
        <v>57</v>
      </c>
      <c r="C11" t="s">
        <v>84</v>
      </c>
      <c r="D11">
        <v>699</v>
      </c>
      <c r="E11">
        <v>157</v>
      </c>
      <c r="F11">
        <v>15</v>
      </c>
      <c r="G11">
        <v>361</v>
      </c>
      <c r="H11">
        <v>11</v>
      </c>
      <c r="I11">
        <v>0</v>
      </c>
      <c r="J11">
        <v>2</v>
      </c>
      <c r="K11">
        <v>3</v>
      </c>
      <c r="L11">
        <v>3</v>
      </c>
      <c r="M11">
        <v>1307</v>
      </c>
      <c r="N11">
        <v>207</v>
      </c>
      <c r="O11">
        <v>123</v>
      </c>
      <c r="P11">
        <v>5090</v>
      </c>
      <c r="Q11">
        <v>682</v>
      </c>
      <c r="R11">
        <v>998</v>
      </c>
    </row>
    <row r="12" spans="1:18" x14ac:dyDescent="0.3">
      <c r="A12">
        <v>0.9</v>
      </c>
      <c r="B12" t="s">
        <v>56</v>
      </c>
      <c r="C12" t="s">
        <v>84</v>
      </c>
      <c r="D12">
        <v>2614</v>
      </c>
      <c r="E12">
        <v>514</v>
      </c>
      <c r="F12">
        <v>168</v>
      </c>
      <c r="G12">
        <v>934</v>
      </c>
      <c r="H12">
        <v>132</v>
      </c>
      <c r="I12">
        <v>79</v>
      </c>
      <c r="J12">
        <v>109</v>
      </c>
      <c r="K12">
        <v>72</v>
      </c>
      <c r="L12">
        <v>53</v>
      </c>
      <c r="M12">
        <v>1403</v>
      </c>
      <c r="N12">
        <v>184</v>
      </c>
      <c r="O12">
        <v>106</v>
      </c>
      <c r="P12">
        <v>6172</v>
      </c>
      <c r="Q12">
        <v>723</v>
      </c>
      <c r="R12">
        <v>1421</v>
      </c>
    </row>
    <row r="13" spans="1:18" x14ac:dyDescent="0.3">
      <c r="A13">
        <v>0.9</v>
      </c>
      <c r="B13" t="s">
        <v>31</v>
      </c>
      <c r="C13" t="s">
        <v>86</v>
      </c>
      <c r="D13">
        <v>338</v>
      </c>
      <c r="E13">
        <v>213</v>
      </c>
      <c r="F13">
        <v>150</v>
      </c>
      <c r="G13">
        <v>381</v>
      </c>
      <c r="H13">
        <v>226</v>
      </c>
      <c r="I13">
        <v>215</v>
      </c>
      <c r="J13">
        <v>31</v>
      </c>
      <c r="K13">
        <v>42</v>
      </c>
      <c r="L13">
        <v>22</v>
      </c>
      <c r="M13">
        <v>391</v>
      </c>
      <c r="N13">
        <v>200</v>
      </c>
      <c r="O13">
        <v>240</v>
      </c>
      <c r="P13">
        <v>377</v>
      </c>
      <c r="Q13">
        <v>347</v>
      </c>
      <c r="R13">
        <v>144</v>
      </c>
    </row>
    <row r="14" spans="1:18" x14ac:dyDescent="0.3">
      <c r="A14">
        <v>0.9</v>
      </c>
      <c r="B14" t="s">
        <v>57</v>
      </c>
      <c r="C14" t="s">
        <v>86</v>
      </c>
      <c r="D14">
        <v>468</v>
      </c>
      <c r="E14">
        <v>408</v>
      </c>
      <c r="F14">
        <v>364</v>
      </c>
      <c r="G14">
        <v>261</v>
      </c>
      <c r="H14">
        <v>219</v>
      </c>
      <c r="I14">
        <v>270</v>
      </c>
      <c r="J14">
        <v>22</v>
      </c>
      <c r="K14">
        <v>45</v>
      </c>
      <c r="L14">
        <v>24</v>
      </c>
      <c r="M14">
        <v>359</v>
      </c>
      <c r="N14">
        <v>165</v>
      </c>
      <c r="O14">
        <v>190</v>
      </c>
      <c r="P14">
        <v>247</v>
      </c>
      <c r="Q14">
        <v>574</v>
      </c>
      <c r="R14">
        <v>90</v>
      </c>
    </row>
    <row r="15" spans="1:18" x14ac:dyDescent="0.3">
      <c r="A15">
        <v>0.9</v>
      </c>
      <c r="B15" t="s">
        <v>56</v>
      </c>
      <c r="C15" t="s">
        <v>86</v>
      </c>
      <c r="D15">
        <v>434</v>
      </c>
      <c r="E15">
        <v>278</v>
      </c>
      <c r="F15">
        <v>246</v>
      </c>
      <c r="G15">
        <v>427</v>
      </c>
      <c r="H15">
        <v>201</v>
      </c>
      <c r="I15">
        <v>239</v>
      </c>
      <c r="J15">
        <v>30</v>
      </c>
      <c r="K15">
        <v>68</v>
      </c>
      <c r="L15">
        <v>18</v>
      </c>
      <c r="M15">
        <v>229</v>
      </c>
      <c r="N15">
        <v>96</v>
      </c>
      <c r="O15">
        <v>98</v>
      </c>
      <c r="P15">
        <v>157</v>
      </c>
      <c r="Q15">
        <v>936</v>
      </c>
      <c r="R15">
        <v>47</v>
      </c>
    </row>
    <row r="16" spans="1:18" x14ac:dyDescent="0.3">
      <c r="A16">
        <v>0.9</v>
      </c>
      <c r="B16" t="s">
        <v>31</v>
      </c>
      <c r="C16" t="s">
        <v>88</v>
      </c>
      <c r="D16">
        <v>3665</v>
      </c>
      <c r="E16">
        <v>640</v>
      </c>
      <c r="F16">
        <v>505</v>
      </c>
      <c r="G16">
        <v>1177</v>
      </c>
      <c r="H16">
        <v>227</v>
      </c>
      <c r="I16">
        <v>133</v>
      </c>
      <c r="J16">
        <v>11</v>
      </c>
      <c r="K16">
        <v>8</v>
      </c>
      <c r="L16">
        <v>8</v>
      </c>
      <c r="M16">
        <v>1043</v>
      </c>
      <c r="N16">
        <v>132</v>
      </c>
      <c r="O16">
        <v>73</v>
      </c>
      <c r="P16">
        <v>3667</v>
      </c>
      <c r="Q16">
        <v>643</v>
      </c>
      <c r="R16">
        <v>522</v>
      </c>
    </row>
    <row r="17" spans="1:18" x14ac:dyDescent="0.3">
      <c r="A17">
        <v>0.9</v>
      </c>
      <c r="B17" t="s">
        <v>57</v>
      </c>
      <c r="C17" t="s">
        <v>88</v>
      </c>
      <c r="D17">
        <v>699</v>
      </c>
      <c r="E17">
        <v>157</v>
      </c>
      <c r="F17">
        <v>15</v>
      </c>
      <c r="G17">
        <v>361</v>
      </c>
      <c r="H17">
        <v>11</v>
      </c>
      <c r="I17">
        <v>0</v>
      </c>
      <c r="J17">
        <v>2</v>
      </c>
      <c r="K17">
        <v>3</v>
      </c>
      <c r="L17">
        <v>3</v>
      </c>
      <c r="M17">
        <v>1307</v>
      </c>
      <c r="N17">
        <v>207</v>
      </c>
      <c r="O17">
        <v>123</v>
      </c>
      <c r="P17">
        <v>5090</v>
      </c>
      <c r="Q17">
        <v>682</v>
      </c>
      <c r="R17">
        <v>998</v>
      </c>
    </row>
    <row r="18" spans="1:18" x14ac:dyDescent="0.3">
      <c r="A18">
        <v>0.9</v>
      </c>
      <c r="B18" t="s">
        <v>56</v>
      </c>
      <c r="C18" t="s">
        <v>88</v>
      </c>
      <c r="D18">
        <v>2614</v>
      </c>
      <c r="E18">
        <v>514</v>
      </c>
      <c r="F18">
        <v>168</v>
      </c>
      <c r="G18">
        <v>934</v>
      </c>
      <c r="H18">
        <v>132</v>
      </c>
      <c r="I18">
        <v>79</v>
      </c>
      <c r="J18">
        <v>109</v>
      </c>
      <c r="K18">
        <v>72</v>
      </c>
      <c r="L18">
        <v>53</v>
      </c>
      <c r="M18">
        <v>1403</v>
      </c>
      <c r="N18">
        <v>184</v>
      </c>
      <c r="O18">
        <v>106</v>
      </c>
      <c r="P18">
        <v>6172</v>
      </c>
      <c r="Q18">
        <v>723</v>
      </c>
      <c r="R18">
        <v>1421</v>
      </c>
    </row>
    <row r="19" spans="1:18" x14ac:dyDescent="0.3">
      <c r="A19">
        <v>0.9</v>
      </c>
      <c r="B19" t="s">
        <v>31</v>
      </c>
      <c r="C19" t="s">
        <v>90</v>
      </c>
      <c r="D19">
        <v>338</v>
      </c>
      <c r="E19">
        <v>213</v>
      </c>
      <c r="F19">
        <v>150</v>
      </c>
      <c r="G19">
        <v>381</v>
      </c>
      <c r="H19">
        <v>226</v>
      </c>
      <c r="I19">
        <v>215</v>
      </c>
      <c r="J19">
        <v>31</v>
      </c>
      <c r="K19">
        <v>42</v>
      </c>
      <c r="L19">
        <v>22</v>
      </c>
      <c r="M19">
        <v>391</v>
      </c>
      <c r="N19">
        <v>200</v>
      </c>
      <c r="O19">
        <v>240</v>
      </c>
      <c r="P19">
        <v>377</v>
      </c>
      <c r="Q19">
        <v>347</v>
      </c>
      <c r="R19">
        <v>144</v>
      </c>
    </row>
    <row r="20" spans="1:18" x14ac:dyDescent="0.3">
      <c r="A20">
        <v>0.9</v>
      </c>
      <c r="B20" t="s">
        <v>57</v>
      </c>
      <c r="C20" t="s">
        <v>90</v>
      </c>
      <c r="D20">
        <v>468</v>
      </c>
      <c r="E20">
        <v>408</v>
      </c>
      <c r="F20">
        <v>364</v>
      </c>
      <c r="G20">
        <v>261</v>
      </c>
      <c r="H20">
        <v>219</v>
      </c>
      <c r="I20">
        <v>270</v>
      </c>
      <c r="J20">
        <v>22</v>
      </c>
      <c r="K20">
        <v>45</v>
      </c>
      <c r="L20">
        <v>24</v>
      </c>
      <c r="M20">
        <v>359</v>
      </c>
      <c r="N20">
        <v>165</v>
      </c>
      <c r="O20">
        <v>190</v>
      </c>
      <c r="P20">
        <v>247</v>
      </c>
      <c r="Q20">
        <v>574</v>
      </c>
      <c r="R20">
        <v>90</v>
      </c>
    </row>
    <row r="21" spans="1:18" x14ac:dyDescent="0.3">
      <c r="A21">
        <v>0.9</v>
      </c>
      <c r="B21" t="s">
        <v>56</v>
      </c>
      <c r="C21" t="s">
        <v>90</v>
      </c>
      <c r="D21">
        <v>434</v>
      </c>
      <c r="E21">
        <v>278</v>
      </c>
      <c r="F21">
        <v>246</v>
      </c>
      <c r="G21">
        <v>427</v>
      </c>
      <c r="H21">
        <v>201</v>
      </c>
      <c r="I21">
        <v>239</v>
      </c>
      <c r="J21">
        <v>30</v>
      </c>
      <c r="K21">
        <v>68</v>
      </c>
      <c r="L21">
        <v>18</v>
      </c>
      <c r="M21">
        <v>229</v>
      </c>
      <c r="N21">
        <v>96</v>
      </c>
      <c r="O21">
        <v>98</v>
      </c>
      <c r="P21">
        <v>157</v>
      </c>
      <c r="Q21">
        <v>936</v>
      </c>
      <c r="R21">
        <v>47</v>
      </c>
    </row>
    <row r="22" spans="1:18" x14ac:dyDescent="0.3">
      <c r="A22">
        <v>0.9</v>
      </c>
      <c r="B22" t="s">
        <v>31</v>
      </c>
      <c r="C22" t="s">
        <v>55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3">
      <c r="A23">
        <v>0.9</v>
      </c>
      <c r="B23" t="s">
        <v>57</v>
      </c>
      <c r="C23" t="s">
        <v>55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3">
      <c r="A24">
        <v>0.9</v>
      </c>
      <c r="B24" t="s">
        <v>56</v>
      </c>
      <c r="C24" t="s">
        <v>55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3">
      <c r="A25">
        <v>0.9</v>
      </c>
      <c r="B25" t="s">
        <v>31</v>
      </c>
      <c r="C25" t="s">
        <v>32</v>
      </c>
      <c r="D25">
        <v>7254</v>
      </c>
      <c r="E25">
        <v>774</v>
      </c>
      <c r="F25">
        <v>1837</v>
      </c>
      <c r="G25">
        <v>4014</v>
      </c>
      <c r="H25">
        <v>1932</v>
      </c>
      <c r="I25">
        <v>1231</v>
      </c>
      <c r="J25">
        <v>0</v>
      </c>
      <c r="K25">
        <v>0</v>
      </c>
      <c r="L25">
        <v>0</v>
      </c>
      <c r="M25">
        <v>1186</v>
      </c>
      <c r="N25">
        <v>40</v>
      </c>
      <c r="O25">
        <v>0</v>
      </c>
      <c r="P25">
        <v>7311</v>
      </c>
      <c r="Q25">
        <v>776</v>
      </c>
      <c r="R25">
        <v>1904</v>
      </c>
    </row>
    <row r="26" spans="1:18" x14ac:dyDescent="0.3">
      <c r="A26">
        <v>0.9</v>
      </c>
      <c r="B26" t="s">
        <v>57</v>
      </c>
      <c r="C26" t="s">
        <v>32</v>
      </c>
      <c r="D26">
        <v>7350</v>
      </c>
      <c r="E26">
        <v>775</v>
      </c>
      <c r="F26">
        <v>1954</v>
      </c>
      <c r="G26">
        <v>4073</v>
      </c>
      <c r="H26">
        <v>1896</v>
      </c>
      <c r="I26">
        <v>1296</v>
      </c>
      <c r="J26">
        <v>0</v>
      </c>
      <c r="K26">
        <v>0</v>
      </c>
      <c r="L26">
        <v>0</v>
      </c>
      <c r="M26">
        <v>1220</v>
      </c>
      <c r="N26">
        <v>56</v>
      </c>
      <c r="O26">
        <v>0</v>
      </c>
      <c r="P26">
        <v>7371</v>
      </c>
      <c r="Q26">
        <v>753</v>
      </c>
      <c r="R26">
        <v>1898</v>
      </c>
    </row>
    <row r="27" spans="1:18" x14ac:dyDescent="0.3">
      <c r="A27">
        <v>0.9</v>
      </c>
      <c r="B27" t="s">
        <v>56</v>
      </c>
      <c r="C27" t="s">
        <v>32</v>
      </c>
      <c r="D27">
        <v>7379</v>
      </c>
      <c r="E27">
        <v>749</v>
      </c>
      <c r="F27">
        <v>1850</v>
      </c>
      <c r="G27">
        <v>4043</v>
      </c>
      <c r="H27">
        <v>1834</v>
      </c>
      <c r="I27">
        <v>1305</v>
      </c>
      <c r="J27">
        <v>0</v>
      </c>
      <c r="K27">
        <v>0</v>
      </c>
      <c r="L27">
        <v>0</v>
      </c>
      <c r="M27">
        <v>1229</v>
      </c>
      <c r="N27">
        <v>47</v>
      </c>
      <c r="O27">
        <v>0</v>
      </c>
      <c r="P27">
        <v>7359</v>
      </c>
      <c r="Q27">
        <v>761</v>
      </c>
      <c r="R27">
        <v>1876</v>
      </c>
    </row>
    <row r="28" spans="1:18" x14ac:dyDescent="0.3">
      <c r="A28">
        <v>0.9</v>
      </c>
      <c r="B28" t="s">
        <v>31</v>
      </c>
      <c r="C28" t="s">
        <v>58</v>
      </c>
      <c r="D28" t="s">
        <v>59</v>
      </c>
      <c r="E28" t="s">
        <v>59</v>
      </c>
      <c r="F28" t="s">
        <v>59</v>
      </c>
      <c r="G28" t="s">
        <v>59</v>
      </c>
      <c r="H28" t="s">
        <v>59</v>
      </c>
      <c r="I28" t="s">
        <v>59</v>
      </c>
      <c r="J28">
        <v>0</v>
      </c>
      <c r="K28">
        <v>0</v>
      </c>
      <c r="L28">
        <v>0</v>
      </c>
      <c r="M28" t="s">
        <v>59</v>
      </c>
      <c r="N28" t="s">
        <v>59</v>
      </c>
      <c r="O28" t="s">
        <v>59</v>
      </c>
      <c r="P28" t="s">
        <v>59</v>
      </c>
      <c r="Q28" t="s">
        <v>59</v>
      </c>
      <c r="R28" t="s">
        <v>59</v>
      </c>
    </row>
    <row r="29" spans="1:18" x14ac:dyDescent="0.3">
      <c r="A29">
        <v>0.9</v>
      </c>
      <c r="B29" t="s">
        <v>57</v>
      </c>
      <c r="C29" t="s">
        <v>58</v>
      </c>
      <c r="D29" t="s">
        <v>59</v>
      </c>
      <c r="E29" t="s">
        <v>59</v>
      </c>
      <c r="F29" t="s">
        <v>59</v>
      </c>
      <c r="G29" t="s">
        <v>59</v>
      </c>
      <c r="H29" t="s">
        <v>59</v>
      </c>
      <c r="I29" t="s">
        <v>59</v>
      </c>
      <c r="J29">
        <v>0</v>
      </c>
      <c r="K29">
        <v>0</v>
      </c>
      <c r="L29">
        <v>0</v>
      </c>
      <c r="M29" t="s">
        <v>59</v>
      </c>
      <c r="N29" t="s">
        <v>59</v>
      </c>
      <c r="O29" t="s">
        <v>59</v>
      </c>
      <c r="P29" t="s">
        <v>59</v>
      </c>
      <c r="Q29" t="s">
        <v>59</v>
      </c>
      <c r="R29" t="s">
        <v>59</v>
      </c>
    </row>
    <row r="30" spans="1:18" x14ac:dyDescent="0.3">
      <c r="A30">
        <v>0.9</v>
      </c>
      <c r="B30" t="s">
        <v>56</v>
      </c>
      <c r="C30" t="s">
        <v>58</v>
      </c>
      <c r="D30" t="s">
        <v>59</v>
      </c>
      <c r="E30" t="s">
        <v>59</v>
      </c>
      <c r="F30" t="s">
        <v>59</v>
      </c>
      <c r="G30" t="s">
        <v>59</v>
      </c>
      <c r="H30" t="s">
        <v>59</v>
      </c>
      <c r="I30" t="s">
        <v>59</v>
      </c>
      <c r="J30">
        <v>0</v>
      </c>
      <c r="K30">
        <v>0</v>
      </c>
      <c r="L30">
        <v>0</v>
      </c>
      <c r="M30" t="s">
        <v>59</v>
      </c>
      <c r="N30" t="s">
        <v>59</v>
      </c>
      <c r="O30" t="s">
        <v>59</v>
      </c>
      <c r="P30" t="s">
        <v>59</v>
      </c>
      <c r="Q30" t="s">
        <v>59</v>
      </c>
      <c r="R30" t="s">
        <v>59</v>
      </c>
    </row>
    <row r="31" spans="1:18" x14ac:dyDescent="0.3">
      <c r="A31">
        <v>0.9</v>
      </c>
      <c r="B31" t="s">
        <v>31</v>
      </c>
      <c r="C31" t="s">
        <v>92</v>
      </c>
      <c r="D31">
        <v>122</v>
      </c>
      <c r="E31">
        <v>0</v>
      </c>
      <c r="F31">
        <v>86</v>
      </c>
      <c r="G31">
        <v>185</v>
      </c>
      <c r="H31">
        <v>116</v>
      </c>
      <c r="I31">
        <v>100</v>
      </c>
      <c r="J31">
        <v>5</v>
      </c>
      <c r="K31">
        <v>1</v>
      </c>
      <c r="L31">
        <v>3</v>
      </c>
      <c r="M31">
        <v>249</v>
      </c>
      <c r="N31">
        <v>84</v>
      </c>
      <c r="O31">
        <v>53</v>
      </c>
      <c r="P31">
        <v>1300</v>
      </c>
      <c r="Q31">
        <v>288</v>
      </c>
      <c r="R31">
        <v>147</v>
      </c>
    </row>
    <row r="32" spans="1:18" x14ac:dyDescent="0.3">
      <c r="A32">
        <v>0.9</v>
      </c>
      <c r="B32" t="s">
        <v>57</v>
      </c>
      <c r="C32" t="s">
        <v>92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575</v>
      </c>
      <c r="N32">
        <v>149</v>
      </c>
      <c r="O32">
        <v>81</v>
      </c>
      <c r="P32">
        <v>2382</v>
      </c>
      <c r="Q32">
        <v>462</v>
      </c>
      <c r="R32">
        <v>164</v>
      </c>
    </row>
    <row r="33" spans="1:18" x14ac:dyDescent="0.3">
      <c r="A33">
        <v>0.9</v>
      </c>
      <c r="B33" t="s">
        <v>56</v>
      </c>
      <c r="C33" t="s">
        <v>92</v>
      </c>
      <c r="D33">
        <v>30</v>
      </c>
      <c r="E33">
        <v>0</v>
      </c>
      <c r="F33">
        <v>45</v>
      </c>
      <c r="G33">
        <v>94</v>
      </c>
      <c r="H33">
        <v>76</v>
      </c>
      <c r="I33">
        <v>73</v>
      </c>
      <c r="J33">
        <v>30</v>
      </c>
      <c r="K33">
        <v>13</v>
      </c>
      <c r="L33">
        <v>12</v>
      </c>
      <c r="M33">
        <v>989</v>
      </c>
      <c r="N33">
        <v>126</v>
      </c>
      <c r="O33">
        <v>95</v>
      </c>
      <c r="P33">
        <v>3140</v>
      </c>
      <c r="Q33">
        <v>619</v>
      </c>
      <c r="R33">
        <v>127</v>
      </c>
    </row>
    <row r="34" spans="1:18" x14ac:dyDescent="0.3">
      <c r="A34">
        <v>0.95</v>
      </c>
      <c r="B34" t="s">
        <v>31</v>
      </c>
      <c r="C34" t="s">
        <v>34</v>
      </c>
      <c r="D34">
        <v>3513</v>
      </c>
      <c r="E34">
        <v>774</v>
      </c>
      <c r="F34">
        <v>46</v>
      </c>
      <c r="G34">
        <v>1231</v>
      </c>
      <c r="H34">
        <v>56</v>
      </c>
      <c r="I34">
        <v>0</v>
      </c>
      <c r="J34">
        <v>0</v>
      </c>
      <c r="K34">
        <v>0</v>
      </c>
      <c r="L34">
        <v>0</v>
      </c>
      <c r="M34">
        <v>1186</v>
      </c>
      <c r="N34">
        <v>40</v>
      </c>
      <c r="O34">
        <v>0</v>
      </c>
      <c r="P34">
        <v>3608</v>
      </c>
      <c r="Q34">
        <v>776</v>
      </c>
      <c r="R34">
        <v>59</v>
      </c>
    </row>
    <row r="35" spans="1:18" x14ac:dyDescent="0.3">
      <c r="A35">
        <v>0.95</v>
      </c>
      <c r="B35" t="s">
        <v>57</v>
      </c>
      <c r="C35" t="s">
        <v>34</v>
      </c>
      <c r="D35">
        <v>3579</v>
      </c>
      <c r="E35">
        <v>775</v>
      </c>
      <c r="F35">
        <v>61</v>
      </c>
      <c r="G35">
        <v>1190</v>
      </c>
      <c r="H35">
        <v>46</v>
      </c>
      <c r="I35">
        <v>0</v>
      </c>
      <c r="J35">
        <v>0</v>
      </c>
      <c r="K35">
        <v>0</v>
      </c>
      <c r="L35">
        <v>0</v>
      </c>
      <c r="M35">
        <v>1220</v>
      </c>
      <c r="N35">
        <v>56</v>
      </c>
      <c r="O35">
        <v>0</v>
      </c>
      <c r="P35">
        <v>3644</v>
      </c>
      <c r="Q35">
        <v>753</v>
      </c>
      <c r="R35">
        <v>55</v>
      </c>
    </row>
    <row r="36" spans="1:18" x14ac:dyDescent="0.3">
      <c r="A36">
        <v>0.95</v>
      </c>
      <c r="B36" t="s">
        <v>56</v>
      </c>
      <c r="C36" t="s">
        <v>34</v>
      </c>
      <c r="D36">
        <v>3622</v>
      </c>
      <c r="E36">
        <v>749</v>
      </c>
      <c r="F36">
        <v>58</v>
      </c>
      <c r="G36">
        <v>1174</v>
      </c>
      <c r="H36">
        <v>62</v>
      </c>
      <c r="I36">
        <v>0</v>
      </c>
      <c r="J36">
        <v>0</v>
      </c>
      <c r="K36">
        <v>0</v>
      </c>
      <c r="L36">
        <v>0</v>
      </c>
      <c r="M36">
        <v>1229</v>
      </c>
      <c r="N36">
        <v>47</v>
      </c>
      <c r="O36">
        <v>0</v>
      </c>
      <c r="P36">
        <v>3705</v>
      </c>
      <c r="Q36">
        <v>761</v>
      </c>
      <c r="R36">
        <v>64</v>
      </c>
    </row>
    <row r="37" spans="1:18" x14ac:dyDescent="0.3">
      <c r="A37">
        <v>0.95</v>
      </c>
      <c r="B37" t="s">
        <v>31</v>
      </c>
      <c r="C37" t="s">
        <v>33</v>
      </c>
      <c r="D37">
        <v>0</v>
      </c>
      <c r="E37">
        <v>0</v>
      </c>
      <c r="F37">
        <v>0</v>
      </c>
      <c r="G37">
        <v>0</v>
      </c>
      <c r="H37">
        <v>665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1439</v>
      </c>
      <c r="R37">
        <v>2</v>
      </c>
    </row>
    <row r="38" spans="1:18" x14ac:dyDescent="0.3">
      <c r="A38">
        <v>0.95</v>
      </c>
      <c r="B38" t="s">
        <v>57</v>
      </c>
      <c r="C38" t="s">
        <v>33</v>
      </c>
      <c r="D38">
        <v>0</v>
      </c>
      <c r="E38">
        <v>0</v>
      </c>
      <c r="F38">
        <v>0</v>
      </c>
      <c r="G38">
        <v>0</v>
      </c>
      <c r="H38">
        <v>636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1375</v>
      </c>
      <c r="R38">
        <v>1</v>
      </c>
    </row>
    <row r="39" spans="1:18" x14ac:dyDescent="0.3">
      <c r="A39">
        <v>0.95</v>
      </c>
      <c r="B39" t="s">
        <v>56</v>
      </c>
      <c r="C39" t="s">
        <v>33</v>
      </c>
      <c r="D39">
        <v>0</v>
      </c>
      <c r="E39">
        <v>0</v>
      </c>
      <c r="F39">
        <v>0</v>
      </c>
      <c r="G39">
        <v>0</v>
      </c>
      <c r="H39">
        <v>597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1398</v>
      </c>
      <c r="R39">
        <v>4</v>
      </c>
    </row>
    <row r="40" spans="1:18" x14ac:dyDescent="0.3">
      <c r="A40">
        <v>0.95</v>
      </c>
      <c r="B40" t="s">
        <v>31</v>
      </c>
      <c r="C40" t="s">
        <v>84</v>
      </c>
      <c r="D40">
        <v>3665</v>
      </c>
      <c r="E40">
        <v>640</v>
      </c>
      <c r="F40">
        <v>505</v>
      </c>
      <c r="G40">
        <v>1177</v>
      </c>
      <c r="H40">
        <v>227</v>
      </c>
      <c r="I40">
        <v>133</v>
      </c>
      <c r="J40">
        <v>11</v>
      </c>
      <c r="K40">
        <v>8</v>
      </c>
      <c r="L40">
        <v>8</v>
      </c>
      <c r="M40">
        <v>1043</v>
      </c>
      <c r="N40">
        <v>132</v>
      </c>
      <c r="O40">
        <v>73</v>
      </c>
      <c r="P40">
        <v>3667</v>
      </c>
      <c r="Q40">
        <v>643</v>
      </c>
      <c r="R40">
        <v>522</v>
      </c>
    </row>
    <row r="41" spans="1:18" x14ac:dyDescent="0.3">
      <c r="A41">
        <v>0.95</v>
      </c>
      <c r="B41" t="s">
        <v>57</v>
      </c>
      <c r="C41" t="s">
        <v>84</v>
      </c>
      <c r="D41">
        <v>699</v>
      </c>
      <c r="E41">
        <v>157</v>
      </c>
      <c r="F41">
        <v>15</v>
      </c>
      <c r="G41">
        <v>361</v>
      </c>
      <c r="H41">
        <v>11</v>
      </c>
      <c r="I41">
        <v>0</v>
      </c>
      <c r="J41">
        <v>2</v>
      </c>
      <c r="K41">
        <v>3</v>
      </c>
      <c r="L41">
        <v>3</v>
      </c>
      <c r="M41">
        <v>1307</v>
      </c>
      <c r="N41">
        <v>207</v>
      </c>
      <c r="O41">
        <v>123</v>
      </c>
      <c r="P41">
        <v>5090</v>
      </c>
      <c r="Q41">
        <v>682</v>
      </c>
      <c r="R41">
        <v>998</v>
      </c>
    </row>
    <row r="42" spans="1:18" x14ac:dyDescent="0.3">
      <c r="A42">
        <v>0.95</v>
      </c>
      <c r="B42" t="s">
        <v>56</v>
      </c>
      <c r="C42" t="s">
        <v>84</v>
      </c>
      <c r="D42">
        <v>2614</v>
      </c>
      <c r="E42">
        <v>514</v>
      </c>
      <c r="F42">
        <v>168</v>
      </c>
      <c r="G42">
        <v>934</v>
      </c>
      <c r="H42">
        <v>132</v>
      </c>
      <c r="I42">
        <v>79</v>
      </c>
      <c r="J42">
        <v>109</v>
      </c>
      <c r="K42">
        <v>72</v>
      </c>
      <c r="L42">
        <v>53</v>
      </c>
      <c r="M42">
        <v>1403</v>
      </c>
      <c r="N42">
        <v>184</v>
      </c>
      <c r="O42">
        <v>106</v>
      </c>
      <c r="P42">
        <v>6172</v>
      </c>
      <c r="Q42">
        <v>723</v>
      </c>
      <c r="R42">
        <v>1421</v>
      </c>
    </row>
    <row r="43" spans="1:18" x14ac:dyDescent="0.3">
      <c r="A43">
        <v>0.95</v>
      </c>
      <c r="B43" t="s">
        <v>31</v>
      </c>
      <c r="C43" t="s">
        <v>86</v>
      </c>
      <c r="D43">
        <v>338</v>
      </c>
      <c r="E43">
        <v>213</v>
      </c>
      <c r="F43">
        <v>150</v>
      </c>
      <c r="G43">
        <v>381</v>
      </c>
      <c r="H43">
        <v>226</v>
      </c>
      <c r="I43">
        <v>215</v>
      </c>
      <c r="J43">
        <v>31</v>
      </c>
      <c r="K43">
        <v>42</v>
      </c>
      <c r="L43">
        <v>22</v>
      </c>
      <c r="M43">
        <v>391</v>
      </c>
      <c r="N43">
        <v>200</v>
      </c>
      <c r="O43">
        <v>240</v>
      </c>
      <c r="P43">
        <v>377</v>
      </c>
      <c r="Q43">
        <v>347</v>
      </c>
      <c r="R43">
        <v>144</v>
      </c>
    </row>
    <row r="44" spans="1:18" x14ac:dyDescent="0.3">
      <c r="A44">
        <v>0.95</v>
      </c>
      <c r="B44" t="s">
        <v>57</v>
      </c>
      <c r="C44" t="s">
        <v>86</v>
      </c>
      <c r="D44">
        <v>468</v>
      </c>
      <c r="E44">
        <v>408</v>
      </c>
      <c r="F44">
        <v>364</v>
      </c>
      <c r="G44">
        <v>261</v>
      </c>
      <c r="H44">
        <v>219</v>
      </c>
      <c r="I44">
        <v>270</v>
      </c>
      <c r="J44">
        <v>22</v>
      </c>
      <c r="K44">
        <v>45</v>
      </c>
      <c r="L44">
        <v>24</v>
      </c>
      <c r="M44">
        <v>359</v>
      </c>
      <c r="N44">
        <v>165</v>
      </c>
      <c r="O44">
        <v>190</v>
      </c>
      <c r="P44">
        <v>247</v>
      </c>
      <c r="Q44">
        <v>574</v>
      </c>
      <c r="R44">
        <v>90</v>
      </c>
    </row>
    <row r="45" spans="1:18" x14ac:dyDescent="0.3">
      <c r="A45">
        <v>0.95</v>
      </c>
      <c r="B45" t="s">
        <v>56</v>
      </c>
      <c r="C45" t="s">
        <v>86</v>
      </c>
      <c r="D45">
        <v>434</v>
      </c>
      <c r="E45">
        <v>278</v>
      </c>
      <c r="F45">
        <v>246</v>
      </c>
      <c r="G45">
        <v>427</v>
      </c>
      <c r="H45">
        <v>201</v>
      </c>
      <c r="I45">
        <v>239</v>
      </c>
      <c r="J45">
        <v>30</v>
      </c>
      <c r="K45">
        <v>68</v>
      </c>
      <c r="L45">
        <v>18</v>
      </c>
      <c r="M45">
        <v>229</v>
      </c>
      <c r="N45">
        <v>96</v>
      </c>
      <c r="O45">
        <v>98</v>
      </c>
      <c r="P45">
        <v>157</v>
      </c>
      <c r="Q45">
        <v>936</v>
      </c>
      <c r="R45">
        <v>47</v>
      </c>
    </row>
    <row r="46" spans="1:18" x14ac:dyDescent="0.3">
      <c r="A46">
        <v>0.95</v>
      </c>
      <c r="B46" t="s">
        <v>31</v>
      </c>
      <c r="C46" t="s">
        <v>88</v>
      </c>
      <c r="D46">
        <v>3665</v>
      </c>
      <c r="E46">
        <v>640</v>
      </c>
      <c r="F46">
        <v>505</v>
      </c>
      <c r="G46">
        <v>1177</v>
      </c>
      <c r="H46">
        <v>227</v>
      </c>
      <c r="I46">
        <v>133</v>
      </c>
      <c r="J46">
        <v>11</v>
      </c>
      <c r="K46">
        <v>8</v>
      </c>
      <c r="L46">
        <v>8</v>
      </c>
      <c r="M46">
        <v>1043</v>
      </c>
      <c r="N46">
        <v>132</v>
      </c>
      <c r="O46">
        <v>73</v>
      </c>
      <c r="P46">
        <v>3667</v>
      </c>
      <c r="Q46">
        <v>643</v>
      </c>
      <c r="R46">
        <v>522</v>
      </c>
    </row>
    <row r="47" spans="1:18" x14ac:dyDescent="0.3">
      <c r="A47">
        <v>0.95</v>
      </c>
      <c r="B47" t="s">
        <v>57</v>
      </c>
      <c r="C47" t="s">
        <v>88</v>
      </c>
      <c r="D47">
        <v>699</v>
      </c>
      <c r="E47">
        <v>157</v>
      </c>
      <c r="F47">
        <v>15</v>
      </c>
      <c r="G47">
        <v>361</v>
      </c>
      <c r="H47">
        <v>11</v>
      </c>
      <c r="I47">
        <v>0</v>
      </c>
      <c r="J47">
        <v>2</v>
      </c>
      <c r="K47">
        <v>3</v>
      </c>
      <c r="L47">
        <v>3</v>
      </c>
      <c r="M47">
        <v>1307</v>
      </c>
      <c r="N47">
        <v>207</v>
      </c>
      <c r="O47">
        <v>123</v>
      </c>
      <c r="P47">
        <v>5090</v>
      </c>
      <c r="Q47">
        <v>682</v>
      </c>
      <c r="R47">
        <v>998</v>
      </c>
    </row>
    <row r="48" spans="1:18" x14ac:dyDescent="0.3">
      <c r="A48">
        <v>0.95</v>
      </c>
      <c r="B48" t="s">
        <v>56</v>
      </c>
      <c r="C48" t="s">
        <v>88</v>
      </c>
      <c r="D48">
        <v>2614</v>
      </c>
      <c r="E48">
        <v>514</v>
      </c>
      <c r="F48">
        <v>168</v>
      </c>
      <c r="G48">
        <v>934</v>
      </c>
      <c r="H48">
        <v>132</v>
      </c>
      <c r="I48">
        <v>79</v>
      </c>
      <c r="J48">
        <v>109</v>
      </c>
      <c r="K48">
        <v>72</v>
      </c>
      <c r="L48">
        <v>53</v>
      </c>
      <c r="M48">
        <v>1403</v>
      </c>
      <c r="N48">
        <v>184</v>
      </c>
      <c r="O48">
        <v>106</v>
      </c>
      <c r="P48">
        <v>6172</v>
      </c>
      <c r="Q48">
        <v>723</v>
      </c>
      <c r="R48">
        <v>1421</v>
      </c>
    </row>
    <row r="49" spans="1:18" x14ac:dyDescent="0.3">
      <c r="A49">
        <v>0.95</v>
      </c>
      <c r="B49" t="s">
        <v>31</v>
      </c>
      <c r="C49" t="s">
        <v>90</v>
      </c>
      <c r="D49">
        <v>338</v>
      </c>
      <c r="E49">
        <v>213</v>
      </c>
      <c r="F49">
        <v>150</v>
      </c>
      <c r="G49">
        <v>381</v>
      </c>
      <c r="H49">
        <v>226</v>
      </c>
      <c r="I49">
        <v>215</v>
      </c>
      <c r="J49">
        <v>31</v>
      </c>
      <c r="K49">
        <v>42</v>
      </c>
      <c r="L49">
        <v>22</v>
      </c>
      <c r="M49">
        <v>391</v>
      </c>
      <c r="N49">
        <v>200</v>
      </c>
      <c r="O49">
        <v>240</v>
      </c>
      <c r="P49">
        <v>377</v>
      </c>
      <c r="Q49">
        <v>347</v>
      </c>
      <c r="R49">
        <v>144</v>
      </c>
    </row>
    <row r="50" spans="1:18" x14ac:dyDescent="0.3">
      <c r="A50">
        <v>0.95</v>
      </c>
      <c r="B50" t="s">
        <v>57</v>
      </c>
      <c r="C50" t="s">
        <v>90</v>
      </c>
      <c r="D50">
        <v>468</v>
      </c>
      <c r="E50">
        <v>408</v>
      </c>
      <c r="F50">
        <v>364</v>
      </c>
      <c r="G50">
        <v>261</v>
      </c>
      <c r="H50">
        <v>219</v>
      </c>
      <c r="I50">
        <v>270</v>
      </c>
      <c r="J50">
        <v>22</v>
      </c>
      <c r="K50">
        <v>45</v>
      </c>
      <c r="L50">
        <v>24</v>
      </c>
      <c r="M50">
        <v>359</v>
      </c>
      <c r="N50">
        <v>165</v>
      </c>
      <c r="O50">
        <v>190</v>
      </c>
      <c r="P50">
        <v>247</v>
      </c>
      <c r="Q50">
        <v>574</v>
      </c>
      <c r="R50">
        <v>90</v>
      </c>
    </row>
    <row r="51" spans="1:18" x14ac:dyDescent="0.3">
      <c r="A51">
        <v>0.95</v>
      </c>
      <c r="B51" t="s">
        <v>56</v>
      </c>
      <c r="C51" t="s">
        <v>90</v>
      </c>
      <c r="D51">
        <v>434</v>
      </c>
      <c r="E51">
        <v>278</v>
      </c>
      <c r="F51">
        <v>246</v>
      </c>
      <c r="G51">
        <v>427</v>
      </c>
      <c r="H51">
        <v>201</v>
      </c>
      <c r="I51">
        <v>239</v>
      </c>
      <c r="J51">
        <v>30</v>
      </c>
      <c r="K51">
        <v>68</v>
      </c>
      <c r="L51">
        <v>18</v>
      </c>
      <c r="M51">
        <v>229</v>
      </c>
      <c r="N51">
        <v>96</v>
      </c>
      <c r="O51">
        <v>98</v>
      </c>
      <c r="P51">
        <v>157</v>
      </c>
      <c r="Q51">
        <v>936</v>
      </c>
      <c r="R51">
        <v>47</v>
      </c>
    </row>
    <row r="52" spans="1:18" x14ac:dyDescent="0.3">
      <c r="A52">
        <v>0.95</v>
      </c>
      <c r="B52" t="s">
        <v>31</v>
      </c>
      <c r="C52" t="s">
        <v>55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3">
      <c r="A53">
        <v>0.95</v>
      </c>
      <c r="B53" t="s">
        <v>57</v>
      </c>
      <c r="C53" t="s">
        <v>55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3">
      <c r="A54">
        <v>0.95</v>
      </c>
      <c r="B54" t="s">
        <v>56</v>
      </c>
      <c r="C54" t="s">
        <v>55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3">
      <c r="A55">
        <v>0.95</v>
      </c>
      <c r="B55" t="s">
        <v>31</v>
      </c>
      <c r="C55" t="s">
        <v>32</v>
      </c>
      <c r="D55">
        <v>7254</v>
      </c>
      <c r="E55">
        <v>774</v>
      </c>
      <c r="F55">
        <v>1837</v>
      </c>
      <c r="G55">
        <v>4014</v>
      </c>
      <c r="H55">
        <v>1932</v>
      </c>
      <c r="I55">
        <v>1231</v>
      </c>
      <c r="J55">
        <v>0</v>
      </c>
      <c r="K55">
        <v>0</v>
      </c>
      <c r="L55">
        <v>0</v>
      </c>
      <c r="M55">
        <v>1186</v>
      </c>
      <c r="N55">
        <v>40</v>
      </c>
      <c r="O55">
        <v>0</v>
      </c>
      <c r="P55">
        <v>7311</v>
      </c>
      <c r="Q55">
        <v>776</v>
      </c>
      <c r="R55">
        <v>1904</v>
      </c>
    </row>
    <row r="56" spans="1:18" x14ac:dyDescent="0.3">
      <c r="A56">
        <v>0.95</v>
      </c>
      <c r="B56" t="s">
        <v>57</v>
      </c>
      <c r="C56" t="s">
        <v>32</v>
      </c>
      <c r="D56">
        <v>7350</v>
      </c>
      <c r="E56">
        <v>775</v>
      </c>
      <c r="F56">
        <v>1954</v>
      </c>
      <c r="G56">
        <v>4073</v>
      </c>
      <c r="H56">
        <v>1896</v>
      </c>
      <c r="I56">
        <v>1296</v>
      </c>
      <c r="J56">
        <v>0</v>
      </c>
      <c r="K56">
        <v>0</v>
      </c>
      <c r="L56">
        <v>0</v>
      </c>
      <c r="M56">
        <v>1220</v>
      </c>
      <c r="N56">
        <v>56</v>
      </c>
      <c r="O56">
        <v>0</v>
      </c>
      <c r="P56">
        <v>7371</v>
      </c>
      <c r="Q56">
        <v>753</v>
      </c>
      <c r="R56">
        <v>1898</v>
      </c>
    </row>
    <row r="57" spans="1:18" x14ac:dyDescent="0.3">
      <c r="A57">
        <v>0.95</v>
      </c>
      <c r="B57" t="s">
        <v>56</v>
      </c>
      <c r="C57" t="s">
        <v>32</v>
      </c>
      <c r="D57">
        <v>7379</v>
      </c>
      <c r="E57">
        <v>749</v>
      </c>
      <c r="F57">
        <v>1850</v>
      </c>
      <c r="G57">
        <v>4043</v>
      </c>
      <c r="H57">
        <v>1834</v>
      </c>
      <c r="I57">
        <v>1305</v>
      </c>
      <c r="J57">
        <v>0</v>
      </c>
      <c r="K57">
        <v>0</v>
      </c>
      <c r="L57">
        <v>0</v>
      </c>
      <c r="M57">
        <v>1229</v>
      </c>
      <c r="N57">
        <v>47</v>
      </c>
      <c r="O57">
        <v>0</v>
      </c>
      <c r="P57">
        <v>7359</v>
      </c>
      <c r="Q57">
        <v>761</v>
      </c>
      <c r="R57">
        <v>1876</v>
      </c>
    </row>
    <row r="58" spans="1:18" x14ac:dyDescent="0.3">
      <c r="A58">
        <v>0.95</v>
      </c>
      <c r="B58" t="s">
        <v>31</v>
      </c>
      <c r="C58" t="s">
        <v>58</v>
      </c>
      <c r="D58" t="s">
        <v>59</v>
      </c>
      <c r="E58" t="s">
        <v>59</v>
      </c>
      <c r="F58" t="s">
        <v>59</v>
      </c>
      <c r="G58" t="s">
        <v>59</v>
      </c>
      <c r="H58" t="s">
        <v>59</v>
      </c>
      <c r="I58" t="s">
        <v>59</v>
      </c>
      <c r="J58">
        <v>0</v>
      </c>
      <c r="K58">
        <v>0</v>
      </c>
      <c r="L58">
        <v>0</v>
      </c>
      <c r="M58" t="s">
        <v>59</v>
      </c>
      <c r="N58" t="s">
        <v>59</v>
      </c>
      <c r="O58" t="s">
        <v>59</v>
      </c>
      <c r="P58" t="s">
        <v>59</v>
      </c>
      <c r="Q58" t="s">
        <v>59</v>
      </c>
      <c r="R58" t="s">
        <v>59</v>
      </c>
    </row>
    <row r="59" spans="1:18" x14ac:dyDescent="0.3">
      <c r="A59">
        <v>0.95</v>
      </c>
      <c r="B59" t="s">
        <v>57</v>
      </c>
      <c r="C59" t="s">
        <v>58</v>
      </c>
      <c r="D59" t="s">
        <v>59</v>
      </c>
      <c r="E59" t="s">
        <v>59</v>
      </c>
      <c r="F59" t="s">
        <v>59</v>
      </c>
      <c r="G59" t="s">
        <v>59</v>
      </c>
      <c r="H59" t="s">
        <v>59</v>
      </c>
      <c r="I59" t="s">
        <v>59</v>
      </c>
      <c r="J59">
        <v>0</v>
      </c>
      <c r="K59">
        <v>0</v>
      </c>
      <c r="L59">
        <v>0</v>
      </c>
      <c r="M59" t="s">
        <v>59</v>
      </c>
      <c r="N59" t="s">
        <v>59</v>
      </c>
      <c r="O59" t="s">
        <v>59</v>
      </c>
      <c r="P59" t="s">
        <v>59</v>
      </c>
      <c r="Q59" t="s">
        <v>59</v>
      </c>
      <c r="R59" t="s">
        <v>59</v>
      </c>
    </row>
    <row r="60" spans="1:18" x14ac:dyDescent="0.3">
      <c r="A60">
        <v>0.95</v>
      </c>
      <c r="B60" t="s">
        <v>56</v>
      </c>
      <c r="C60" t="s">
        <v>58</v>
      </c>
      <c r="D60" t="s">
        <v>59</v>
      </c>
      <c r="E60" t="s">
        <v>59</v>
      </c>
      <c r="F60" t="s">
        <v>59</v>
      </c>
      <c r="G60" t="s">
        <v>59</v>
      </c>
      <c r="H60" t="s">
        <v>59</v>
      </c>
      <c r="I60" t="s">
        <v>59</v>
      </c>
      <c r="J60">
        <v>0</v>
      </c>
      <c r="K60">
        <v>0</v>
      </c>
      <c r="L60">
        <v>0</v>
      </c>
      <c r="M60" t="s">
        <v>59</v>
      </c>
      <c r="N60" t="s">
        <v>59</v>
      </c>
      <c r="O60" t="s">
        <v>59</v>
      </c>
      <c r="P60" t="s">
        <v>59</v>
      </c>
      <c r="Q60" t="s">
        <v>59</v>
      </c>
      <c r="R60" t="s">
        <v>59</v>
      </c>
    </row>
    <row r="61" spans="1:18" x14ac:dyDescent="0.3">
      <c r="A61">
        <v>0.95</v>
      </c>
      <c r="B61" t="s">
        <v>31</v>
      </c>
      <c r="C61" t="s">
        <v>92</v>
      </c>
      <c r="D61">
        <v>122</v>
      </c>
      <c r="E61">
        <v>0</v>
      </c>
      <c r="F61">
        <v>86</v>
      </c>
      <c r="G61">
        <v>185</v>
      </c>
      <c r="H61">
        <v>116</v>
      </c>
      <c r="I61">
        <v>100</v>
      </c>
      <c r="J61">
        <v>5</v>
      </c>
      <c r="K61">
        <v>1</v>
      </c>
      <c r="L61">
        <v>3</v>
      </c>
      <c r="M61">
        <v>249</v>
      </c>
      <c r="N61">
        <v>84</v>
      </c>
      <c r="O61">
        <v>53</v>
      </c>
      <c r="P61">
        <v>1300</v>
      </c>
      <c r="Q61">
        <v>288</v>
      </c>
      <c r="R61">
        <v>147</v>
      </c>
    </row>
    <row r="62" spans="1:18" x14ac:dyDescent="0.3">
      <c r="A62">
        <v>0.95</v>
      </c>
      <c r="B62" t="s">
        <v>57</v>
      </c>
      <c r="C62" t="s">
        <v>92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575</v>
      </c>
      <c r="N62">
        <v>149</v>
      </c>
      <c r="O62">
        <v>81</v>
      </c>
      <c r="P62">
        <v>2382</v>
      </c>
      <c r="Q62">
        <v>462</v>
      </c>
      <c r="R62">
        <v>164</v>
      </c>
    </row>
    <row r="63" spans="1:18" x14ac:dyDescent="0.3">
      <c r="A63">
        <v>0.95</v>
      </c>
      <c r="B63" t="s">
        <v>56</v>
      </c>
      <c r="C63" t="s">
        <v>92</v>
      </c>
      <c r="D63">
        <v>30</v>
      </c>
      <c r="E63">
        <v>0</v>
      </c>
      <c r="F63">
        <v>45</v>
      </c>
      <c r="G63">
        <v>94</v>
      </c>
      <c r="H63">
        <v>76</v>
      </c>
      <c r="I63">
        <v>73</v>
      </c>
      <c r="J63">
        <v>30</v>
      </c>
      <c r="K63">
        <v>13</v>
      </c>
      <c r="L63">
        <v>12</v>
      </c>
      <c r="M63">
        <v>989</v>
      </c>
      <c r="N63">
        <v>126</v>
      </c>
      <c r="O63">
        <v>95</v>
      </c>
      <c r="P63">
        <v>3140</v>
      </c>
      <c r="Q63">
        <v>619</v>
      </c>
      <c r="R63">
        <v>127</v>
      </c>
    </row>
  </sheetData>
  <sortState xmlns:xlrd2="http://schemas.microsoft.com/office/spreadsheetml/2017/richdata2" ref="A4:R63">
    <sortCondition ref="A4:A63"/>
    <sortCondition ref="C4:C63"/>
    <sortCondition descending="1" ref="B4:B63"/>
  </sortState>
  <mergeCells count="5">
    <mergeCell ref="D1:F1"/>
    <mergeCell ref="G1:I1"/>
    <mergeCell ref="J1:L1"/>
    <mergeCell ref="M1:O1"/>
    <mergeCell ref="P1:R1"/>
  </mergeCells>
  <conditionalFormatting sqref="D4:R63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DB0C4-04B7-4F7F-B37A-4AA59384C20C}">
  <sheetPr filterMode="1">
    <tabColor rgb="FFFFC000"/>
  </sheetPr>
  <dimension ref="A1:T65"/>
  <sheetViews>
    <sheetView topLeftCell="A38" workbookViewId="0">
      <selection activeCell="D36" sqref="D36"/>
    </sheetView>
  </sheetViews>
  <sheetFormatPr defaultRowHeight="14.4" x14ac:dyDescent="0.3"/>
  <sheetData>
    <row r="1" spans="1:20" ht="15" thickBot="1" x14ac:dyDescent="0.35">
      <c r="B1" t="s">
        <v>138</v>
      </c>
      <c r="C1" s="47">
        <v>0.9</v>
      </c>
      <c r="D1" s="47"/>
      <c r="E1" s="47"/>
      <c r="F1" s="47"/>
      <c r="G1" s="47"/>
      <c r="H1" s="47"/>
      <c r="I1" s="47"/>
      <c r="J1" s="47"/>
      <c r="K1" s="47"/>
      <c r="L1" s="47">
        <v>0.95</v>
      </c>
      <c r="M1" s="47"/>
      <c r="N1" s="47"/>
      <c r="O1" s="47"/>
      <c r="P1" s="47"/>
      <c r="Q1" s="47"/>
      <c r="R1" s="47"/>
      <c r="S1" s="47"/>
      <c r="T1" s="47"/>
    </row>
    <row r="2" spans="1:20" x14ac:dyDescent="0.3">
      <c r="B2" t="s">
        <v>116</v>
      </c>
      <c r="C2" s="43" t="s">
        <v>95</v>
      </c>
      <c r="D2" s="43"/>
      <c r="E2" s="44"/>
      <c r="F2" s="43" t="s">
        <v>97</v>
      </c>
      <c r="G2" s="43" t="s">
        <v>97</v>
      </c>
      <c r="H2" s="44" t="s">
        <v>97</v>
      </c>
      <c r="I2" s="43" t="s">
        <v>99</v>
      </c>
      <c r="J2" s="43" t="s">
        <v>99</v>
      </c>
      <c r="K2" s="44" t="s">
        <v>99</v>
      </c>
      <c r="L2" s="43" t="s">
        <v>95</v>
      </c>
      <c r="M2" s="43" t="s">
        <v>95</v>
      </c>
      <c r="N2" s="44" t="s">
        <v>95</v>
      </c>
      <c r="O2" s="43" t="s">
        <v>97</v>
      </c>
      <c r="P2" s="43" t="s">
        <v>97</v>
      </c>
      <c r="Q2" s="44" t="s">
        <v>97</v>
      </c>
      <c r="R2" s="43" t="s">
        <v>99</v>
      </c>
      <c r="S2" s="43" t="s">
        <v>99</v>
      </c>
      <c r="T2" s="44" t="s">
        <v>99</v>
      </c>
    </row>
    <row r="3" spans="1:20" x14ac:dyDescent="0.3">
      <c r="B3" t="s">
        <v>1</v>
      </c>
      <c r="C3" t="s">
        <v>119</v>
      </c>
      <c r="D3" t="s">
        <v>120</v>
      </c>
      <c r="E3" s="19" t="s">
        <v>121</v>
      </c>
      <c r="F3" t="s">
        <v>119</v>
      </c>
      <c r="G3" t="s">
        <v>120</v>
      </c>
      <c r="H3" s="19" t="s">
        <v>121</v>
      </c>
      <c r="I3" t="s">
        <v>119</v>
      </c>
      <c r="J3" t="s">
        <v>120</v>
      </c>
      <c r="K3" s="19" t="s">
        <v>121</v>
      </c>
      <c r="L3" t="s">
        <v>119</v>
      </c>
      <c r="M3" t="s">
        <v>120</v>
      </c>
      <c r="N3" s="19" t="s">
        <v>121</v>
      </c>
      <c r="O3" t="s">
        <v>119</v>
      </c>
      <c r="P3" t="s">
        <v>120</v>
      </c>
      <c r="Q3" s="19" t="s">
        <v>121</v>
      </c>
      <c r="R3" t="s">
        <v>119</v>
      </c>
      <c r="S3" t="s">
        <v>120</v>
      </c>
      <c r="T3" s="19" t="s">
        <v>121</v>
      </c>
    </row>
    <row r="4" spans="1:20" x14ac:dyDescent="0.3">
      <c r="A4" t="s">
        <v>31</v>
      </c>
      <c r="B4" t="s">
        <v>122</v>
      </c>
      <c r="C4" s="15">
        <v>0.95552514539856304</v>
      </c>
      <c r="D4" s="15">
        <v>0.90647626709573603</v>
      </c>
      <c r="E4" s="15">
        <v>0.89429999999999998</v>
      </c>
      <c r="F4" s="15">
        <v>0.90720000000000001</v>
      </c>
      <c r="G4" s="15">
        <v>0.90239999999999998</v>
      </c>
      <c r="H4" s="15">
        <v>0.90500000000000003</v>
      </c>
      <c r="I4" s="15">
        <v>0.94826412525527604</v>
      </c>
      <c r="J4" s="15">
        <v>0.91285140562249001</v>
      </c>
      <c r="K4" s="15">
        <v>0.90369999999999995</v>
      </c>
      <c r="L4" s="15">
        <v>0.980499486828601</v>
      </c>
      <c r="M4" s="15">
        <v>0.95625502815768304</v>
      </c>
      <c r="N4" s="15">
        <v>0.94879999999999998</v>
      </c>
      <c r="O4" s="15">
        <v>0.94969999999999999</v>
      </c>
      <c r="P4" s="15">
        <v>0.95150000000000001</v>
      </c>
      <c r="Q4" s="15">
        <v>0.95409999999999995</v>
      </c>
      <c r="R4" s="15">
        <v>0.97889720898570498</v>
      </c>
      <c r="S4" s="15">
        <v>0.95712851405622501</v>
      </c>
      <c r="T4" s="15">
        <v>0.95179999999999998</v>
      </c>
    </row>
    <row r="5" spans="1:20" x14ac:dyDescent="0.3">
      <c r="A5" t="s">
        <v>57</v>
      </c>
      <c r="B5" t="s">
        <v>122</v>
      </c>
      <c r="C5" s="15">
        <v>0.95289443813847896</v>
      </c>
      <c r="D5" s="15">
        <v>0.91018685955394796</v>
      </c>
      <c r="E5" s="15">
        <v>0.89749999999999996</v>
      </c>
      <c r="F5" s="15">
        <v>0.90569999999999995</v>
      </c>
      <c r="G5" s="15">
        <v>0.90010000000000001</v>
      </c>
      <c r="H5" s="15">
        <v>0.90339999999999998</v>
      </c>
      <c r="I5" s="15">
        <v>0.94954441913439602</v>
      </c>
      <c r="J5" s="15">
        <v>0.91170555108608198</v>
      </c>
      <c r="K5" s="15">
        <v>0.9042</v>
      </c>
      <c r="L5" s="15">
        <v>0.980136208853575</v>
      </c>
      <c r="M5" s="15">
        <v>0.95459111914808104</v>
      </c>
      <c r="N5" s="15">
        <v>0.95020000000000004</v>
      </c>
      <c r="O5" s="15">
        <v>0.95340000000000003</v>
      </c>
      <c r="P5" s="15">
        <v>0.95189999999999997</v>
      </c>
      <c r="Q5" s="15">
        <v>0.95109999999999995</v>
      </c>
      <c r="R5" s="15">
        <v>0.97744874715261998</v>
      </c>
      <c r="S5" s="15">
        <v>0.95826629123089302</v>
      </c>
      <c r="T5" s="15">
        <v>0.95569999999999999</v>
      </c>
    </row>
    <row r="6" spans="1:20" x14ac:dyDescent="0.3">
      <c r="A6" t="s">
        <v>56</v>
      </c>
      <c r="B6" t="s">
        <v>122</v>
      </c>
      <c r="C6" s="15">
        <v>0.95354634035803298</v>
      </c>
      <c r="D6" s="15">
        <v>0.91296035419601496</v>
      </c>
      <c r="E6" s="15">
        <v>0.9</v>
      </c>
      <c r="F6" s="15">
        <v>0.89870000000000005</v>
      </c>
      <c r="G6" s="15">
        <v>0.90390000000000004</v>
      </c>
      <c r="H6" s="15">
        <v>0.90280000000000005</v>
      </c>
      <c r="I6" s="15">
        <v>0.94960665830577995</v>
      </c>
      <c r="J6" s="15">
        <v>0.91168491911986305</v>
      </c>
      <c r="K6" s="15">
        <v>0.89949999999999997</v>
      </c>
      <c r="L6" s="15">
        <v>0.98085202809879901</v>
      </c>
      <c r="M6" s="15">
        <v>0.95612799356007205</v>
      </c>
      <c r="N6" s="15">
        <v>0.95209999999999995</v>
      </c>
      <c r="O6" s="15">
        <v>0.94930000000000003</v>
      </c>
      <c r="P6" s="15">
        <v>0.95499999999999996</v>
      </c>
      <c r="Q6" s="15">
        <v>0.9506</v>
      </c>
      <c r="R6" s="15">
        <v>0.977653631284916</v>
      </c>
      <c r="S6" s="15">
        <v>0.95719883452225496</v>
      </c>
      <c r="T6" s="15">
        <v>0.95009999999999994</v>
      </c>
    </row>
    <row r="7" spans="1:20" x14ac:dyDescent="0.3">
      <c r="A7" t="s">
        <v>31</v>
      </c>
      <c r="B7" t="s">
        <v>123</v>
      </c>
      <c r="C7" s="15">
        <v>0.83579999999999999</v>
      </c>
      <c r="D7" s="15">
        <v>0.93497589716122098</v>
      </c>
      <c r="E7" s="15">
        <v>0.89649999999999996</v>
      </c>
      <c r="F7" s="15">
        <v>0.88900000000000001</v>
      </c>
      <c r="G7" s="15">
        <v>0.93489999999999995</v>
      </c>
      <c r="H7" s="15">
        <v>0.91549999999999998</v>
      </c>
      <c r="I7" s="15">
        <v>0.83399999999999996</v>
      </c>
      <c r="J7" s="15">
        <v>0.94320000000000004</v>
      </c>
      <c r="K7" s="15">
        <v>0.90469999999999995</v>
      </c>
      <c r="L7" s="15">
        <v>0.86719999999999997</v>
      </c>
      <c r="M7" s="15">
        <v>0.93497589716122098</v>
      </c>
      <c r="N7" s="15">
        <v>0.95320000000000005</v>
      </c>
      <c r="O7" s="15">
        <v>0.95609999999999995</v>
      </c>
      <c r="P7" s="15">
        <v>0.96509999999999996</v>
      </c>
      <c r="Q7" s="15">
        <v>0.96619999999999995</v>
      </c>
      <c r="R7" s="15">
        <v>0.86950000000000005</v>
      </c>
      <c r="S7" s="15">
        <v>0.94320000000000004</v>
      </c>
      <c r="T7" s="15">
        <v>0.95609999999999995</v>
      </c>
    </row>
    <row r="8" spans="1:20" x14ac:dyDescent="0.3">
      <c r="A8" t="s">
        <v>57</v>
      </c>
      <c r="B8" t="s">
        <v>123</v>
      </c>
      <c r="C8" s="15">
        <v>0.8377</v>
      </c>
      <c r="D8" s="15">
        <v>0.93656557026911602</v>
      </c>
      <c r="E8" s="15">
        <v>0.89929999999999999</v>
      </c>
      <c r="F8" s="15">
        <v>0.88839999999999997</v>
      </c>
      <c r="G8" s="15">
        <v>0.93559999999999999</v>
      </c>
      <c r="H8" s="15">
        <v>0.91379999999999995</v>
      </c>
      <c r="I8" s="15">
        <v>0.83209999999999995</v>
      </c>
      <c r="J8" s="15">
        <v>0.94040000000000001</v>
      </c>
      <c r="K8" s="15">
        <v>0.90449999999999997</v>
      </c>
      <c r="L8" s="15">
        <v>0.86780000000000002</v>
      </c>
      <c r="M8" s="15">
        <v>0.93656557026911602</v>
      </c>
      <c r="N8" s="15">
        <v>0.95389999999999997</v>
      </c>
      <c r="O8" s="15">
        <v>0.96020000000000005</v>
      </c>
      <c r="P8" s="15">
        <v>0.96599999999999997</v>
      </c>
      <c r="Q8" s="15">
        <v>0.96279999999999999</v>
      </c>
      <c r="R8" s="15">
        <v>0.86599999999999999</v>
      </c>
      <c r="S8" s="15">
        <v>0.94040000000000001</v>
      </c>
      <c r="T8" s="15">
        <v>0.95950000000000002</v>
      </c>
    </row>
    <row r="9" spans="1:20" x14ac:dyDescent="0.3">
      <c r="A9" t="s">
        <v>56</v>
      </c>
      <c r="B9" t="s">
        <v>123</v>
      </c>
      <c r="C9" s="15">
        <v>0.8397</v>
      </c>
      <c r="D9" s="15">
        <v>0.93597787940019095</v>
      </c>
      <c r="E9" s="15">
        <v>0.9022</v>
      </c>
      <c r="F9" s="15">
        <v>0.87880000000000003</v>
      </c>
      <c r="G9" s="15">
        <v>0.93789999999999996</v>
      </c>
      <c r="H9" s="15">
        <v>0.91300000000000003</v>
      </c>
      <c r="I9" s="15">
        <v>0.83120000000000005</v>
      </c>
      <c r="J9" s="15">
        <v>0.9385</v>
      </c>
      <c r="K9" s="15">
        <v>0.90059999999999996</v>
      </c>
      <c r="L9" s="15">
        <v>0.87180000000000002</v>
      </c>
      <c r="M9" s="15">
        <v>0.93597787940019095</v>
      </c>
      <c r="N9" s="15">
        <v>0.95669999999999999</v>
      </c>
      <c r="O9" s="15">
        <v>0.95640000000000003</v>
      </c>
      <c r="P9" s="15">
        <v>0.97060000000000002</v>
      </c>
      <c r="Q9" s="15">
        <v>0.96509999999999996</v>
      </c>
      <c r="R9" s="15">
        <v>0.86509999999999998</v>
      </c>
      <c r="S9" s="15">
        <v>0.9385</v>
      </c>
      <c r="T9" s="15">
        <v>0.95520000000000005</v>
      </c>
    </row>
    <row r="10" spans="1:20" x14ac:dyDescent="0.3">
      <c r="A10" t="s">
        <v>31</v>
      </c>
      <c r="B10" t="s">
        <v>124</v>
      </c>
      <c r="C10" s="15">
        <v>0.91748838263629195</v>
      </c>
      <c r="D10" s="15">
        <v>0.90760257853269199</v>
      </c>
      <c r="E10" s="15">
        <v>0.89165906557210906</v>
      </c>
      <c r="F10" s="15">
        <v>0.89658624486935601</v>
      </c>
      <c r="G10" s="15">
        <v>0.89351481184948001</v>
      </c>
      <c r="H10" s="15">
        <v>0.90722578062449999</v>
      </c>
      <c r="I10" s="15">
        <v>0.91392207212236198</v>
      </c>
      <c r="J10" s="15">
        <v>0.91376165383056296</v>
      </c>
      <c r="K10" s="15">
        <v>0.902286692857862</v>
      </c>
      <c r="L10" s="15">
        <v>0.95500396690468103</v>
      </c>
      <c r="M10" s="15">
        <v>0.94402946894505302</v>
      </c>
      <c r="N10" s="15">
        <v>0.95054221141177697</v>
      </c>
      <c r="O10" s="15">
        <v>0.94974471919111003</v>
      </c>
      <c r="P10" s="15">
        <v>0.94555644515612502</v>
      </c>
      <c r="Q10" s="15">
        <v>0.95076060848678901</v>
      </c>
      <c r="R10" s="15">
        <v>0.952439432845819</v>
      </c>
      <c r="S10" s="15">
        <v>0.94659505472233496</v>
      </c>
      <c r="T10" s="15">
        <v>0.95325878916087403</v>
      </c>
    </row>
    <row r="11" spans="1:20" x14ac:dyDescent="0.3">
      <c r="A11" t="s">
        <v>57</v>
      </c>
      <c r="B11" t="s">
        <v>124</v>
      </c>
      <c r="C11" s="15">
        <v>0.87934433032472203</v>
      </c>
      <c r="D11" s="15">
        <v>0.90529582540794895</v>
      </c>
      <c r="E11" s="15">
        <v>0.89419999999999999</v>
      </c>
      <c r="F11" s="15">
        <v>0.89627925585116996</v>
      </c>
      <c r="G11" s="15">
        <v>0.89346804041212402</v>
      </c>
      <c r="H11" s="15">
        <v>0.90537161148344503</v>
      </c>
      <c r="I11" s="15">
        <v>0.925572299551363</v>
      </c>
      <c r="J11" s="15">
        <v>0.91105891963647501</v>
      </c>
      <c r="K11" s="15">
        <v>0.90158955148324404</v>
      </c>
      <c r="L11" s="15">
        <v>0.91409897292250197</v>
      </c>
      <c r="M11" s="15">
        <v>0.94834317749524499</v>
      </c>
      <c r="N11" s="15">
        <v>0.9506</v>
      </c>
      <c r="O11" s="15">
        <v>0.95169033806761305</v>
      </c>
      <c r="P11" s="15">
        <v>0.94748424527358199</v>
      </c>
      <c r="Q11" s="15">
        <v>0.94938481544463305</v>
      </c>
      <c r="R11" s="15">
        <v>0.96433912343264705</v>
      </c>
      <c r="S11" s="15">
        <v>0.94557336873276798</v>
      </c>
      <c r="T11" s="15">
        <v>0.957881947959907</v>
      </c>
    </row>
    <row r="12" spans="1:20" x14ac:dyDescent="0.3">
      <c r="A12" t="s">
        <v>56</v>
      </c>
      <c r="B12" t="s">
        <v>124</v>
      </c>
      <c r="C12" s="15">
        <v>0.91495698213103904</v>
      </c>
      <c r="D12" s="15">
        <v>0.91193757600324299</v>
      </c>
      <c r="E12" s="15">
        <v>0.89869972785001495</v>
      </c>
      <c r="F12" s="15">
        <v>0.88231725811343598</v>
      </c>
      <c r="G12" s="15">
        <v>0.89182111200644598</v>
      </c>
      <c r="H12" s="15">
        <v>0.90791193324620501</v>
      </c>
      <c r="I12" s="15">
        <v>0.93695475165755504</v>
      </c>
      <c r="J12" s="15">
        <v>0.91014669926650404</v>
      </c>
      <c r="K12" s="15">
        <v>0.89872650090964201</v>
      </c>
      <c r="L12" s="15">
        <v>0.950033090668432</v>
      </c>
      <c r="M12" s="15">
        <v>0.94669639237940795</v>
      </c>
      <c r="N12" s="15">
        <v>0.95312972482612601</v>
      </c>
      <c r="O12" s="15">
        <v>0.95147103427358204</v>
      </c>
      <c r="P12" s="15">
        <v>0.94510475423045903</v>
      </c>
      <c r="Q12" s="15">
        <v>0.94701920176937804</v>
      </c>
      <c r="R12" s="15">
        <v>0.97731766895428596</v>
      </c>
      <c r="S12" s="15">
        <v>0.94182966585167105</v>
      </c>
      <c r="T12" s="15">
        <v>0.954517889630079</v>
      </c>
    </row>
    <row r="13" spans="1:20" hidden="1" x14ac:dyDescent="0.3">
      <c r="A13" t="s">
        <v>31</v>
      </c>
      <c r="B13" t="s">
        <v>86</v>
      </c>
      <c r="C13" s="15">
        <v>0.84322694666805298</v>
      </c>
      <c r="D13" s="15">
        <v>0.92715367301002705</v>
      </c>
      <c r="E13" s="15">
        <v>0.89862033725089396</v>
      </c>
      <c r="F13" s="15">
        <v>0.92827766074831997</v>
      </c>
      <c r="G13" s="15">
        <v>0.91996384816228205</v>
      </c>
      <c r="H13" s="15">
        <v>0.913108839446783</v>
      </c>
      <c r="I13" s="15">
        <v>0.84337600166510596</v>
      </c>
      <c r="J13" s="15">
        <v>0.93051020408163299</v>
      </c>
      <c r="K13" s="15">
        <v>0.90922131147540997</v>
      </c>
      <c r="L13" s="15">
        <v>0.86724191703919296</v>
      </c>
      <c r="M13" s="15">
        <v>0.94649068958461202</v>
      </c>
      <c r="N13" s="15">
        <v>0.95186509964231003</v>
      </c>
      <c r="O13" s="15">
        <v>0.96107934597251499</v>
      </c>
      <c r="P13" s="15">
        <v>0.95872665193814</v>
      </c>
      <c r="Q13" s="15">
        <v>0.96061334936861098</v>
      </c>
      <c r="R13" s="15">
        <v>0.86866479342283298</v>
      </c>
      <c r="S13" s="15">
        <v>0.94887755102040805</v>
      </c>
      <c r="T13" s="15">
        <v>0.95440573770491799</v>
      </c>
    </row>
    <row r="14" spans="1:20" hidden="1" x14ac:dyDescent="0.3">
      <c r="A14" t="s">
        <v>57</v>
      </c>
      <c r="B14" t="s">
        <v>86</v>
      </c>
      <c r="C14" s="15">
        <v>0.86702946914467605</v>
      </c>
      <c r="D14" s="15">
        <v>0.91667518658623903</v>
      </c>
      <c r="E14" s="15">
        <v>0.90647482014388503</v>
      </c>
      <c r="F14" s="15">
        <v>0.93335337743034696</v>
      </c>
      <c r="G14" s="15">
        <v>0.91823204419889504</v>
      </c>
      <c r="H14" s="15">
        <v>0.91208901363271899</v>
      </c>
      <c r="I14" s="15">
        <v>0.835183072295405</v>
      </c>
      <c r="J14" s="15">
        <v>0.93228266395526205</v>
      </c>
      <c r="K14" s="15">
        <v>0.90754332313965302</v>
      </c>
      <c r="L14" s="15">
        <v>0.89690933360714697</v>
      </c>
      <c r="M14" s="15">
        <v>0.95573049790410003</v>
      </c>
      <c r="N14" s="15">
        <v>0.95292908530318599</v>
      </c>
      <c r="O14" s="15">
        <v>0.96542393265183402</v>
      </c>
      <c r="P14" s="15">
        <v>0.96082370668006001</v>
      </c>
      <c r="Q14" s="15">
        <v>0.95699679230152401</v>
      </c>
      <c r="R14" s="15">
        <v>0.86329218960688703</v>
      </c>
      <c r="S14" s="15">
        <v>0.94550076258261295</v>
      </c>
      <c r="T14" s="15">
        <v>0.95861365953109101</v>
      </c>
    </row>
    <row r="15" spans="1:20" hidden="1" x14ac:dyDescent="0.3">
      <c r="A15" t="s">
        <v>56</v>
      </c>
      <c r="B15" t="s">
        <v>86</v>
      </c>
      <c r="C15" s="15">
        <v>0.84874125143633095</v>
      </c>
      <c r="D15" s="15">
        <v>0.92672721706296601</v>
      </c>
      <c r="E15" s="15">
        <v>0.90636205306833295</v>
      </c>
      <c r="F15" s="15">
        <v>0.91444332998997002</v>
      </c>
      <c r="G15" s="15">
        <v>0.92710430930326204</v>
      </c>
      <c r="H15" s="15">
        <v>0.91204167501502698</v>
      </c>
      <c r="I15" s="15">
        <v>0.83113294442738705</v>
      </c>
      <c r="J15" s="15">
        <v>0.93497576736672094</v>
      </c>
      <c r="K15" s="15">
        <v>0.90284790951323002</v>
      </c>
      <c r="L15" s="15">
        <v>0.87391622270970404</v>
      </c>
      <c r="M15" s="15">
        <v>0.94948464128992804</v>
      </c>
      <c r="N15" s="15">
        <v>0.95533244544616303</v>
      </c>
      <c r="O15" s="15">
        <v>0.95917753259779304</v>
      </c>
      <c r="P15" s="15">
        <v>0.96737817156665296</v>
      </c>
      <c r="Q15" s="15">
        <v>0.95912642756962496</v>
      </c>
      <c r="R15" s="15">
        <v>0.86367823150138201</v>
      </c>
      <c r="S15" s="15">
        <v>0.94073101777059798</v>
      </c>
      <c r="T15" s="15">
        <v>0.95475661482528795</v>
      </c>
    </row>
    <row r="16" spans="1:20" x14ac:dyDescent="0.3">
      <c r="A16" t="s">
        <v>31</v>
      </c>
      <c r="B16" t="s">
        <v>125</v>
      </c>
      <c r="C16" s="15">
        <v>0.91397483849030903</v>
      </c>
      <c r="D16" s="15">
        <v>0.90453289675637005</v>
      </c>
      <c r="E16" s="15">
        <v>0.890949630080065</v>
      </c>
      <c r="F16" s="15">
        <v>0.89418360196215796</v>
      </c>
      <c r="G16" s="15">
        <v>0.89211369095276205</v>
      </c>
      <c r="H16" s="15">
        <v>0.90662530024019194</v>
      </c>
      <c r="I16" s="15">
        <v>0.91135424807413201</v>
      </c>
      <c r="J16" s="15">
        <v>0.91092419943250902</v>
      </c>
      <c r="K16" s="15">
        <v>0.90057419159867003</v>
      </c>
      <c r="L16" s="15">
        <v>0.95239714382863006</v>
      </c>
      <c r="M16" s="15">
        <v>0.94136907807224002</v>
      </c>
      <c r="N16" s="15">
        <v>0.95033951555690699</v>
      </c>
      <c r="O16" s="15">
        <v>0.94874361797977802</v>
      </c>
      <c r="P16" s="15">
        <v>0.94405524419535602</v>
      </c>
      <c r="Q16" s="15">
        <v>0.95016012810248196</v>
      </c>
      <c r="R16" s="15">
        <v>0.94987160879758803</v>
      </c>
      <c r="S16" s="15">
        <v>0.94466963923794101</v>
      </c>
      <c r="T16" s="15">
        <v>0.95225143547899704</v>
      </c>
    </row>
    <row r="17" spans="1:20" x14ac:dyDescent="0.3">
      <c r="A17" t="s">
        <v>57</v>
      </c>
      <c r="B17" t="s">
        <v>125</v>
      </c>
      <c r="C17" s="15">
        <v>0.87228965660338198</v>
      </c>
      <c r="D17" s="15">
        <v>0.89718690559615599</v>
      </c>
      <c r="E17" s="15">
        <v>0.89100000000000001</v>
      </c>
      <c r="F17" s="15">
        <v>0.89377875575114996</v>
      </c>
      <c r="G17" s="15">
        <v>0.89216765029508804</v>
      </c>
      <c r="H17" s="15">
        <v>0.904871461438432</v>
      </c>
      <c r="I17" s="15">
        <v>0.92373173818014498</v>
      </c>
      <c r="J17" s="15">
        <v>0.90881241703257398</v>
      </c>
      <c r="K17" s="15">
        <v>0.90088083426141496</v>
      </c>
      <c r="L17" s="15">
        <v>0.90797800601722201</v>
      </c>
      <c r="M17" s="15">
        <v>0.94413855240764799</v>
      </c>
      <c r="N17" s="15">
        <v>0.94820000000000004</v>
      </c>
      <c r="O17" s="15">
        <v>0.94978995799159804</v>
      </c>
      <c r="P17" s="15">
        <v>0.94648394518355505</v>
      </c>
      <c r="Q17" s="15">
        <v>0.94878463539061697</v>
      </c>
      <c r="R17" s="15">
        <v>0.96226849189002694</v>
      </c>
      <c r="S17" s="15">
        <v>0.94383743490248095</v>
      </c>
      <c r="T17" s="15">
        <v>0.95747696669029103</v>
      </c>
    </row>
    <row r="18" spans="1:20" x14ac:dyDescent="0.3">
      <c r="A18" t="s">
        <v>56</v>
      </c>
      <c r="B18" t="s">
        <v>125</v>
      </c>
      <c r="C18" s="15">
        <v>0.91043459077873401</v>
      </c>
      <c r="D18" s="15">
        <v>0.90869477097689499</v>
      </c>
      <c r="E18" s="15">
        <v>0.89708698719887103</v>
      </c>
      <c r="F18" s="15">
        <v>0.88009301385097605</v>
      </c>
      <c r="G18" s="15">
        <v>0.89101531023368297</v>
      </c>
      <c r="H18" s="15">
        <v>0.90761033477430397</v>
      </c>
      <c r="I18" s="15">
        <v>0.93614051413283705</v>
      </c>
      <c r="J18" s="15">
        <v>0.90963732681336595</v>
      </c>
      <c r="K18" s="15">
        <v>0.898221144127754</v>
      </c>
      <c r="L18" s="15">
        <v>0.94628281491286104</v>
      </c>
      <c r="M18" s="15">
        <v>0.94264288609647295</v>
      </c>
      <c r="N18" s="15">
        <v>0.95222255820985802</v>
      </c>
      <c r="O18" s="15">
        <v>0.95086442220200196</v>
      </c>
      <c r="P18" s="15">
        <v>0.94470185334407697</v>
      </c>
      <c r="Q18" s="15">
        <v>0.94661707047350996</v>
      </c>
      <c r="R18" s="15">
        <v>0.97603815284401496</v>
      </c>
      <c r="S18" s="15">
        <v>0.94162591687041597</v>
      </c>
      <c r="T18" s="15">
        <v>0.95431574691732401</v>
      </c>
    </row>
    <row r="19" spans="1:20" hidden="1" x14ac:dyDescent="0.3">
      <c r="A19" t="s">
        <v>31</v>
      </c>
      <c r="B19" t="s">
        <v>90</v>
      </c>
      <c r="C19" s="15">
        <v>0.83813286204387105</v>
      </c>
      <c r="D19" s="15">
        <v>0.923879680785758</v>
      </c>
      <c r="E19" s="15">
        <v>0.89749616760347495</v>
      </c>
      <c r="F19" s="15">
        <v>0.91824656434948304</v>
      </c>
      <c r="G19" s="15">
        <v>0.91865836513356103</v>
      </c>
      <c r="H19" s="15">
        <v>0.91260773702144704</v>
      </c>
      <c r="I19" s="15">
        <v>0.83619523363513404</v>
      </c>
      <c r="J19" s="15">
        <v>0.92785714285714305</v>
      </c>
      <c r="K19" s="15">
        <v>0.90829918032786905</v>
      </c>
      <c r="L19" s="15">
        <v>0.86578646428942696</v>
      </c>
      <c r="M19" s="15">
        <v>0.94209126253325104</v>
      </c>
      <c r="N19" s="15">
        <v>0.95145631067961201</v>
      </c>
      <c r="O19" s="15">
        <v>0.95947437054870099</v>
      </c>
      <c r="P19" s="15">
        <v>0.95792327776662001</v>
      </c>
      <c r="Q19" s="15">
        <v>0.959410703547805</v>
      </c>
      <c r="R19" s="15">
        <v>0.86699968779269398</v>
      </c>
      <c r="S19" s="15">
        <v>0.94642857142857095</v>
      </c>
      <c r="T19" s="15">
        <v>0.95379098360655701</v>
      </c>
    </row>
    <row r="20" spans="1:20" hidden="1" x14ac:dyDescent="0.3">
      <c r="A20" t="s">
        <v>57</v>
      </c>
      <c r="B20" t="s">
        <v>90</v>
      </c>
      <c r="C20" s="15">
        <v>0.861895471814355</v>
      </c>
      <c r="D20" s="15">
        <v>0.90859830283202103</v>
      </c>
      <c r="E20" s="15">
        <v>0.90246659815005104</v>
      </c>
      <c r="F20" s="15">
        <v>0.92333132892363201</v>
      </c>
      <c r="G20" s="15">
        <v>0.91612255148166799</v>
      </c>
      <c r="H20" s="15">
        <v>0.91148757016840398</v>
      </c>
      <c r="I20" s="15">
        <v>0.83176019085157105</v>
      </c>
      <c r="J20" s="15">
        <v>0.931062531774276</v>
      </c>
      <c r="K20" s="15">
        <v>0.90662589194699295</v>
      </c>
      <c r="L20" s="15">
        <v>0.89413697504877299</v>
      </c>
      <c r="M20" s="15">
        <v>0.94959615581228896</v>
      </c>
      <c r="N20" s="15">
        <v>0.95087358684481005</v>
      </c>
      <c r="O20" s="15">
        <v>0.96422128683102803</v>
      </c>
      <c r="P20" s="15">
        <v>0.95981918633852303</v>
      </c>
      <c r="Q20" s="15">
        <v>0.956295108259824</v>
      </c>
      <c r="R20" s="15">
        <v>0.86225495280572595</v>
      </c>
      <c r="S20" s="15">
        <v>0.94336553126588696</v>
      </c>
      <c r="T20" s="15">
        <v>0.95840978593272197</v>
      </c>
    </row>
    <row r="21" spans="1:20" hidden="1" x14ac:dyDescent="0.3">
      <c r="A21" t="s">
        <v>56</v>
      </c>
      <c r="B21" t="s">
        <v>90</v>
      </c>
      <c r="C21" s="15">
        <v>0.844353912044291</v>
      </c>
      <c r="D21" s="15">
        <v>0.92438003877946695</v>
      </c>
      <c r="E21" s="15">
        <v>0.90492777379366895</v>
      </c>
      <c r="F21" s="15">
        <v>0.90170511534603803</v>
      </c>
      <c r="G21" s="15">
        <v>0.92599677809101899</v>
      </c>
      <c r="H21" s="15">
        <v>0.91184131436585902</v>
      </c>
      <c r="I21" s="15">
        <v>0.82980247671681495</v>
      </c>
      <c r="J21" s="15">
        <v>0.93406704361874004</v>
      </c>
      <c r="K21" s="15">
        <v>0.90264593011512795</v>
      </c>
      <c r="L21" s="15">
        <v>0.87224485532226104</v>
      </c>
      <c r="M21" s="15">
        <v>0.94519848964179998</v>
      </c>
      <c r="N21" s="15">
        <v>0.95461530580883103</v>
      </c>
      <c r="O21" s="15">
        <v>0.95807422266800402</v>
      </c>
      <c r="P21" s="15">
        <v>0.96717680225533598</v>
      </c>
      <c r="Q21" s="15">
        <v>0.95802444399919895</v>
      </c>
      <c r="R21" s="15">
        <v>0.863166513151162</v>
      </c>
      <c r="S21" s="15">
        <v>0.93962035541195499</v>
      </c>
      <c r="T21" s="15">
        <v>0.95465562512623703</v>
      </c>
    </row>
    <row r="22" spans="1:20" x14ac:dyDescent="0.3">
      <c r="A22" t="s">
        <v>31</v>
      </c>
      <c r="B22" t="s">
        <v>127</v>
      </c>
      <c r="C22" s="15">
        <v>0.95889999999999997</v>
      </c>
      <c r="D22" s="15">
        <v>0.90439999999999998</v>
      </c>
      <c r="E22" s="15">
        <v>0.90090000000000003</v>
      </c>
      <c r="F22" s="15">
        <v>0.95609999999999995</v>
      </c>
      <c r="G22" s="15">
        <v>0.93489999999999995</v>
      </c>
      <c r="H22" s="15">
        <v>0.91549999999999998</v>
      </c>
      <c r="I22" s="15">
        <v>0.9526</v>
      </c>
      <c r="J22" s="15">
        <v>0.90890000000000004</v>
      </c>
      <c r="K22" s="15">
        <v>0.91</v>
      </c>
      <c r="L22" s="15">
        <v>0.95889999999999997</v>
      </c>
      <c r="M22" s="15">
        <v>0.97030000000000005</v>
      </c>
      <c r="N22" s="15">
        <v>0.95320000000000005</v>
      </c>
      <c r="O22" s="15">
        <v>0.95609999999999995</v>
      </c>
      <c r="P22" s="15">
        <v>0.96509999999999996</v>
      </c>
      <c r="Q22" s="15">
        <v>0.96619999999999995</v>
      </c>
      <c r="R22" s="15">
        <v>0.9526</v>
      </c>
      <c r="S22" s="15">
        <v>0.97089999999999999</v>
      </c>
      <c r="T22" s="15">
        <v>0.95609999999999995</v>
      </c>
    </row>
    <row r="23" spans="1:20" x14ac:dyDescent="0.3">
      <c r="A23" t="s">
        <v>57</v>
      </c>
      <c r="B23" t="s">
        <v>127</v>
      </c>
      <c r="C23" s="15">
        <v>0.95669999999999999</v>
      </c>
      <c r="D23" s="15">
        <v>0.90510000000000002</v>
      </c>
      <c r="E23" s="15">
        <v>0.90110000000000001</v>
      </c>
      <c r="F23" s="15">
        <v>0.96020000000000005</v>
      </c>
      <c r="G23" s="15">
        <v>0.93559999999999999</v>
      </c>
      <c r="H23" s="15">
        <v>0.91379999999999995</v>
      </c>
      <c r="I23" s="15">
        <v>0.95409999999999995</v>
      </c>
      <c r="J23" s="15">
        <v>0.90669999999999995</v>
      </c>
      <c r="K23" s="15">
        <v>0.90800000000000003</v>
      </c>
      <c r="L23" s="15">
        <v>0.95669999999999999</v>
      </c>
      <c r="M23" s="15">
        <v>0.9677</v>
      </c>
      <c r="N23" s="15">
        <v>0.95389999999999997</v>
      </c>
      <c r="O23" s="15">
        <v>0.96020000000000005</v>
      </c>
      <c r="P23" s="15">
        <v>0.96599999999999997</v>
      </c>
      <c r="Q23" s="15">
        <v>0.96279999999999999</v>
      </c>
      <c r="R23" s="15">
        <v>0.95409999999999995</v>
      </c>
      <c r="S23" s="15">
        <v>0.96950000000000003</v>
      </c>
      <c r="T23" s="15">
        <v>0.95950000000000002</v>
      </c>
    </row>
    <row r="24" spans="1:20" x14ac:dyDescent="0.3">
      <c r="A24" t="s">
        <v>56</v>
      </c>
      <c r="B24" t="s">
        <v>127</v>
      </c>
      <c r="C24" s="15">
        <v>0.95709999999999995</v>
      </c>
      <c r="D24" s="15">
        <v>0.90720000000000001</v>
      </c>
      <c r="E24" s="15">
        <v>0.90459999999999996</v>
      </c>
      <c r="F24" s="15">
        <v>0.95640000000000003</v>
      </c>
      <c r="G24" s="15">
        <v>0.93789999999999996</v>
      </c>
      <c r="H24" s="15">
        <v>0.91300000000000003</v>
      </c>
      <c r="I24" s="15">
        <v>0.95409999999999995</v>
      </c>
      <c r="J24" s="15">
        <v>0.90659999999999996</v>
      </c>
      <c r="K24" s="15">
        <v>0.90129999999999999</v>
      </c>
      <c r="L24" s="15">
        <v>0.95709999999999995</v>
      </c>
      <c r="M24" s="15">
        <v>0.96740000000000004</v>
      </c>
      <c r="N24" s="15">
        <v>0.95669999999999999</v>
      </c>
      <c r="O24" s="15">
        <v>0.95640000000000003</v>
      </c>
      <c r="P24" s="15">
        <v>0.97060000000000002</v>
      </c>
      <c r="Q24" s="15">
        <v>0.96509999999999996</v>
      </c>
      <c r="R24" s="15">
        <v>0.95409999999999995</v>
      </c>
      <c r="S24" s="15">
        <v>0.97060000000000002</v>
      </c>
      <c r="T24" s="15">
        <v>0.95520000000000005</v>
      </c>
    </row>
    <row r="25" spans="1:20" x14ac:dyDescent="0.3">
      <c r="A25" t="s">
        <v>31</v>
      </c>
      <c r="B25" t="s">
        <v>149</v>
      </c>
      <c r="C25" s="15">
        <v>0.93133979284998303</v>
      </c>
      <c r="D25" s="15">
        <v>0.88844819038175504</v>
      </c>
      <c r="E25" s="15">
        <v>0.88197057817310998</v>
      </c>
      <c r="F25" s="15">
        <v>0.88900000000000001</v>
      </c>
      <c r="G25" s="15">
        <v>0.88149999999999995</v>
      </c>
      <c r="H25" s="15">
        <v>0.91549999999999998</v>
      </c>
      <c r="I25" s="15">
        <v>0.94622191967324698</v>
      </c>
      <c r="J25" s="15">
        <v>0.91255020080321303</v>
      </c>
      <c r="K25" s="15">
        <v>0.90469999999999995</v>
      </c>
      <c r="L25" s="15">
        <v>0.983795522886736</v>
      </c>
      <c r="M25" s="15">
        <v>0.93170550322260803</v>
      </c>
      <c r="N25" s="15">
        <v>0.94663017447827602</v>
      </c>
      <c r="O25" s="15">
        <v>0.95609999999999995</v>
      </c>
      <c r="P25" s="15">
        <v>0.93489999999999995</v>
      </c>
      <c r="Q25" s="15">
        <v>0.94610000000000005</v>
      </c>
      <c r="R25" s="15">
        <v>0.98649875198547798</v>
      </c>
      <c r="S25" s="15">
        <v>0.94698795180722894</v>
      </c>
      <c r="T25" s="15">
        <v>0.95609999999999995</v>
      </c>
    </row>
    <row r="26" spans="1:20" x14ac:dyDescent="0.3">
      <c r="A26" t="s">
        <v>57</v>
      </c>
      <c r="B26" t="s">
        <v>149</v>
      </c>
      <c r="C26" s="15">
        <v>0.92694449131095003</v>
      </c>
      <c r="D26" s="15">
        <v>0.88857354392892396</v>
      </c>
      <c r="E26" s="15">
        <v>0.88430606617647101</v>
      </c>
      <c r="F26" s="15">
        <v>0.88839999999999997</v>
      </c>
      <c r="G26" s="15">
        <v>0.88029999999999997</v>
      </c>
      <c r="H26" s="15">
        <v>0.91379999999999995</v>
      </c>
      <c r="I26" s="15">
        <v>0.94772209567198196</v>
      </c>
      <c r="J26" s="15">
        <v>0.911806114239743</v>
      </c>
      <c r="K26" s="15">
        <v>0.90449999999999997</v>
      </c>
      <c r="L26" s="15">
        <v>0.97772903661211397</v>
      </c>
      <c r="M26" s="15">
        <v>0.93237907206317905</v>
      </c>
      <c r="N26" s="15">
        <v>0.94703584558823495</v>
      </c>
      <c r="O26" s="15">
        <v>0.96020000000000005</v>
      </c>
      <c r="P26" s="15">
        <v>0.93559999999999999</v>
      </c>
      <c r="Q26" s="15">
        <v>0.94550000000000001</v>
      </c>
      <c r="R26" s="15">
        <v>0.98633257403189101</v>
      </c>
      <c r="S26" s="15">
        <v>0.94569589702333101</v>
      </c>
      <c r="T26" s="15">
        <v>0.95950000000000002</v>
      </c>
    </row>
    <row r="27" spans="1:20" x14ac:dyDescent="0.3">
      <c r="A27" t="s">
        <v>56</v>
      </c>
      <c r="B27" t="s">
        <v>149</v>
      </c>
      <c r="C27" s="15">
        <v>0.92798388450562397</v>
      </c>
      <c r="D27" s="15">
        <v>0.89395052657359797</v>
      </c>
      <c r="E27" s="15">
        <v>0.88752156411730898</v>
      </c>
      <c r="F27" s="15">
        <v>0.87880000000000003</v>
      </c>
      <c r="G27" s="15">
        <v>0.88549999999999995</v>
      </c>
      <c r="H27" s="15">
        <v>0.91300000000000003</v>
      </c>
      <c r="I27" s="15">
        <v>0.94766845285600299</v>
      </c>
      <c r="J27" s="15">
        <v>0.91088114136441301</v>
      </c>
      <c r="K27" s="15">
        <v>0.90059999999999996</v>
      </c>
      <c r="L27" s="15">
        <v>0.981870068826591</v>
      </c>
      <c r="M27" s="15">
        <v>0.93387215282880198</v>
      </c>
      <c r="N27" s="15">
        <v>0.95020126509488201</v>
      </c>
      <c r="O27" s="15">
        <v>0.95640000000000003</v>
      </c>
      <c r="P27" s="15">
        <v>0.93789999999999996</v>
      </c>
      <c r="Q27" s="15">
        <v>0.94399999999999995</v>
      </c>
      <c r="R27" s="15">
        <v>0.98631854976627498</v>
      </c>
      <c r="S27" s="15">
        <v>0.94293177936300598</v>
      </c>
      <c r="T27" s="15">
        <v>0.95520000000000005</v>
      </c>
    </row>
    <row r="28" spans="1:20" x14ac:dyDescent="0.3">
      <c r="A28" t="s">
        <v>31</v>
      </c>
      <c r="B28" t="s">
        <v>129</v>
      </c>
      <c r="C28" s="15"/>
      <c r="D28" s="15"/>
      <c r="E28" s="15"/>
      <c r="F28" s="15">
        <v>0.90639999999999998</v>
      </c>
      <c r="G28" s="15">
        <v>0.90090000000000003</v>
      </c>
      <c r="H28" s="15">
        <v>0.90010000000000001</v>
      </c>
      <c r="I28" s="15"/>
      <c r="J28" s="15"/>
      <c r="K28" s="15"/>
      <c r="L28" s="15"/>
      <c r="M28" s="15"/>
      <c r="N28" s="15"/>
      <c r="O28" s="15">
        <v>0.95430000000000004</v>
      </c>
      <c r="P28" s="15">
        <v>0.95020000000000004</v>
      </c>
      <c r="Q28" s="15">
        <v>0.94779999999999998</v>
      </c>
      <c r="R28" s="15"/>
      <c r="S28" s="15"/>
      <c r="T28" s="15"/>
    </row>
    <row r="29" spans="1:20" x14ac:dyDescent="0.3">
      <c r="A29" t="s">
        <v>57</v>
      </c>
      <c r="B29" t="s">
        <v>129</v>
      </c>
      <c r="C29" s="15" t="s">
        <v>59</v>
      </c>
      <c r="D29" s="15" t="s">
        <v>59</v>
      </c>
      <c r="E29" s="15" t="s">
        <v>59</v>
      </c>
      <c r="F29" s="15">
        <v>0.82289999999999996</v>
      </c>
      <c r="G29" s="15">
        <v>0.6774</v>
      </c>
      <c r="H29" s="15">
        <v>0.49230000000000002</v>
      </c>
      <c r="I29" s="15" t="s">
        <v>59</v>
      </c>
      <c r="J29" s="15" t="s">
        <v>59</v>
      </c>
      <c r="K29" s="15" t="s">
        <v>59</v>
      </c>
      <c r="L29" s="15" t="s">
        <v>59</v>
      </c>
      <c r="M29" s="15" t="s">
        <v>59</v>
      </c>
      <c r="N29" s="15" t="s">
        <v>59</v>
      </c>
      <c r="O29" s="15">
        <v>0.90149999999999997</v>
      </c>
      <c r="P29" s="15">
        <v>0.78920000000000001</v>
      </c>
      <c r="Q29" s="15">
        <v>0.61809999999999998</v>
      </c>
      <c r="R29" s="15" t="s">
        <v>59</v>
      </c>
      <c r="S29" s="15" t="s">
        <v>59</v>
      </c>
      <c r="T29" s="15" t="s">
        <v>59</v>
      </c>
    </row>
    <row r="30" spans="1:20" x14ac:dyDescent="0.3">
      <c r="A30" t="s">
        <v>56</v>
      </c>
      <c r="B30" t="s">
        <v>129</v>
      </c>
      <c r="C30" s="15" t="s">
        <v>59</v>
      </c>
      <c r="D30" s="15" t="s">
        <v>59</v>
      </c>
      <c r="E30" s="15" t="s">
        <v>59</v>
      </c>
      <c r="F30" s="15">
        <v>0.8448</v>
      </c>
      <c r="G30" s="15">
        <v>0.75139999999999996</v>
      </c>
      <c r="H30" s="15">
        <v>0.61680000000000001</v>
      </c>
      <c r="I30" s="15" t="s">
        <v>59</v>
      </c>
      <c r="J30" s="15" t="s">
        <v>59</v>
      </c>
      <c r="K30" s="15" t="s">
        <v>59</v>
      </c>
      <c r="L30" s="15" t="s">
        <v>59</v>
      </c>
      <c r="M30" s="15" t="s">
        <v>59</v>
      </c>
      <c r="N30" s="15" t="s">
        <v>59</v>
      </c>
      <c r="O30" s="15">
        <v>0.91539999999999999</v>
      </c>
      <c r="P30" s="15">
        <v>0.84970000000000001</v>
      </c>
      <c r="Q30" s="15">
        <v>0.73270000000000002</v>
      </c>
      <c r="R30" s="15" t="s">
        <v>59</v>
      </c>
      <c r="S30" s="15" t="s">
        <v>59</v>
      </c>
      <c r="T30" s="15" t="s">
        <v>59</v>
      </c>
    </row>
    <row r="31" spans="1:20" x14ac:dyDescent="0.3">
      <c r="A31" t="s">
        <v>31</v>
      </c>
      <c r="B31" t="s">
        <v>130</v>
      </c>
      <c r="C31" s="15">
        <v>0.85277636271013801</v>
      </c>
      <c r="D31" s="15">
        <v>0.90489680291380004</v>
      </c>
      <c r="E31" s="15">
        <v>0.89252525252525206</v>
      </c>
      <c r="F31" s="15">
        <v>0.90295147573786905</v>
      </c>
      <c r="G31" s="15">
        <v>0.89588958895889603</v>
      </c>
      <c r="H31" s="15">
        <v>0.90867260178053399</v>
      </c>
      <c r="I31" s="15">
        <v>0.86575735821967004</v>
      </c>
      <c r="J31" s="15">
        <v>0.91196046793061702</v>
      </c>
      <c r="K31" s="15">
        <v>0.90348848899165601</v>
      </c>
      <c r="L31" s="15">
        <v>0.90015282730514501</v>
      </c>
      <c r="M31" s="15">
        <v>0.94152165115337905</v>
      </c>
      <c r="N31" s="15">
        <v>0.95121212121212095</v>
      </c>
      <c r="O31" s="15">
        <v>0.95347673836918501</v>
      </c>
      <c r="P31" s="15">
        <v>0.94649464946494599</v>
      </c>
      <c r="Q31" s="15">
        <v>0.95148544563368997</v>
      </c>
      <c r="R31" s="15">
        <v>0.91488052507435103</v>
      </c>
      <c r="S31" s="15">
        <v>0.94604679306171802</v>
      </c>
      <c r="T31" s="15">
        <v>0.95405649944706905</v>
      </c>
    </row>
    <row r="32" spans="1:20" x14ac:dyDescent="0.3">
      <c r="A32" t="s">
        <v>57</v>
      </c>
      <c r="B32" t="s">
        <v>130</v>
      </c>
      <c r="C32" s="15">
        <v>0.92520000000000002</v>
      </c>
      <c r="D32" s="15">
        <v>0.91869999999999996</v>
      </c>
      <c r="E32" s="15">
        <v>0.90190000000000003</v>
      </c>
      <c r="F32" s="15">
        <v>0.90439999999999998</v>
      </c>
      <c r="G32" s="15">
        <v>0.89608960896089596</v>
      </c>
      <c r="H32" s="15">
        <v>0.90720000000000001</v>
      </c>
      <c r="I32" s="15">
        <v>0.87596816976127301</v>
      </c>
      <c r="J32" s="15">
        <v>0.90884174195513101</v>
      </c>
      <c r="K32" s="15">
        <v>0.90240951708841599</v>
      </c>
      <c r="L32" s="15">
        <v>0.97099999999999997</v>
      </c>
      <c r="M32" s="15">
        <v>0.95689999999999997</v>
      </c>
      <c r="N32" s="15">
        <v>0.95420000000000005</v>
      </c>
      <c r="O32" s="15">
        <v>0.95669999999999999</v>
      </c>
      <c r="P32" s="15">
        <v>0.94859485948594902</v>
      </c>
      <c r="Q32" s="15">
        <v>0.94989999999999997</v>
      </c>
      <c r="R32" s="15">
        <v>0.922970822281167</v>
      </c>
      <c r="S32" s="15">
        <v>0.943965079687341</v>
      </c>
      <c r="T32" s="15">
        <v>0.95826192156467405</v>
      </c>
    </row>
    <row r="33" spans="1:20" x14ac:dyDescent="0.3">
      <c r="A33" t="s">
        <v>56</v>
      </c>
      <c r="B33" t="s">
        <v>130</v>
      </c>
      <c r="C33" s="15">
        <v>0.86351706036745401</v>
      </c>
      <c r="D33" s="15">
        <v>0.90880693268843205</v>
      </c>
      <c r="E33" s="15">
        <v>0.90007051475773103</v>
      </c>
      <c r="F33" s="15">
        <v>0.88515546639919795</v>
      </c>
      <c r="G33" s="15">
        <v>0.89326123961149495</v>
      </c>
      <c r="H33" s="15">
        <v>0.90839006808169798</v>
      </c>
      <c r="I33" s="15">
        <v>0.90877816002663403</v>
      </c>
      <c r="J33" s="15">
        <v>0.90925663358314801</v>
      </c>
      <c r="K33" s="15">
        <v>0.89904088844018204</v>
      </c>
      <c r="L33" s="15">
        <v>0.91096305269533595</v>
      </c>
      <c r="M33" s="15">
        <v>0.94447803305118905</v>
      </c>
      <c r="N33" s="15">
        <v>0.95436687821094002</v>
      </c>
      <c r="O33" s="15">
        <v>0.95325977933801398</v>
      </c>
      <c r="P33" s="15">
        <v>0.94542905777510799</v>
      </c>
      <c r="Q33" s="15">
        <v>0.94743692430917104</v>
      </c>
      <c r="R33" s="15">
        <v>0.951281766729553</v>
      </c>
      <c r="S33" s="15">
        <v>0.94095604618189199</v>
      </c>
      <c r="T33" s="15">
        <v>0.95456839979808195</v>
      </c>
    </row>
    <row r="36" spans="1:20" x14ac:dyDescent="0.3">
      <c r="A36" t="s">
        <v>31</v>
      </c>
      <c r="B36" t="s">
        <v>122</v>
      </c>
      <c r="C36" s="15">
        <f>C4-$C$1</f>
        <v>5.5525145398563014E-2</v>
      </c>
      <c r="D36" s="15">
        <f t="shared" ref="D36:K36" si="0">D4-$C$1</f>
        <v>6.4762670957360102E-3</v>
      </c>
      <c r="E36" s="15">
        <f t="shared" si="0"/>
        <v>-5.7000000000000384E-3</v>
      </c>
      <c r="F36" s="15">
        <f t="shared" si="0"/>
        <v>7.1999999999999842E-3</v>
      </c>
      <c r="G36" s="15">
        <f t="shared" si="0"/>
        <v>2.3999999999999577E-3</v>
      </c>
      <c r="H36" s="15">
        <f t="shared" si="0"/>
        <v>5.0000000000000044E-3</v>
      </c>
      <c r="I36" s="15">
        <f t="shared" si="0"/>
        <v>4.8264125255276014E-2</v>
      </c>
      <c r="J36" s="15">
        <f t="shared" si="0"/>
        <v>1.2851405622489986E-2</v>
      </c>
      <c r="K36" s="15">
        <f t="shared" si="0"/>
        <v>3.6999999999999256E-3</v>
      </c>
      <c r="L36" s="15">
        <f>L4-$L$1</f>
        <v>3.0499486828601041E-2</v>
      </c>
      <c r="M36" s="15">
        <f t="shared" ref="M36:T36" si="1">M4-$L$1</f>
        <v>6.2550281576830846E-3</v>
      </c>
      <c r="N36" s="15">
        <f t="shared" si="1"/>
        <v>-1.1999999999999789E-3</v>
      </c>
      <c r="O36" s="15">
        <f t="shared" si="1"/>
        <v>-2.9999999999996696E-4</v>
      </c>
      <c r="P36" s="15">
        <f t="shared" si="1"/>
        <v>1.5000000000000568E-3</v>
      </c>
      <c r="Q36" s="15">
        <f t="shared" si="1"/>
        <v>4.0999999999999925E-3</v>
      </c>
      <c r="R36" s="15">
        <f t="shared" si="1"/>
        <v>2.8897208985705025E-2</v>
      </c>
      <c r="S36" s="15">
        <f t="shared" si="1"/>
        <v>7.1285140562250549E-3</v>
      </c>
      <c r="T36" s="15">
        <f t="shared" si="1"/>
        <v>1.8000000000000238E-3</v>
      </c>
    </row>
    <row r="37" spans="1:20" x14ac:dyDescent="0.3">
      <c r="A37" t="s">
        <v>57</v>
      </c>
      <c r="B37" t="s">
        <v>122</v>
      </c>
      <c r="C37" s="15">
        <f t="shared" ref="C37:K37" si="2">C5-$C$1</f>
        <v>5.2894438138478939E-2</v>
      </c>
      <c r="D37" s="15">
        <f t="shared" si="2"/>
        <v>1.0186859553947936E-2</v>
      </c>
      <c r="E37" s="15">
        <f t="shared" si="2"/>
        <v>-2.5000000000000577E-3</v>
      </c>
      <c r="F37" s="15">
        <f t="shared" si="2"/>
        <v>5.6999999999999273E-3</v>
      </c>
      <c r="G37" s="15">
        <f t="shared" si="2"/>
        <v>9.9999999999988987E-5</v>
      </c>
      <c r="H37" s="15">
        <f t="shared" si="2"/>
        <v>3.3999999999999586E-3</v>
      </c>
      <c r="I37" s="15">
        <f t="shared" si="2"/>
        <v>4.9544419134396001E-2</v>
      </c>
      <c r="J37" s="15">
        <f t="shared" si="2"/>
        <v>1.1705551086081956E-2</v>
      </c>
      <c r="K37" s="15">
        <f t="shared" si="2"/>
        <v>4.1999999999999815E-3</v>
      </c>
      <c r="L37" s="15">
        <f t="shared" ref="L37:T37" si="3">L5-$L$1</f>
        <v>3.0136208853575042E-2</v>
      </c>
      <c r="M37" s="15">
        <f t="shared" si="3"/>
        <v>4.5911191480810798E-3</v>
      </c>
      <c r="N37" s="15">
        <f t="shared" si="3"/>
        <v>2.00000000000089E-4</v>
      </c>
      <c r="O37" s="15">
        <f t="shared" si="3"/>
        <v>3.4000000000000696E-3</v>
      </c>
      <c r="P37" s="15">
        <f t="shared" si="3"/>
        <v>1.9000000000000128E-3</v>
      </c>
      <c r="Q37" s="15">
        <f t="shared" si="3"/>
        <v>1.0999999999999899E-3</v>
      </c>
      <c r="R37" s="15">
        <f t="shared" si="3"/>
        <v>2.7448747152620023E-2</v>
      </c>
      <c r="S37" s="15">
        <f t="shared" si="3"/>
        <v>8.2662912308930636E-3</v>
      </c>
      <c r="T37" s="15">
        <f t="shared" si="3"/>
        <v>5.7000000000000384E-3</v>
      </c>
    </row>
    <row r="38" spans="1:20" x14ac:dyDescent="0.3">
      <c r="A38" t="s">
        <v>56</v>
      </c>
      <c r="B38" t="s">
        <v>122</v>
      </c>
      <c r="C38" s="15">
        <f t="shared" ref="C38:K38" si="4">C6-$C$1</f>
        <v>5.3546340358032962E-2</v>
      </c>
      <c r="D38" s="15">
        <f t="shared" si="4"/>
        <v>1.2960354196014934E-2</v>
      </c>
      <c r="E38" s="15">
        <f t="shared" si="4"/>
        <v>0</v>
      </c>
      <c r="F38" s="15">
        <f t="shared" si="4"/>
        <v>-1.2999999999999678E-3</v>
      </c>
      <c r="G38" s="15">
        <f t="shared" si="4"/>
        <v>3.9000000000000146E-3</v>
      </c>
      <c r="H38" s="15">
        <f t="shared" si="4"/>
        <v>2.8000000000000247E-3</v>
      </c>
      <c r="I38" s="15">
        <f t="shared" si="4"/>
        <v>4.9606658305779927E-2</v>
      </c>
      <c r="J38" s="15">
        <f t="shared" si="4"/>
        <v>1.1684919119863024E-2</v>
      </c>
      <c r="K38" s="15">
        <f t="shared" si="4"/>
        <v>-5.0000000000005596E-4</v>
      </c>
      <c r="L38" s="15">
        <f t="shared" ref="L38:T38" si="5">L6-$L$1</f>
        <v>3.0852028098799056E-2</v>
      </c>
      <c r="M38" s="15">
        <f t="shared" si="5"/>
        <v>6.1279935600720981E-3</v>
      </c>
      <c r="N38" s="15">
        <f t="shared" si="5"/>
        <v>2.0999999999999908E-3</v>
      </c>
      <c r="O38" s="15">
        <f t="shared" si="5"/>
        <v>-6.9999999999992291E-4</v>
      </c>
      <c r="P38" s="15">
        <f t="shared" si="5"/>
        <v>5.0000000000000044E-3</v>
      </c>
      <c r="Q38" s="15">
        <f t="shared" si="5"/>
        <v>6.0000000000004494E-4</v>
      </c>
      <c r="R38" s="15">
        <f t="shared" si="5"/>
        <v>2.7653631284916047E-2</v>
      </c>
      <c r="S38" s="15">
        <f t="shared" si="5"/>
        <v>7.1988345222550043E-3</v>
      </c>
      <c r="T38" s="15">
        <f t="shared" si="5"/>
        <v>9.9999999999988987E-5</v>
      </c>
    </row>
    <row r="39" spans="1:20" x14ac:dyDescent="0.3">
      <c r="A39" t="s">
        <v>31</v>
      </c>
      <c r="B39" t="s">
        <v>123</v>
      </c>
      <c r="C39" s="15">
        <f t="shared" ref="C39:K39" si="6">C7-$C$1</f>
        <v>-6.4200000000000035E-2</v>
      </c>
      <c r="D39" s="15">
        <f t="shared" si="6"/>
        <v>3.4975897161220959E-2</v>
      </c>
      <c r="E39" s="15">
        <f t="shared" si="6"/>
        <v>-3.5000000000000586E-3</v>
      </c>
      <c r="F39" s="15">
        <f t="shared" si="6"/>
        <v>-1.100000000000001E-2</v>
      </c>
      <c r="G39" s="15">
        <f t="shared" si="6"/>
        <v>3.4899999999999931E-2</v>
      </c>
      <c r="H39" s="15">
        <f t="shared" si="6"/>
        <v>1.5499999999999958E-2</v>
      </c>
      <c r="I39" s="15">
        <f t="shared" si="6"/>
        <v>-6.6000000000000059E-2</v>
      </c>
      <c r="J39" s="15">
        <f t="shared" si="6"/>
        <v>4.3200000000000016E-2</v>
      </c>
      <c r="K39" s="15">
        <f t="shared" si="6"/>
        <v>4.6999999999999265E-3</v>
      </c>
      <c r="L39" s="15">
        <f t="shared" ref="L39:T39" si="7">L7-$L$1</f>
        <v>-8.2799999999999985E-2</v>
      </c>
      <c r="M39" s="15">
        <f t="shared" si="7"/>
        <v>-1.5024102838778974E-2</v>
      </c>
      <c r="N39" s="15">
        <f t="shared" si="7"/>
        <v>3.2000000000000917E-3</v>
      </c>
      <c r="O39" s="15">
        <f t="shared" si="7"/>
        <v>6.0999999999999943E-3</v>
      </c>
      <c r="P39" s="15">
        <f t="shared" si="7"/>
        <v>1.5100000000000002E-2</v>
      </c>
      <c r="Q39" s="15">
        <f t="shared" si="7"/>
        <v>1.6199999999999992E-2</v>
      </c>
      <c r="R39" s="15">
        <f t="shared" si="7"/>
        <v>-8.0499999999999905E-2</v>
      </c>
      <c r="S39" s="15">
        <f t="shared" si="7"/>
        <v>-6.7999999999999172E-3</v>
      </c>
      <c r="T39" s="15">
        <f t="shared" si="7"/>
        <v>6.0999999999999943E-3</v>
      </c>
    </row>
    <row r="40" spans="1:20" x14ac:dyDescent="0.3">
      <c r="A40" t="s">
        <v>57</v>
      </c>
      <c r="B40" t="s">
        <v>123</v>
      </c>
      <c r="C40" s="15">
        <f t="shared" ref="C40:K40" si="8">C8-$C$1</f>
        <v>-6.2300000000000022E-2</v>
      </c>
      <c r="D40" s="15">
        <f t="shared" si="8"/>
        <v>3.6565570269115999E-2</v>
      </c>
      <c r="E40" s="15">
        <f t="shared" si="8"/>
        <v>-7.0000000000003393E-4</v>
      </c>
      <c r="F40" s="15">
        <f t="shared" si="8"/>
        <v>-1.1600000000000055E-2</v>
      </c>
      <c r="G40" s="15">
        <f t="shared" si="8"/>
        <v>3.5599999999999965E-2</v>
      </c>
      <c r="H40" s="15">
        <f t="shared" si="8"/>
        <v>1.3799999999999923E-2</v>
      </c>
      <c r="I40" s="15">
        <f t="shared" si="8"/>
        <v>-6.7900000000000071E-2</v>
      </c>
      <c r="J40" s="15">
        <f t="shared" si="8"/>
        <v>4.0399999999999991E-2</v>
      </c>
      <c r="K40" s="15">
        <f t="shared" si="8"/>
        <v>4.4999999999999485E-3</v>
      </c>
      <c r="L40" s="15">
        <f t="shared" ref="L40:T40" si="9">L8-$L$1</f>
        <v>-8.219999999999994E-2</v>
      </c>
      <c r="M40" s="15">
        <f t="shared" si="9"/>
        <v>-1.3434429730883934E-2</v>
      </c>
      <c r="N40" s="15">
        <f t="shared" si="9"/>
        <v>3.9000000000000146E-3</v>
      </c>
      <c r="O40" s="15">
        <f t="shared" si="9"/>
        <v>1.0200000000000098E-2</v>
      </c>
      <c r="P40" s="15">
        <f t="shared" si="9"/>
        <v>1.6000000000000014E-2</v>
      </c>
      <c r="Q40" s="15">
        <f t="shared" si="9"/>
        <v>1.2800000000000034E-2</v>
      </c>
      <c r="R40" s="15">
        <f t="shared" si="9"/>
        <v>-8.3999999999999964E-2</v>
      </c>
      <c r="S40" s="15">
        <f t="shared" si="9"/>
        <v>-9.5999999999999419E-3</v>
      </c>
      <c r="T40" s="15">
        <f t="shared" si="9"/>
        <v>9.5000000000000639E-3</v>
      </c>
    </row>
    <row r="41" spans="1:20" x14ac:dyDescent="0.3">
      <c r="A41" t="s">
        <v>56</v>
      </c>
      <c r="B41" t="s">
        <v>123</v>
      </c>
      <c r="C41" s="15">
        <f t="shared" ref="C41:K41" si="10">C9-$C$1</f>
        <v>-6.030000000000002E-2</v>
      </c>
      <c r="D41" s="15">
        <f t="shared" si="10"/>
        <v>3.5977879400190926E-2</v>
      </c>
      <c r="E41" s="15">
        <f t="shared" si="10"/>
        <v>2.1999999999999797E-3</v>
      </c>
      <c r="F41" s="15">
        <f t="shared" si="10"/>
        <v>-2.1199999999999997E-2</v>
      </c>
      <c r="G41" s="15">
        <f t="shared" si="10"/>
        <v>3.7899999999999934E-2</v>
      </c>
      <c r="H41" s="15">
        <f t="shared" si="10"/>
        <v>1.3000000000000012E-2</v>
      </c>
      <c r="I41" s="15">
        <f t="shared" si="10"/>
        <v>-6.8799999999999972E-2</v>
      </c>
      <c r="J41" s="15">
        <f t="shared" si="10"/>
        <v>3.8499999999999979E-2</v>
      </c>
      <c r="K41" s="15">
        <f t="shared" si="10"/>
        <v>5.9999999999993392E-4</v>
      </c>
      <c r="L41" s="15">
        <f t="shared" ref="L41:T41" si="11">L9-$L$1</f>
        <v>-7.8199999999999936E-2</v>
      </c>
      <c r="M41" s="15">
        <f t="shared" si="11"/>
        <v>-1.4022120599809007E-2</v>
      </c>
      <c r="N41" s="15">
        <f t="shared" si="11"/>
        <v>6.7000000000000393E-3</v>
      </c>
      <c r="O41" s="15">
        <f t="shared" si="11"/>
        <v>6.4000000000000723E-3</v>
      </c>
      <c r="P41" s="15">
        <f t="shared" si="11"/>
        <v>2.0600000000000063E-2</v>
      </c>
      <c r="Q41" s="15">
        <f t="shared" si="11"/>
        <v>1.5100000000000002E-2</v>
      </c>
      <c r="R41" s="15">
        <f t="shared" si="11"/>
        <v>-8.4899999999999975E-2</v>
      </c>
      <c r="S41" s="15">
        <f t="shared" si="11"/>
        <v>-1.1499999999999955E-2</v>
      </c>
      <c r="T41" s="15">
        <f t="shared" si="11"/>
        <v>5.2000000000000934E-3</v>
      </c>
    </row>
    <row r="42" spans="1:20" x14ac:dyDescent="0.3">
      <c r="A42" t="s">
        <v>31</v>
      </c>
      <c r="B42" t="s">
        <v>124</v>
      </c>
      <c r="C42" s="15">
        <f t="shared" ref="C42:K42" si="12">C10-$C$1</f>
        <v>1.7488382636291933E-2</v>
      </c>
      <c r="D42" s="15">
        <f t="shared" si="12"/>
        <v>7.6025785326919726E-3</v>
      </c>
      <c r="E42" s="15">
        <f t="shared" si="12"/>
        <v>-8.340934427890967E-3</v>
      </c>
      <c r="F42" s="15">
        <f t="shared" si="12"/>
        <v>-3.4137551306440139E-3</v>
      </c>
      <c r="G42" s="15">
        <f t="shared" si="12"/>
        <v>-6.485188150520016E-3</v>
      </c>
      <c r="H42" s="15">
        <f t="shared" si="12"/>
        <v>7.2257806244999667E-3</v>
      </c>
      <c r="I42" s="15">
        <f t="shared" si="12"/>
        <v>1.3922072122361961E-2</v>
      </c>
      <c r="J42" s="15">
        <f t="shared" si="12"/>
        <v>1.3761653830562937E-2</v>
      </c>
      <c r="K42" s="15">
        <f t="shared" si="12"/>
        <v>2.2866928578619827E-3</v>
      </c>
      <c r="L42" s="15">
        <f t="shared" ref="L42:T42" si="13">L10-$L$1</f>
        <v>5.0039669046810786E-3</v>
      </c>
      <c r="M42" s="15">
        <f t="shared" si="13"/>
        <v>-5.970531054946937E-3</v>
      </c>
      <c r="N42" s="15">
        <f t="shared" si="13"/>
        <v>5.4221141177701604E-4</v>
      </c>
      <c r="O42" s="15">
        <f t="shared" si="13"/>
        <v>-2.5528080888992388E-4</v>
      </c>
      <c r="P42" s="15">
        <f t="shared" si="13"/>
        <v>-4.4435548438749306E-3</v>
      </c>
      <c r="Q42" s="15">
        <f t="shared" si="13"/>
        <v>7.6060848678904946E-4</v>
      </c>
      <c r="R42" s="15">
        <f t="shared" si="13"/>
        <v>2.4394328458190451E-3</v>
      </c>
      <c r="S42" s="15">
        <f t="shared" si="13"/>
        <v>-3.4049452776649947E-3</v>
      </c>
      <c r="T42" s="15">
        <f t="shared" si="13"/>
        <v>3.258789160874076E-3</v>
      </c>
    </row>
    <row r="43" spans="1:20" x14ac:dyDescent="0.3">
      <c r="A43" t="s">
        <v>57</v>
      </c>
      <c r="B43" t="s">
        <v>124</v>
      </c>
      <c r="C43" s="15">
        <f t="shared" ref="C43:K43" si="14">C11-$C$1</f>
        <v>-2.0655669675277988E-2</v>
      </c>
      <c r="D43" s="15">
        <f t="shared" si="14"/>
        <v>5.2958254079489286E-3</v>
      </c>
      <c r="E43" s="15">
        <f t="shared" si="14"/>
        <v>-5.8000000000000274E-3</v>
      </c>
      <c r="F43" s="15">
        <f t="shared" si="14"/>
        <v>-3.7207441488300574E-3</v>
      </c>
      <c r="G43" s="15">
        <f t="shared" si="14"/>
        <v>-6.5319595878760017E-3</v>
      </c>
      <c r="H43" s="15">
        <f t="shared" si="14"/>
        <v>5.3716114834450046E-3</v>
      </c>
      <c r="I43" s="15">
        <f t="shared" si="14"/>
        <v>2.5572299551362976E-2</v>
      </c>
      <c r="J43" s="15">
        <f t="shared" si="14"/>
        <v>1.1058919636474984E-2</v>
      </c>
      <c r="K43" s="15">
        <f t="shared" si="14"/>
        <v>1.5895514832440227E-3</v>
      </c>
      <c r="L43" s="15">
        <f t="shared" ref="L43:T43" si="15">L11-$L$1</f>
        <v>-3.5901027077497982E-2</v>
      </c>
      <c r="M43" s="15">
        <f t="shared" si="15"/>
        <v>-1.6568225047549623E-3</v>
      </c>
      <c r="N43" s="15">
        <f t="shared" si="15"/>
        <v>6.0000000000004494E-4</v>
      </c>
      <c r="O43" s="15">
        <f t="shared" si="15"/>
        <v>1.6903380676130952E-3</v>
      </c>
      <c r="P43" s="15">
        <f t="shared" si="15"/>
        <v>-2.5157547264179625E-3</v>
      </c>
      <c r="Q43" s="15">
        <f t="shared" si="15"/>
        <v>-6.1518455536690997E-4</v>
      </c>
      <c r="R43" s="15">
        <f t="shared" si="15"/>
        <v>1.4339123432647094E-2</v>
      </c>
      <c r="S43" s="15">
        <f t="shared" si="15"/>
        <v>-4.426631267231973E-3</v>
      </c>
      <c r="T43" s="15">
        <f t="shared" si="15"/>
        <v>7.881947959907043E-3</v>
      </c>
    </row>
    <row r="44" spans="1:20" x14ac:dyDescent="0.3">
      <c r="A44" t="s">
        <v>56</v>
      </c>
      <c r="B44" t="s">
        <v>124</v>
      </c>
      <c r="C44" s="15">
        <f t="shared" ref="C44:K44" si="16">C12-$C$1</f>
        <v>1.4956982131039021E-2</v>
      </c>
      <c r="D44" s="15">
        <f t="shared" si="16"/>
        <v>1.1937576003242967E-2</v>
      </c>
      <c r="E44" s="15">
        <f t="shared" si="16"/>
        <v>-1.3002721499850711E-3</v>
      </c>
      <c r="F44" s="15">
        <f t="shared" si="16"/>
        <v>-1.7682741886564046E-2</v>
      </c>
      <c r="G44" s="15">
        <f t="shared" si="16"/>
        <v>-8.1788879935540404E-3</v>
      </c>
      <c r="H44" s="15">
        <f t="shared" si="16"/>
        <v>7.911933246204983E-3</v>
      </c>
      <c r="I44" s="15">
        <f t="shared" si="16"/>
        <v>3.6954751657555018E-2</v>
      </c>
      <c r="J44" s="15">
        <f t="shared" si="16"/>
        <v>1.0146699266504022E-2</v>
      </c>
      <c r="K44" s="15">
        <f t="shared" si="16"/>
        <v>-1.2734990903580101E-3</v>
      </c>
      <c r="L44" s="15">
        <f t="shared" ref="L44:T44" si="17">L12-$L$1</f>
        <v>3.3090668432045334E-5</v>
      </c>
      <c r="M44" s="15">
        <f t="shared" si="17"/>
        <v>-3.3036076205920084E-3</v>
      </c>
      <c r="N44" s="15">
        <f t="shared" si="17"/>
        <v>3.1297248261260568E-3</v>
      </c>
      <c r="O44" s="15">
        <f t="shared" si="17"/>
        <v>1.4710342735820836E-3</v>
      </c>
      <c r="P44" s="15">
        <f t="shared" si="17"/>
        <v>-4.8952457695409235E-3</v>
      </c>
      <c r="Q44" s="15">
        <f t="shared" si="17"/>
        <v>-2.9807982306219172E-3</v>
      </c>
      <c r="R44" s="15">
        <f t="shared" si="17"/>
        <v>2.7317668954286001E-2</v>
      </c>
      <c r="S44" s="15">
        <f t="shared" si="17"/>
        <v>-8.170334148328906E-3</v>
      </c>
      <c r="T44" s="15">
        <f t="shared" si="17"/>
        <v>4.5178896300790417E-3</v>
      </c>
    </row>
    <row r="45" spans="1:20" x14ac:dyDescent="0.3">
      <c r="A45" t="s">
        <v>31</v>
      </c>
      <c r="B45" t="s">
        <v>86</v>
      </c>
      <c r="C45" s="15">
        <f t="shared" ref="C45:K45" si="18">C13-$C$1</f>
        <v>-5.6773053331947043E-2</v>
      </c>
      <c r="D45" s="15">
        <f t="shared" si="18"/>
        <v>2.7153673010027024E-2</v>
      </c>
      <c r="E45" s="15">
        <f t="shared" si="18"/>
        <v>-1.3796627491060587E-3</v>
      </c>
      <c r="F45" s="15">
        <f t="shared" si="18"/>
        <v>2.8277660748319944E-2</v>
      </c>
      <c r="G45" s="15">
        <f t="shared" si="18"/>
        <v>1.9963848162282027E-2</v>
      </c>
      <c r="H45" s="15">
        <f t="shared" si="18"/>
        <v>1.3108839446782983E-2</v>
      </c>
      <c r="I45" s="15">
        <f t="shared" si="18"/>
        <v>-5.6623998334894066E-2</v>
      </c>
      <c r="J45" s="15">
        <f t="shared" si="18"/>
        <v>3.0510204081632963E-2</v>
      </c>
      <c r="K45" s="15">
        <f t="shared" si="18"/>
        <v>9.2213114754099434E-3</v>
      </c>
      <c r="L45" s="15">
        <f t="shared" ref="L45:T45" si="19">L13-$L$1</f>
        <v>-8.2758082960807E-2</v>
      </c>
      <c r="M45" s="15">
        <f t="shared" si="19"/>
        <v>-3.509310415387934E-3</v>
      </c>
      <c r="N45" s="15">
        <f t="shared" si="19"/>
        <v>1.8650996423100752E-3</v>
      </c>
      <c r="O45" s="15">
        <f t="shared" si="19"/>
        <v>1.1079345972515031E-2</v>
      </c>
      <c r="P45" s="15">
        <f t="shared" si="19"/>
        <v>8.7266519381400398E-3</v>
      </c>
      <c r="Q45" s="15">
        <f t="shared" si="19"/>
        <v>1.0613349368611025E-2</v>
      </c>
      <c r="R45" s="15">
        <f t="shared" si="19"/>
        <v>-8.1335206577166974E-2</v>
      </c>
      <c r="S45" s="15">
        <f t="shared" si="19"/>
        <v>-1.1224489795919057E-3</v>
      </c>
      <c r="T45" s="15">
        <f t="shared" si="19"/>
        <v>4.4057377049180335E-3</v>
      </c>
    </row>
    <row r="46" spans="1:20" x14ac:dyDescent="0.3">
      <c r="A46" t="s">
        <v>57</v>
      </c>
      <c r="B46" t="s">
        <v>86</v>
      </c>
      <c r="C46" s="15">
        <f t="shared" ref="C46:K46" si="20">C14-$C$1</f>
        <v>-3.2970530855323976E-2</v>
      </c>
      <c r="D46" s="15">
        <f t="shared" si="20"/>
        <v>1.667518658623901E-2</v>
      </c>
      <c r="E46" s="15">
        <f t="shared" si="20"/>
        <v>6.4748201438850073E-3</v>
      </c>
      <c r="F46" s="15">
        <f t="shared" si="20"/>
        <v>3.3353377430346942E-2</v>
      </c>
      <c r="G46" s="15">
        <f t="shared" si="20"/>
        <v>1.8232044198895014E-2</v>
      </c>
      <c r="H46" s="15">
        <f t="shared" si="20"/>
        <v>1.208901363271897E-2</v>
      </c>
      <c r="I46" s="15">
        <f t="shared" si="20"/>
        <v>-6.4816927704595018E-2</v>
      </c>
      <c r="J46" s="15">
        <f t="shared" si="20"/>
        <v>3.2282663955262025E-2</v>
      </c>
      <c r="K46" s="15">
        <f t="shared" si="20"/>
        <v>7.5433231396530021E-3</v>
      </c>
      <c r="L46" s="15">
        <f t="shared" ref="L46:T46" si="21">L14-$L$1</f>
        <v>-5.3090666392852981E-2</v>
      </c>
      <c r="M46" s="15">
        <f t="shared" si="21"/>
        <v>5.7304979041000736E-3</v>
      </c>
      <c r="N46" s="15">
        <f t="shared" si="21"/>
        <v>2.9290853031860298E-3</v>
      </c>
      <c r="O46" s="15">
        <f t="shared" si="21"/>
        <v>1.542393265183406E-2</v>
      </c>
      <c r="P46" s="15">
        <f t="shared" si="21"/>
        <v>1.0823706680060052E-2</v>
      </c>
      <c r="Q46" s="15">
        <f t="shared" si="21"/>
        <v>6.9967923015240574E-3</v>
      </c>
      <c r="R46" s="15">
        <f t="shared" si="21"/>
        <v>-8.6707810393112927E-2</v>
      </c>
      <c r="S46" s="15">
        <f t="shared" si="21"/>
        <v>-4.4992374173870031E-3</v>
      </c>
      <c r="T46" s="15">
        <f t="shared" si="21"/>
        <v>8.6136595310910558E-3</v>
      </c>
    </row>
    <row r="47" spans="1:20" x14ac:dyDescent="0.3">
      <c r="A47" t="s">
        <v>56</v>
      </c>
      <c r="B47" t="s">
        <v>86</v>
      </c>
      <c r="C47" s="15">
        <f t="shared" ref="C47:K47" si="22">C15-$C$1</f>
        <v>-5.1258748563669077E-2</v>
      </c>
      <c r="D47" s="15">
        <f t="shared" si="22"/>
        <v>2.6727217062965991E-2</v>
      </c>
      <c r="E47" s="15">
        <f t="shared" si="22"/>
        <v>6.3620530683329291E-3</v>
      </c>
      <c r="F47" s="15">
        <f t="shared" si="22"/>
        <v>1.444332998997E-2</v>
      </c>
      <c r="G47" s="15">
        <f t="shared" si="22"/>
        <v>2.710430930326202E-2</v>
      </c>
      <c r="H47" s="15">
        <f t="shared" si="22"/>
        <v>1.2041675015026954E-2</v>
      </c>
      <c r="I47" s="15">
        <f t="shared" si="22"/>
        <v>-6.8867055572612967E-2</v>
      </c>
      <c r="J47" s="15">
        <f t="shared" si="22"/>
        <v>3.4975767366720922E-2</v>
      </c>
      <c r="K47" s="15">
        <f t="shared" si="22"/>
        <v>2.8479095132299959E-3</v>
      </c>
      <c r="L47" s="15">
        <f t="shared" ref="L47:T47" si="23">L15-$L$1</f>
        <v>-7.6083777290295918E-2</v>
      </c>
      <c r="M47" s="15">
        <f t="shared" si="23"/>
        <v>-5.1535871007191147E-4</v>
      </c>
      <c r="N47" s="15">
        <f t="shared" si="23"/>
        <v>5.3324454461630699E-3</v>
      </c>
      <c r="O47" s="15">
        <f t="shared" si="23"/>
        <v>9.1775325977930811E-3</v>
      </c>
      <c r="P47" s="15">
        <f t="shared" si="23"/>
        <v>1.7378171566653E-2</v>
      </c>
      <c r="Q47" s="15">
        <f t="shared" si="23"/>
        <v>9.1264275696250063E-3</v>
      </c>
      <c r="R47" s="15">
        <f t="shared" si="23"/>
        <v>-8.6321768498617946E-2</v>
      </c>
      <c r="S47" s="15">
        <f t="shared" si="23"/>
        <v>-9.2689822294019786E-3</v>
      </c>
      <c r="T47" s="15">
        <f t="shared" si="23"/>
        <v>4.756614825287997E-3</v>
      </c>
    </row>
    <row r="48" spans="1:20" x14ac:dyDescent="0.3">
      <c r="A48" t="s">
        <v>31</v>
      </c>
      <c r="B48" t="s">
        <v>125</v>
      </c>
      <c r="C48" s="15">
        <f t="shared" ref="C48:K48" si="24">C16-$C$1</f>
        <v>1.3974838490309005E-2</v>
      </c>
      <c r="D48" s="15">
        <f t="shared" si="24"/>
        <v>4.5328967563700306E-3</v>
      </c>
      <c r="E48" s="15">
        <f t="shared" si="24"/>
        <v>-9.0503699199350196E-3</v>
      </c>
      <c r="F48" s="15">
        <f t="shared" si="24"/>
        <v>-5.8163980378420632E-3</v>
      </c>
      <c r="G48" s="15">
        <f t="shared" si="24"/>
        <v>-7.8863090472379715E-3</v>
      </c>
      <c r="H48" s="15">
        <f t="shared" si="24"/>
        <v>6.6253002401919225E-3</v>
      </c>
      <c r="I48" s="15">
        <f t="shared" si="24"/>
        <v>1.135424807413199E-2</v>
      </c>
      <c r="J48" s="15">
        <f t="shared" si="24"/>
        <v>1.0924199432508996E-2</v>
      </c>
      <c r="K48" s="15">
        <f t="shared" si="24"/>
        <v>5.7419159867000413E-4</v>
      </c>
      <c r="L48" s="15">
        <f t="shared" ref="L48:T48" si="25">L16-$L$1</f>
        <v>2.3971438286300994E-3</v>
      </c>
      <c r="M48" s="15">
        <f t="shared" si="25"/>
        <v>-8.6309219277599381E-3</v>
      </c>
      <c r="N48" s="15">
        <f t="shared" si="25"/>
        <v>3.3951555690703294E-4</v>
      </c>
      <c r="O48" s="15">
        <f t="shared" si="25"/>
        <v>-1.2563820202219356E-3</v>
      </c>
      <c r="P48" s="15">
        <f t="shared" si="25"/>
        <v>-5.9447558046439308E-3</v>
      </c>
      <c r="Q48" s="15">
        <f t="shared" si="25"/>
        <v>1.6012810248200449E-4</v>
      </c>
      <c r="R48" s="15">
        <f t="shared" si="25"/>
        <v>-1.2839120241192603E-4</v>
      </c>
      <c r="S48" s="15">
        <f t="shared" si="25"/>
        <v>-5.3303607620589499E-3</v>
      </c>
      <c r="T48" s="15">
        <f t="shared" si="25"/>
        <v>2.2514354789970881E-3</v>
      </c>
    </row>
    <row r="49" spans="1:20" x14ac:dyDescent="0.3">
      <c r="A49" t="s">
        <v>57</v>
      </c>
      <c r="B49" t="s">
        <v>125</v>
      </c>
      <c r="C49" s="15">
        <f t="shared" ref="C49:K49" si="26">C17-$C$1</f>
        <v>-2.7710343396618042E-2</v>
      </c>
      <c r="D49" s="15">
        <f t="shared" si="26"/>
        <v>-2.8130944038440298E-3</v>
      </c>
      <c r="E49" s="15">
        <f t="shared" si="26"/>
        <v>-9.000000000000008E-3</v>
      </c>
      <c r="F49" s="15">
        <f t="shared" si="26"/>
        <v>-6.2212442488500663E-3</v>
      </c>
      <c r="G49" s="15">
        <f t="shared" si="26"/>
        <v>-7.8323497049119783E-3</v>
      </c>
      <c r="H49" s="15">
        <f t="shared" si="26"/>
        <v>4.8714614384319788E-3</v>
      </c>
      <c r="I49" s="15">
        <f t="shared" si="26"/>
        <v>2.3731738180144957E-2</v>
      </c>
      <c r="J49" s="15">
        <f t="shared" si="26"/>
        <v>8.8124170325739604E-3</v>
      </c>
      <c r="K49" s="15">
        <f t="shared" si="26"/>
        <v>8.8083426141494225E-4</v>
      </c>
      <c r="L49" s="15">
        <f t="shared" ref="L49:T49" si="27">L17-$L$1</f>
        <v>-4.202199398277795E-2</v>
      </c>
      <c r="M49" s="15">
        <f t="shared" si="27"/>
        <v>-5.8614475923519649E-3</v>
      </c>
      <c r="N49" s="15">
        <f t="shared" si="27"/>
        <v>-1.7999999999999128E-3</v>
      </c>
      <c r="O49" s="15">
        <f t="shared" si="27"/>
        <v>-2.1004200840191167E-4</v>
      </c>
      <c r="P49" s="15">
        <f t="shared" si="27"/>
        <v>-3.5160548164449024E-3</v>
      </c>
      <c r="Q49" s="15">
        <f t="shared" si="27"/>
        <v>-1.2153646093829851E-3</v>
      </c>
      <c r="R49" s="15">
        <f t="shared" si="27"/>
        <v>1.2268491890026989E-2</v>
      </c>
      <c r="S49" s="15">
        <f t="shared" si="27"/>
        <v>-6.1625650975190016E-3</v>
      </c>
      <c r="T49" s="15">
        <f t="shared" si="27"/>
        <v>7.4769666902910759E-3</v>
      </c>
    </row>
    <row r="50" spans="1:20" x14ac:dyDescent="0.3">
      <c r="A50" t="s">
        <v>56</v>
      </c>
      <c r="B50" t="s">
        <v>125</v>
      </c>
      <c r="C50" s="15">
        <f t="shared" ref="C50:K50" si="28">C18-$C$1</f>
        <v>1.0434590778733988E-2</v>
      </c>
      <c r="D50" s="15">
        <f t="shared" si="28"/>
        <v>8.6947709768949721E-3</v>
      </c>
      <c r="E50" s="15">
        <f t="shared" si="28"/>
        <v>-2.9130128011289891E-3</v>
      </c>
      <c r="F50" s="15">
        <f t="shared" si="28"/>
        <v>-1.9906986149023975E-2</v>
      </c>
      <c r="G50" s="15">
        <f t="shared" si="28"/>
        <v>-8.9846897663170555E-3</v>
      </c>
      <c r="H50" s="15">
        <f t="shared" si="28"/>
        <v>7.6103347743039507E-3</v>
      </c>
      <c r="I50" s="15">
        <f t="shared" si="28"/>
        <v>3.6140514132837032E-2</v>
      </c>
      <c r="J50" s="15">
        <f t="shared" si="28"/>
        <v>9.6373268133659318E-3</v>
      </c>
      <c r="K50" s="15">
        <f t="shared" si="28"/>
        <v>-1.7788558722460213E-3</v>
      </c>
      <c r="L50" s="15">
        <f t="shared" ref="L50:T50" si="29">L18-$L$1</f>
        <v>-3.7171850871389189E-3</v>
      </c>
      <c r="M50" s="15">
        <f t="shared" si="29"/>
        <v>-7.3571139035270017E-3</v>
      </c>
      <c r="N50" s="15">
        <f t="shared" si="29"/>
        <v>2.222558209858061E-3</v>
      </c>
      <c r="O50" s="15">
        <f t="shared" si="29"/>
        <v>8.6442220200200204E-4</v>
      </c>
      <c r="P50" s="15">
        <f t="shared" si="29"/>
        <v>-5.2981466559229862E-3</v>
      </c>
      <c r="Q50" s="15">
        <f t="shared" si="29"/>
        <v>-3.3829295264899972E-3</v>
      </c>
      <c r="R50" s="15">
        <f t="shared" si="29"/>
        <v>2.6038152844015006E-2</v>
      </c>
      <c r="S50" s="15">
        <f t="shared" si="29"/>
        <v>-8.3740831295839868E-3</v>
      </c>
      <c r="T50" s="15">
        <f t="shared" si="29"/>
        <v>4.3157469173240592E-3</v>
      </c>
    </row>
    <row r="51" spans="1:20" x14ac:dyDescent="0.3">
      <c r="A51" t="s">
        <v>31</v>
      </c>
      <c r="B51" t="s">
        <v>90</v>
      </c>
      <c r="C51" s="15">
        <f t="shared" ref="C51:K51" si="30">C19-$C$1</f>
        <v>-6.186713795612897E-2</v>
      </c>
      <c r="D51" s="15">
        <f t="shared" si="30"/>
        <v>2.3879680785757973E-2</v>
      </c>
      <c r="E51" s="15">
        <f t="shared" si="30"/>
        <v>-2.5038323965250742E-3</v>
      </c>
      <c r="F51" s="15">
        <f t="shared" si="30"/>
        <v>1.8246564349483019E-2</v>
      </c>
      <c r="G51" s="15">
        <f t="shared" si="30"/>
        <v>1.8658365133561006E-2</v>
      </c>
      <c r="H51" s="15">
        <f t="shared" si="30"/>
        <v>1.2607737021447019E-2</v>
      </c>
      <c r="I51" s="15">
        <f t="shared" si="30"/>
        <v>-6.3804766364865984E-2</v>
      </c>
      <c r="J51" s="15">
        <f t="shared" si="30"/>
        <v>2.7857142857143025E-2</v>
      </c>
      <c r="K51" s="15">
        <f t="shared" si="30"/>
        <v>8.2991803278690268E-3</v>
      </c>
      <c r="L51" s="15">
        <f t="shared" ref="L51:T51" si="31">L19-$L$1</f>
        <v>-8.4213535710572995E-2</v>
      </c>
      <c r="M51" s="15">
        <f t="shared" si="31"/>
        <v>-7.9087374667489163E-3</v>
      </c>
      <c r="N51" s="15">
        <f t="shared" si="31"/>
        <v>1.4563106796120495E-3</v>
      </c>
      <c r="O51" s="15">
        <f t="shared" si="31"/>
        <v>9.4743705487010388E-3</v>
      </c>
      <c r="P51" s="15">
        <f t="shared" si="31"/>
        <v>7.9232777666200516E-3</v>
      </c>
      <c r="Q51" s="15">
        <f t="shared" si="31"/>
        <v>9.4107035478050438E-3</v>
      </c>
      <c r="R51" s="15">
        <f t="shared" si="31"/>
        <v>-8.3000312207305971E-2</v>
      </c>
      <c r="S51" s="15">
        <f t="shared" si="31"/>
        <v>-3.5714285714290028E-3</v>
      </c>
      <c r="T51" s="15">
        <f t="shared" si="31"/>
        <v>3.7909836065570524E-3</v>
      </c>
    </row>
    <row r="52" spans="1:20" x14ac:dyDescent="0.3">
      <c r="A52" t="s">
        <v>57</v>
      </c>
      <c r="B52" t="s">
        <v>90</v>
      </c>
      <c r="C52" s="15">
        <f t="shared" ref="C52:K52" si="32">C20-$C$1</f>
        <v>-3.8104528185645026E-2</v>
      </c>
      <c r="D52" s="15">
        <f t="shared" si="32"/>
        <v>8.5983028320210098E-3</v>
      </c>
      <c r="E52" s="15">
        <f t="shared" si="32"/>
        <v>2.4665981500510137E-3</v>
      </c>
      <c r="F52" s="15">
        <f t="shared" si="32"/>
        <v>2.3331328923631989E-2</v>
      </c>
      <c r="G52" s="15">
        <f t="shared" si="32"/>
        <v>1.6122551481667968E-2</v>
      </c>
      <c r="H52" s="15">
        <f t="shared" si="32"/>
        <v>1.148757016840396E-2</v>
      </c>
      <c r="I52" s="15">
        <f t="shared" si="32"/>
        <v>-6.8239809148428976E-2</v>
      </c>
      <c r="J52" s="15">
        <f t="shared" si="32"/>
        <v>3.1062531774275981E-2</v>
      </c>
      <c r="K52" s="15">
        <f t="shared" si="32"/>
        <v>6.6258919469929234E-3</v>
      </c>
      <c r="L52" s="15">
        <f t="shared" ref="L52:T52" si="33">L20-$L$1</f>
        <v>-5.5863024951226969E-2</v>
      </c>
      <c r="M52" s="15">
        <f t="shared" si="33"/>
        <v>-4.0384418771099995E-4</v>
      </c>
      <c r="N52" s="15">
        <f t="shared" si="33"/>
        <v>8.7358684481009252E-4</v>
      </c>
      <c r="O52" s="15">
        <f t="shared" si="33"/>
        <v>1.4221286831028079E-2</v>
      </c>
      <c r="P52" s="15">
        <f t="shared" si="33"/>
        <v>9.8191863385230782E-3</v>
      </c>
      <c r="Q52" s="15">
        <f t="shared" si="33"/>
        <v>6.2951082598240449E-3</v>
      </c>
      <c r="R52" s="15">
        <f t="shared" si="33"/>
        <v>-8.7745047194274006E-2</v>
      </c>
      <c r="S52" s="15">
        <f t="shared" si="33"/>
        <v>-6.6344687341129971E-3</v>
      </c>
      <c r="T52" s="15">
        <f t="shared" si="33"/>
        <v>8.4097859327220137E-3</v>
      </c>
    </row>
    <row r="53" spans="1:20" x14ac:dyDescent="0.3">
      <c r="A53" t="s">
        <v>56</v>
      </c>
      <c r="B53" t="s">
        <v>90</v>
      </c>
      <c r="C53" s="15">
        <f t="shared" ref="C53:K53" si="34">C21-$C$1</f>
        <v>-5.5646087955709023E-2</v>
      </c>
      <c r="D53" s="15">
        <f t="shared" si="34"/>
        <v>2.4380038779466928E-2</v>
      </c>
      <c r="E53" s="15">
        <f t="shared" si="34"/>
        <v>4.9277737936689325E-3</v>
      </c>
      <c r="F53" s="15">
        <f t="shared" si="34"/>
        <v>1.7051153460380108E-3</v>
      </c>
      <c r="G53" s="15">
        <f t="shared" si="34"/>
        <v>2.5996778091018968E-2</v>
      </c>
      <c r="H53" s="15">
        <f t="shared" si="34"/>
        <v>1.1841314365859001E-2</v>
      </c>
      <c r="I53" s="15">
        <f t="shared" si="34"/>
        <v>-7.019752328318507E-2</v>
      </c>
      <c r="J53" s="15">
        <f t="shared" si="34"/>
        <v>3.4067043618740023E-2</v>
      </c>
      <c r="K53" s="15">
        <f t="shared" si="34"/>
        <v>2.6459301151279258E-3</v>
      </c>
      <c r="L53" s="15">
        <f t="shared" ref="L53:T53" si="35">L21-$L$1</f>
        <v>-7.7755144677738919E-2</v>
      </c>
      <c r="M53" s="15">
        <f t="shared" si="35"/>
        <v>-4.8015103581999785E-3</v>
      </c>
      <c r="N53" s="15">
        <f t="shared" si="35"/>
        <v>4.6153058088310717E-3</v>
      </c>
      <c r="O53" s="15">
        <f t="shared" si="35"/>
        <v>8.0742226680040607E-3</v>
      </c>
      <c r="P53" s="15">
        <f t="shared" si="35"/>
        <v>1.7176802255336021E-2</v>
      </c>
      <c r="Q53" s="15">
        <f t="shared" si="35"/>
        <v>8.0244439991989935E-3</v>
      </c>
      <c r="R53" s="15">
        <f t="shared" si="35"/>
        <v>-8.683348684883796E-2</v>
      </c>
      <c r="S53" s="15">
        <f t="shared" si="35"/>
        <v>-1.0379644588044967E-2</v>
      </c>
      <c r="T53" s="15">
        <f t="shared" si="35"/>
        <v>4.6556251262370729E-3</v>
      </c>
    </row>
    <row r="54" spans="1:20" x14ac:dyDescent="0.3">
      <c r="A54" t="s">
        <v>31</v>
      </c>
      <c r="B54" t="s">
        <v>127</v>
      </c>
      <c r="C54" s="15">
        <f t="shared" ref="C54:K54" si="36">C22-$C$1</f>
        <v>5.8899999999999952E-2</v>
      </c>
      <c r="D54" s="15">
        <f t="shared" si="36"/>
        <v>4.3999999999999595E-3</v>
      </c>
      <c r="E54" s="15">
        <f t="shared" si="36"/>
        <v>9.000000000000119E-4</v>
      </c>
      <c r="F54" s="15">
        <f t="shared" si="36"/>
        <v>5.6099999999999928E-2</v>
      </c>
      <c r="G54" s="15">
        <f t="shared" si="36"/>
        <v>3.4899999999999931E-2</v>
      </c>
      <c r="H54" s="15">
        <f t="shared" si="36"/>
        <v>1.5499999999999958E-2</v>
      </c>
      <c r="I54" s="15">
        <f t="shared" si="36"/>
        <v>5.259999999999998E-2</v>
      </c>
      <c r="J54" s="15">
        <f t="shared" si="36"/>
        <v>8.900000000000019E-3</v>
      </c>
      <c r="K54" s="15">
        <f t="shared" si="36"/>
        <v>1.0000000000000009E-2</v>
      </c>
      <c r="L54" s="15">
        <f t="shared" ref="L54:T54" si="37">L22-$L$1</f>
        <v>8.900000000000019E-3</v>
      </c>
      <c r="M54" s="15">
        <f t="shared" si="37"/>
        <v>2.0300000000000096E-2</v>
      </c>
      <c r="N54" s="15">
        <f t="shared" si="37"/>
        <v>3.2000000000000917E-3</v>
      </c>
      <c r="O54" s="15">
        <f t="shared" si="37"/>
        <v>6.0999999999999943E-3</v>
      </c>
      <c r="P54" s="15">
        <f t="shared" si="37"/>
        <v>1.5100000000000002E-2</v>
      </c>
      <c r="Q54" s="15">
        <f t="shared" si="37"/>
        <v>1.6199999999999992E-2</v>
      </c>
      <c r="R54" s="15">
        <f t="shared" si="37"/>
        <v>2.6000000000000467E-3</v>
      </c>
      <c r="S54" s="15">
        <f t="shared" si="37"/>
        <v>2.090000000000003E-2</v>
      </c>
      <c r="T54" s="15">
        <f t="shared" si="37"/>
        <v>6.0999999999999943E-3</v>
      </c>
    </row>
    <row r="55" spans="1:20" x14ac:dyDescent="0.3">
      <c r="A55" t="s">
        <v>57</v>
      </c>
      <c r="B55" t="s">
        <v>127</v>
      </c>
      <c r="C55" s="15">
        <f t="shared" ref="C55:K55" si="38">C23-$C$1</f>
        <v>5.6699999999999973E-2</v>
      </c>
      <c r="D55" s="15">
        <f t="shared" si="38"/>
        <v>5.0999999999999934E-3</v>
      </c>
      <c r="E55" s="15">
        <f t="shared" si="38"/>
        <v>1.0999999999999899E-3</v>
      </c>
      <c r="F55" s="15">
        <f t="shared" si="38"/>
        <v>6.0200000000000031E-2</v>
      </c>
      <c r="G55" s="15">
        <f t="shared" si="38"/>
        <v>3.5599999999999965E-2</v>
      </c>
      <c r="H55" s="15">
        <f t="shared" si="38"/>
        <v>1.3799999999999923E-2</v>
      </c>
      <c r="I55" s="15">
        <f t="shared" si="38"/>
        <v>5.4099999999999926E-2</v>
      </c>
      <c r="J55" s="15">
        <f t="shared" si="38"/>
        <v>6.6999999999999282E-3</v>
      </c>
      <c r="K55" s="15">
        <f t="shared" si="38"/>
        <v>8.0000000000000071E-3</v>
      </c>
      <c r="L55" s="15">
        <f t="shared" ref="L55:T55" si="39">L23-$L$1</f>
        <v>6.7000000000000393E-3</v>
      </c>
      <c r="M55" s="15">
        <f t="shared" si="39"/>
        <v>1.7700000000000049E-2</v>
      </c>
      <c r="N55" s="15">
        <f t="shared" si="39"/>
        <v>3.9000000000000146E-3</v>
      </c>
      <c r="O55" s="15">
        <f t="shared" si="39"/>
        <v>1.0200000000000098E-2</v>
      </c>
      <c r="P55" s="15">
        <f t="shared" si="39"/>
        <v>1.6000000000000014E-2</v>
      </c>
      <c r="Q55" s="15">
        <f t="shared" si="39"/>
        <v>1.2800000000000034E-2</v>
      </c>
      <c r="R55" s="15">
        <f t="shared" si="39"/>
        <v>4.0999999999999925E-3</v>
      </c>
      <c r="S55" s="15">
        <f t="shared" si="39"/>
        <v>1.9500000000000073E-2</v>
      </c>
      <c r="T55" s="15">
        <f t="shared" si="39"/>
        <v>9.5000000000000639E-3</v>
      </c>
    </row>
    <row r="56" spans="1:20" x14ac:dyDescent="0.3">
      <c r="A56" t="s">
        <v>56</v>
      </c>
      <c r="B56" t="s">
        <v>127</v>
      </c>
      <c r="C56" s="15">
        <f t="shared" ref="C56:K56" si="40">C24-$C$1</f>
        <v>5.7099999999999929E-2</v>
      </c>
      <c r="D56" s="15">
        <f t="shared" si="40"/>
        <v>7.1999999999999842E-3</v>
      </c>
      <c r="E56" s="15">
        <f t="shared" si="40"/>
        <v>4.5999999999999375E-3</v>
      </c>
      <c r="F56" s="15">
        <f t="shared" si="40"/>
        <v>5.6400000000000006E-2</v>
      </c>
      <c r="G56" s="15">
        <f t="shared" si="40"/>
        <v>3.7899999999999934E-2</v>
      </c>
      <c r="H56" s="15">
        <f t="shared" si="40"/>
        <v>1.3000000000000012E-2</v>
      </c>
      <c r="I56" s="15">
        <f t="shared" si="40"/>
        <v>5.4099999999999926E-2</v>
      </c>
      <c r="J56" s="15">
        <f t="shared" si="40"/>
        <v>6.5999999999999392E-3</v>
      </c>
      <c r="K56" s="15">
        <f t="shared" si="40"/>
        <v>1.2999999999999678E-3</v>
      </c>
      <c r="L56" s="15">
        <f t="shared" ref="L56:T56" si="41">L24-$L$1</f>
        <v>7.0999999999999952E-3</v>
      </c>
      <c r="M56" s="15">
        <f t="shared" si="41"/>
        <v>1.7400000000000082E-2</v>
      </c>
      <c r="N56" s="15">
        <f t="shared" si="41"/>
        <v>6.7000000000000393E-3</v>
      </c>
      <c r="O56" s="15">
        <f t="shared" si="41"/>
        <v>6.4000000000000723E-3</v>
      </c>
      <c r="P56" s="15">
        <f t="shared" si="41"/>
        <v>2.0600000000000063E-2</v>
      </c>
      <c r="Q56" s="15">
        <f t="shared" si="41"/>
        <v>1.5100000000000002E-2</v>
      </c>
      <c r="R56" s="15">
        <f t="shared" si="41"/>
        <v>4.0999999999999925E-3</v>
      </c>
      <c r="S56" s="15">
        <f t="shared" si="41"/>
        <v>2.0600000000000063E-2</v>
      </c>
      <c r="T56" s="15">
        <f t="shared" si="41"/>
        <v>5.2000000000000934E-3</v>
      </c>
    </row>
    <row r="57" spans="1:20" x14ac:dyDescent="0.3">
      <c r="A57" t="s">
        <v>31</v>
      </c>
      <c r="B57" t="s">
        <v>149</v>
      </c>
      <c r="C57" s="15">
        <f t="shared" ref="C57:K57" si="42">C25-$C$1</f>
        <v>3.1339792849983006E-2</v>
      </c>
      <c r="D57" s="15">
        <f t="shared" si="42"/>
        <v>-1.1551809618244979E-2</v>
      </c>
      <c r="E57" s="15">
        <f t="shared" si="42"/>
        <v>-1.8029421826890046E-2</v>
      </c>
      <c r="F57" s="15">
        <f t="shared" si="42"/>
        <v>-1.100000000000001E-2</v>
      </c>
      <c r="G57" s="15">
        <f t="shared" si="42"/>
        <v>-1.8500000000000072E-2</v>
      </c>
      <c r="H57" s="15">
        <f t="shared" si="42"/>
        <v>1.5499999999999958E-2</v>
      </c>
      <c r="I57" s="15">
        <f t="shared" si="42"/>
        <v>4.6221919673246958E-2</v>
      </c>
      <c r="J57" s="15">
        <f t="shared" si="42"/>
        <v>1.2550200803213007E-2</v>
      </c>
      <c r="K57" s="15">
        <f t="shared" si="42"/>
        <v>4.6999999999999265E-3</v>
      </c>
      <c r="L57" s="15">
        <f t="shared" ref="L57:T57" si="43">L25-$L$1</f>
        <v>3.379552288673604E-2</v>
      </c>
      <c r="M57" s="15">
        <f t="shared" si="43"/>
        <v>-1.8294496777391922E-2</v>
      </c>
      <c r="N57" s="15">
        <f t="shared" si="43"/>
        <v>-3.3698255217239348E-3</v>
      </c>
      <c r="O57" s="15">
        <f t="shared" si="43"/>
        <v>6.0999999999999943E-3</v>
      </c>
      <c r="P57" s="15">
        <f t="shared" si="43"/>
        <v>-1.5100000000000002E-2</v>
      </c>
      <c r="Q57" s="15">
        <f t="shared" si="43"/>
        <v>-3.8999999999999035E-3</v>
      </c>
      <c r="R57" s="15">
        <f t="shared" si="43"/>
        <v>3.6498751985478028E-2</v>
      </c>
      <c r="S57" s="15">
        <f t="shared" si="43"/>
        <v>-3.0120481927710108E-3</v>
      </c>
      <c r="T57" s="15">
        <f t="shared" si="43"/>
        <v>6.0999999999999943E-3</v>
      </c>
    </row>
    <row r="58" spans="1:20" x14ac:dyDescent="0.3">
      <c r="A58" t="s">
        <v>57</v>
      </c>
      <c r="B58" t="s">
        <v>149</v>
      </c>
      <c r="C58" s="15">
        <f t="shared" ref="C58:K58" si="44">C26-$C$1</f>
        <v>2.6944491310950003E-2</v>
      </c>
      <c r="D58" s="15">
        <f t="shared" si="44"/>
        <v>-1.1426456071076063E-2</v>
      </c>
      <c r="E58" s="15">
        <f t="shared" si="44"/>
        <v>-1.5693933823529016E-2</v>
      </c>
      <c r="F58" s="15">
        <f t="shared" si="44"/>
        <v>-1.1600000000000055E-2</v>
      </c>
      <c r="G58" s="15">
        <f t="shared" si="44"/>
        <v>-1.9700000000000051E-2</v>
      </c>
      <c r="H58" s="15">
        <f t="shared" si="44"/>
        <v>1.3799999999999923E-2</v>
      </c>
      <c r="I58" s="15">
        <f t="shared" si="44"/>
        <v>4.7722095671981934E-2</v>
      </c>
      <c r="J58" s="15">
        <f t="shared" si="44"/>
        <v>1.1806114239742982E-2</v>
      </c>
      <c r="K58" s="15">
        <f t="shared" si="44"/>
        <v>4.4999999999999485E-3</v>
      </c>
      <c r="L58" s="15">
        <f t="shared" ref="L58:T58" si="45">L26-$L$1</f>
        <v>2.7729036612114011E-2</v>
      </c>
      <c r="M58" s="15">
        <f t="shared" si="45"/>
        <v>-1.7620927936820907E-2</v>
      </c>
      <c r="N58" s="15">
        <f t="shared" si="45"/>
        <v>-2.9641544117650076E-3</v>
      </c>
      <c r="O58" s="15">
        <f t="shared" si="45"/>
        <v>1.0200000000000098E-2</v>
      </c>
      <c r="P58" s="15">
        <f t="shared" si="45"/>
        <v>-1.4399999999999968E-2</v>
      </c>
      <c r="Q58" s="15">
        <f t="shared" si="45"/>
        <v>-4.4999999999999485E-3</v>
      </c>
      <c r="R58" s="15">
        <f t="shared" si="45"/>
        <v>3.6332574031891052E-2</v>
      </c>
      <c r="S58" s="15">
        <f t="shared" si="45"/>
        <v>-4.3041029766689443E-3</v>
      </c>
      <c r="T58" s="15">
        <f t="shared" si="45"/>
        <v>9.5000000000000639E-3</v>
      </c>
    </row>
    <row r="59" spans="1:20" x14ac:dyDescent="0.3">
      <c r="A59" t="s">
        <v>56</v>
      </c>
      <c r="B59" t="s">
        <v>149</v>
      </c>
      <c r="C59" s="15">
        <f t="shared" ref="C59:K59" si="46">C27-$C$1</f>
        <v>2.7983884505623946E-2</v>
      </c>
      <c r="D59" s="15">
        <f t="shared" si="46"/>
        <v>-6.0494734264020522E-3</v>
      </c>
      <c r="E59" s="15">
        <f t="shared" si="46"/>
        <v>-1.2478435882691041E-2</v>
      </c>
      <c r="F59" s="15">
        <f t="shared" si="46"/>
        <v>-2.1199999999999997E-2</v>
      </c>
      <c r="G59" s="15">
        <f t="shared" si="46"/>
        <v>-1.4500000000000068E-2</v>
      </c>
      <c r="H59" s="15">
        <f t="shared" si="46"/>
        <v>1.3000000000000012E-2</v>
      </c>
      <c r="I59" s="15">
        <f t="shared" si="46"/>
        <v>4.7668452856002963E-2</v>
      </c>
      <c r="J59" s="15">
        <f t="shared" si="46"/>
        <v>1.0881141364412983E-2</v>
      </c>
      <c r="K59" s="15">
        <f t="shared" si="46"/>
        <v>5.9999999999993392E-4</v>
      </c>
      <c r="L59" s="15">
        <f t="shared" ref="L59:T59" si="47">L27-$L$1</f>
        <v>3.1870068826591047E-2</v>
      </c>
      <c r="M59" s="15">
        <f t="shared" si="47"/>
        <v>-1.6127847171197973E-2</v>
      </c>
      <c r="N59" s="15">
        <f t="shared" si="47"/>
        <v>2.0126509488205269E-4</v>
      </c>
      <c r="O59" s="15">
        <f t="shared" si="47"/>
        <v>6.4000000000000723E-3</v>
      </c>
      <c r="P59" s="15">
        <f t="shared" si="47"/>
        <v>-1.21E-2</v>
      </c>
      <c r="Q59" s="15">
        <f t="shared" si="47"/>
        <v>-6.0000000000000053E-3</v>
      </c>
      <c r="R59" s="15">
        <f t="shared" si="47"/>
        <v>3.6318549766275021E-2</v>
      </c>
      <c r="S59" s="15">
        <f t="shared" si="47"/>
        <v>-7.0682206369939715E-3</v>
      </c>
      <c r="T59" s="15">
        <f t="shared" si="47"/>
        <v>5.2000000000000934E-3</v>
      </c>
    </row>
    <row r="60" spans="1:20" x14ac:dyDescent="0.3">
      <c r="A60" t="s">
        <v>31</v>
      </c>
      <c r="B60" t="s">
        <v>129</v>
      </c>
      <c r="C60" s="15"/>
      <c r="D60" s="15"/>
      <c r="E60" s="15"/>
      <c r="F60" s="15">
        <f t="shared" ref="F60:H60" si="48">F28-$C$1</f>
        <v>6.3999999999999613E-3</v>
      </c>
      <c r="G60" s="15">
        <f t="shared" si="48"/>
        <v>9.000000000000119E-4</v>
      </c>
      <c r="H60" s="15">
        <f t="shared" si="48"/>
        <v>9.9999999999988987E-5</v>
      </c>
      <c r="I60" s="15"/>
      <c r="J60" s="15"/>
      <c r="K60" s="15"/>
      <c r="L60" s="15"/>
      <c r="M60" s="15"/>
      <c r="N60" s="15"/>
      <c r="O60" s="15">
        <f t="shared" ref="O60:Q60" si="49">O28-$L$1</f>
        <v>4.3000000000000815E-3</v>
      </c>
      <c r="P60" s="15">
        <f t="shared" si="49"/>
        <v>2.00000000000089E-4</v>
      </c>
      <c r="Q60" s="15">
        <f t="shared" si="49"/>
        <v>-2.1999999999999797E-3</v>
      </c>
      <c r="R60" s="15"/>
      <c r="S60" s="15"/>
      <c r="T60" s="15"/>
    </row>
    <row r="61" spans="1:20" x14ac:dyDescent="0.3">
      <c r="A61" t="s">
        <v>57</v>
      </c>
      <c r="B61" t="s">
        <v>129</v>
      </c>
      <c r="C61" s="15"/>
      <c r="D61" s="15"/>
      <c r="E61" s="15"/>
      <c r="F61" s="15">
        <f t="shared" ref="F61:H61" si="50">F29-$C$1</f>
        <v>-7.7100000000000057E-2</v>
      </c>
      <c r="G61" s="15">
        <f t="shared" si="50"/>
        <v>-0.22260000000000002</v>
      </c>
      <c r="H61" s="15">
        <f t="shared" si="50"/>
        <v>-0.40770000000000001</v>
      </c>
      <c r="I61" s="15"/>
      <c r="J61" s="15"/>
      <c r="K61" s="15"/>
      <c r="L61" s="15"/>
      <c r="M61" s="15"/>
      <c r="N61" s="15"/>
      <c r="O61" s="15">
        <f t="shared" ref="O61:Q61" si="51">O29-$L$1</f>
        <v>-4.8499999999999988E-2</v>
      </c>
      <c r="P61" s="15">
        <f t="shared" si="51"/>
        <v>-0.16079999999999994</v>
      </c>
      <c r="Q61" s="15">
        <f t="shared" si="51"/>
        <v>-0.33189999999999997</v>
      </c>
      <c r="R61" s="15"/>
      <c r="S61" s="15"/>
      <c r="T61" s="15"/>
    </row>
    <row r="62" spans="1:20" x14ac:dyDescent="0.3">
      <c r="A62" t="s">
        <v>56</v>
      </c>
      <c r="B62" t="s">
        <v>129</v>
      </c>
      <c r="C62" s="15"/>
      <c r="D62" s="15"/>
      <c r="E62" s="15"/>
      <c r="F62" s="15">
        <f t="shared" ref="F62:H62" si="52">F30-$C$1</f>
        <v>-5.5200000000000027E-2</v>
      </c>
      <c r="G62" s="15">
        <f t="shared" si="52"/>
        <v>-0.14860000000000007</v>
      </c>
      <c r="H62" s="15">
        <f t="shared" si="52"/>
        <v>-0.28320000000000001</v>
      </c>
      <c r="I62" s="15"/>
      <c r="J62" s="15"/>
      <c r="K62" s="15"/>
      <c r="L62" s="15"/>
      <c r="M62" s="15"/>
      <c r="N62" s="15"/>
      <c r="O62" s="15">
        <f t="shared" ref="O62:Q62" si="53">O30-$L$1</f>
        <v>-3.4599999999999964E-2</v>
      </c>
      <c r="P62" s="15">
        <f t="shared" si="53"/>
        <v>-0.10029999999999994</v>
      </c>
      <c r="Q62" s="15">
        <f t="shared" si="53"/>
        <v>-0.21729999999999994</v>
      </c>
      <c r="R62" s="15"/>
      <c r="S62" s="15"/>
      <c r="T62" s="15"/>
    </row>
    <row r="63" spans="1:20" x14ac:dyDescent="0.3">
      <c r="A63" t="s">
        <v>31</v>
      </c>
      <c r="B63" t="s">
        <v>130</v>
      </c>
      <c r="C63" s="15">
        <f t="shared" ref="C63:K63" si="54">C31-$C$1</f>
        <v>-4.7223637289862008E-2</v>
      </c>
      <c r="D63" s="15">
        <f t="shared" si="54"/>
        <v>4.8968029138000135E-3</v>
      </c>
      <c r="E63" s="15">
        <f t="shared" si="54"/>
        <v>-7.474747474747967E-3</v>
      </c>
      <c r="F63" s="15">
        <f t="shared" si="54"/>
        <v>2.9514757378690248E-3</v>
      </c>
      <c r="G63" s="15">
        <f t="shared" si="54"/>
        <v>-4.1104110411039896E-3</v>
      </c>
      <c r="H63" s="15">
        <f t="shared" si="54"/>
        <v>8.6726017805339728E-3</v>
      </c>
      <c r="I63" s="15">
        <f t="shared" si="54"/>
        <v>-3.4242641780329985E-2</v>
      </c>
      <c r="J63" s="15">
        <f t="shared" si="54"/>
        <v>1.1960467930617003E-2</v>
      </c>
      <c r="K63" s="15">
        <f t="shared" si="54"/>
        <v>3.4884889916559914E-3</v>
      </c>
      <c r="L63" s="15">
        <f t="shared" ref="L63:T63" si="55">L31-$L$1</f>
        <v>-4.9847172694854947E-2</v>
      </c>
      <c r="M63" s="15">
        <f t="shared" si="55"/>
        <v>-8.4783488466209089E-3</v>
      </c>
      <c r="N63" s="15">
        <f t="shared" si="55"/>
        <v>1.2121212121209979E-3</v>
      </c>
      <c r="O63" s="15">
        <f t="shared" si="55"/>
        <v>3.4767383691850506E-3</v>
      </c>
      <c r="P63" s="15">
        <f t="shared" si="55"/>
        <v>-3.5053505350539638E-3</v>
      </c>
      <c r="Q63" s="15">
        <f t="shared" si="55"/>
        <v>1.485445633690019E-3</v>
      </c>
      <c r="R63" s="15">
        <f t="shared" si="55"/>
        <v>-3.511947492564893E-2</v>
      </c>
      <c r="S63" s="15">
        <f t="shared" si="55"/>
        <v>-3.953206938281939E-3</v>
      </c>
      <c r="T63" s="15">
        <f t="shared" si="55"/>
        <v>4.0564994470690952E-3</v>
      </c>
    </row>
    <row r="64" spans="1:20" x14ac:dyDescent="0.3">
      <c r="A64" t="s">
        <v>57</v>
      </c>
      <c r="B64" t="s">
        <v>130</v>
      </c>
      <c r="C64" s="15">
        <f t="shared" ref="C64:K64" si="56">C32-$C$1</f>
        <v>2.52E-2</v>
      </c>
      <c r="D64" s="15">
        <f t="shared" si="56"/>
        <v>1.8699999999999939E-2</v>
      </c>
      <c r="E64" s="15">
        <f t="shared" si="56"/>
        <v>1.9000000000000128E-3</v>
      </c>
      <c r="F64" s="15">
        <f t="shared" si="56"/>
        <v>4.3999999999999595E-3</v>
      </c>
      <c r="G64" s="15">
        <f t="shared" si="56"/>
        <v>-3.9103910391040664E-3</v>
      </c>
      <c r="H64" s="15">
        <f t="shared" si="56"/>
        <v>7.1999999999999842E-3</v>
      </c>
      <c r="I64" s="15">
        <f t="shared" si="56"/>
        <v>-2.4031830238727014E-2</v>
      </c>
      <c r="J64" s="15">
        <f t="shared" si="56"/>
        <v>8.8417419551309884E-3</v>
      </c>
      <c r="K64" s="15">
        <f t="shared" si="56"/>
        <v>2.4095170884159689E-3</v>
      </c>
      <c r="L64" s="15">
        <f t="shared" ref="L64:T64" si="57">L32-$L$1</f>
        <v>2.1000000000000019E-2</v>
      </c>
      <c r="M64" s="15">
        <f t="shared" si="57"/>
        <v>6.9000000000000172E-3</v>
      </c>
      <c r="N64" s="15">
        <f t="shared" si="57"/>
        <v>4.2000000000000925E-3</v>
      </c>
      <c r="O64" s="15">
        <f t="shared" si="57"/>
        <v>6.7000000000000393E-3</v>
      </c>
      <c r="P64" s="15">
        <f t="shared" si="57"/>
        <v>-1.4051405140509399E-3</v>
      </c>
      <c r="Q64" s="15">
        <f t="shared" si="57"/>
        <v>-9.9999999999988987E-5</v>
      </c>
      <c r="R64" s="15">
        <f t="shared" si="57"/>
        <v>-2.7029177718832953E-2</v>
      </c>
      <c r="S64" s="15">
        <f t="shared" si="57"/>
        <v>-6.0349203126589535E-3</v>
      </c>
      <c r="T64" s="15">
        <f t="shared" si="57"/>
        <v>8.2619215646740907E-3</v>
      </c>
    </row>
    <row r="65" spans="1:20" x14ac:dyDescent="0.3">
      <c r="A65" t="s">
        <v>56</v>
      </c>
      <c r="B65" t="s">
        <v>130</v>
      </c>
      <c r="C65" s="15">
        <f t="shared" ref="C65:K65" si="58">C33-$C$1</f>
        <v>-3.6482939632546008E-2</v>
      </c>
      <c r="D65" s="15">
        <f t="shared" si="58"/>
        <v>8.8069326884320231E-3</v>
      </c>
      <c r="E65" s="15">
        <f t="shared" si="58"/>
        <v>7.0514757731010569E-5</v>
      </c>
      <c r="F65" s="15">
        <f t="shared" si="58"/>
        <v>-1.4844533600802068E-2</v>
      </c>
      <c r="G65" s="15">
        <f t="shared" si="58"/>
        <v>-6.7387603885050718E-3</v>
      </c>
      <c r="H65" s="15">
        <f t="shared" si="58"/>
        <v>8.3900680816979545E-3</v>
      </c>
      <c r="I65" s="15">
        <f t="shared" si="58"/>
        <v>8.7781600266340076E-3</v>
      </c>
      <c r="J65" s="15">
        <f t="shared" si="58"/>
        <v>9.2566335831479885E-3</v>
      </c>
      <c r="K65" s="15">
        <f t="shared" si="58"/>
        <v>-9.5911155981798224E-4</v>
      </c>
      <c r="L65" s="15">
        <f t="shared" ref="L65:T65" si="59">L33-$L$1</f>
        <v>-3.9036947304664005E-2</v>
      </c>
      <c r="M65" s="15">
        <f t="shared" si="59"/>
        <v>-5.521966948810908E-3</v>
      </c>
      <c r="N65" s="15">
        <f t="shared" si="59"/>
        <v>4.3668782109400617E-3</v>
      </c>
      <c r="O65" s="15">
        <f t="shared" si="59"/>
        <v>3.2597793380140239E-3</v>
      </c>
      <c r="P65" s="15">
        <f t="shared" si="59"/>
        <v>-4.5709422248919607E-3</v>
      </c>
      <c r="Q65" s="15">
        <f t="shared" si="59"/>
        <v>-2.5630756908289198E-3</v>
      </c>
      <c r="R65" s="15">
        <f t="shared" si="59"/>
        <v>1.2817667295530466E-3</v>
      </c>
      <c r="S65" s="15">
        <f t="shared" si="59"/>
        <v>-9.0439538181079637E-3</v>
      </c>
      <c r="T65" s="15">
        <f t="shared" si="59"/>
        <v>4.5683997980819901E-3</v>
      </c>
    </row>
  </sheetData>
  <autoFilter ref="A3:T33" xr:uid="{94CDB0C4-04B7-4F7F-B37A-4AA59384C20C}">
    <filterColumn colId="1">
      <filters>
        <filter val="AD"/>
        <filter val="AEL"/>
        <filter val="BT"/>
        <filter val="CH"/>
        <filter val="EL"/>
        <filter val="S"/>
        <filter val="W"/>
        <filter val="ZJ"/>
      </filters>
    </filterColumn>
  </autoFilter>
  <mergeCells count="8">
    <mergeCell ref="R2:T2"/>
    <mergeCell ref="C1:K1"/>
    <mergeCell ref="L1:T1"/>
    <mergeCell ref="C2:E2"/>
    <mergeCell ref="F2:H2"/>
    <mergeCell ref="I2:K2"/>
    <mergeCell ref="L2:N2"/>
    <mergeCell ref="O2:Q2"/>
  </mergeCells>
  <conditionalFormatting sqref="C36:T6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89358-F5DE-4D6E-BC73-02C62465363A}">
  <sheetPr>
    <tabColor rgb="FFFFC000"/>
  </sheetPr>
  <dimension ref="A1:Y21"/>
  <sheetViews>
    <sheetView workbookViewId="0">
      <selection activeCell="F6" sqref="F6"/>
    </sheetView>
  </sheetViews>
  <sheetFormatPr defaultRowHeight="14.4" x14ac:dyDescent="0.3"/>
  <sheetData>
    <row r="1" spans="1:25" x14ac:dyDescent="0.3">
      <c r="C1" t="s">
        <v>116</v>
      </c>
      <c r="D1" t="s">
        <v>95</v>
      </c>
      <c r="K1" t="s">
        <v>97</v>
      </c>
      <c r="S1" t="s">
        <v>99</v>
      </c>
      <c r="T1" t="s">
        <v>99</v>
      </c>
      <c r="U1" t="s">
        <v>99</v>
      </c>
      <c r="V1" t="s">
        <v>99</v>
      </c>
      <c r="W1" t="s">
        <v>99</v>
      </c>
      <c r="X1" t="s">
        <v>99</v>
      </c>
      <c r="Y1" t="s">
        <v>99</v>
      </c>
    </row>
    <row r="2" spans="1:25" x14ac:dyDescent="0.3">
      <c r="C2" t="s">
        <v>117</v>
      </c>
      <c r="D2" t="s">
        <v>149</v>
      </c>
      <c r="E2" t="s">
        <v>123</v>
      </c>
      <c r="F2" t="s">
        <v>122</v>
      </c>
      <c r="G2" t="s">
        <v>125</v>
      </c>
      <c r="H2" t="s">
        <v>124</v>
      </c>
      <c r="I2" t="s">
        <v>130</v>
      </c>
      <c r="J2" t="s">
        <v>126</v>
      </c>
      <c r="K2" t="s">
        <v>149</v>
      </c>
      <c r="L2" t="s">
        <v>123</v>
      </c>
      <c r="M2" t="s">
        <v>122</v>
      </c>
      <c r="N2" t="s">
        <v>125</v>
      </c>
      <c r="O2" t="s">
        <v>124</v>
      </c>
      <c r="P2" t="s">
        <v>130</v>
      </c>
      <c r="Q2" t="s">
        <v>126</v>
      </c>
      <c r="R2" t="s">
        <v>155</v>
      </c>
      <c r="S2" t="s">
        <v>149</v>
      </c>
      <c r="T2" t="s">
        <v>123</v>
      </c>
      <c r="U2" t="s">
        <v>122</v>
      </c>
      <c r="V2" t="s">
        <v>125</v>
      </c>
      <c r="W2" t="s">
        <v>124</v>
      </c>
      <c r="X2" t="s">
        <v>130</v>
      </c>
      <c r="Y2" t="s">
        <v>126</v>
      </c>
    </row>
    <row r="3" spans="1:25" x14ac:dyDescent="0.3">
      <c r="A3" t="s">
        <v>138</v>
      </c>
      <c r="B3" t="s">
        <v>180</v>
      </c>
      <c r="C3" t="s">
        <v>1</v>
      </c>
      <c r="D3" t="s">
        <v>156</v>
      </c>
      <c r="E3" t="s">
        <v>157</v>
      </c>
      <c r="F3" t="s">
        <v>158</v>
      </c>
      <c r="G3" t="s">
        <v>159</v>
      </c>
      <c r="H3" t="s">
        <v>160</v>
      </c>
      <c r="I3" t="s">
        <v>161</v>
      </c>
      <c r="J3" t="s">
        <v>162</v>
      </c>
      <c r="K3" t="s">
        <v>163</v>
      </c>
      <c r="L3" t="s">
        <v>164</v>
      </c>
      <c r="M3" t="s">
        <v>165</v>
      </c>
      <c r="N3" t="s">
        <v>166</v>
      </c>
      <c r="O3" t="s">
        <v>167</v>
      </c>
      <c r="P3" t="s">
        <v>168</v>
      </c>
      <c r="Q3" t="s">
        <v>169</v>
      </c>
      <c r="R3" t="s">
        <v>170</v>
      </c>
      <c r="S3" t="s">
        <v>171</v>
      </c>
      <c r="T3" t="s">
        <v>172</v>
      </c>
      <c r="U3" t="s">
        <v>173</v>
      </c>
      <c r="V3" t="s">
        <v>174</v>
      </c>
      <c r="W3" t="s">
        <v>175</v>
      </c>
      <c r="X3" t="s">
        <v>176</v>
      </c>
      <c r="Y3" t="s">
        <v>177</v>
      </c>
    </row>
    <row r="4" spans="1:25" x14ac:dyDescent="0.3">
      <c r="A4" s="45">
        <v>0.9</v>
      </c>
      <c r="B4" s="45" t="s">
        <v>56</v>
      </c>
      <c r="C4">
        <v>20</v>
      </c>
      <c r="D4" s="15">
        <v>0.92798388450562397</v>
      </c>
      <c r="E4" s="15">
        <v>0.8397</v>
      </c>
      <c r="F4" s="15">
        <v>0.95354634035803298</v>
      </c>
      <c r="G4" s="15">
        <v>0.91043459077873401</v>
      </c>
      <c r="H4" s="15">
        <v>0.91495698213103904</v>
      </c>
      <c r="I4" s="15">
        <v>0.86351706036745401</v>
      </c>
      <c r="J4" s="15">
        <v>0.95709999999999995</v>
      </c>
      <c r="K4" s="15">
        <v>0.87880000000000003</v>
      </c>
      <c r="L4" s="15">
        <v>0.87880000000000003</v>
      </c>
      <c r="M4" s="15">
        <v>0.89870000000000005</v>
      </c>
      <c r="N4" s="15">
        <v>0.88009301385097605</v>
      </c>
      <c r="O4" s="15">
        <v>0.88231725811343598</v>
      </c>
      <c r="P4" s="15">
        <v>0.88515546639919795</v>
      </c>
      <c r="Q4" s="15">
        <v>0.95640000000000003</v>
      </c>
      <c r="R4" s="15">
        <v>0.8448</v>
      </c>
      <c r="S4" s="15">
        <v>0.94766845285600299</v>
      </c>
      <c r="T4" s="15">
        <v>0.83120000000000005</v>
      </c>
      <c r="U4" s="15">
        <v>0.94960665830577995</v>
      </c>
      <c r="V4" s="15">
        <v>0.93614051413283705</v>
      </c>
      <c r="W4" s="15">
        <v>0.93695475165755504</v>
      </c>
      <c r="X4" s="15">
        <v>0.90877816002663403</v>
      </c>
      <c r="Y4" s="15">
        <v>0.95409999999999995</v>
      </c>
    </row>
    <row r="5" spans="1:25" x14ac:dyDescent="0.3">
      <c r="A5" s="45"/>
      <c r="B5" s="45"/>
      <c r="C5">
        <v>50</v>
      </c>
      <c r="D5" s="15">
        <v>0.89395052657359797</v>
      </c>
      <c r="E5" s="15">
        <v>0.93597787940019095</v>
      </c>
      <c r="F5" s="15">
        <v>0.91296035419601496</v>
      </c>
      <c r="G5" s="15">
        <v>0.90869477097689499</v>
      </c>
      <c r="H5" s="15">
        <v>0.91193757600324299</v>
      </c>
      <c r="I5" s="15">
        <v>0.90880693268843205</v>
      </c>
      <c r="J5" s="15">
        <v>0.90720000000000001</v>
      </c>
      <c r="K5" s="15">
        <v>0.88549999999999995</v>
      </c>
      <c r="L5" s="15">
        <v>0.93789999999999996</v>
      </c>
      <c r="M5" s="15">
        <v>0.90390000000000004</v>
      </c>
      <c r="N5" s="15">
        <v>0.89101531023368297</v>
      </c>
      <c r="O5" s="15">
        <v>0.89182111200644598</v>
      </c>
      <c r="P5" s="15">
        <v>0.89326123961149495</v>
      </c>
      <c r="Q5" s="15">
        <v>0.93789999999999996</v>
      </c>
      <c r="R5" s="15">
        <v>0.75139999999999996</v>
      </c>
      <c r="S5" s="15">
        <v>0.91088114136441301</v>
      </c>
      <c r="T5" s="15">
        <v>0.9385</v>
      </c>
      <c r="U5" s="15">
        <v>0.91168491911986305</v>
      </c>
      <c r="V5" s="15">
        <v>0.90963732681336595</v>
      </c>
      <c r="W5" s="15">
        <v>0.91014669926650404</v>
      </c>
      <c r="X5" s="15">
        <v>0.90925663358314801</v>
      </c>
      <c r="Y5" s="15">
        <v>0.90659999999999996</v>
      </c>
    </row>
    <row r="6" spans="1:25" x14ac:dyDescent="0.3">
      <c r="A6" s="45"/>
      <c r="B6" s="45"/>
      <c r="C6">
        <v>100</v>
      </c>
      <c r="D6" s="15">
        <v>0.88752156411730898</v>
      </c>
      <c r="E6" s="15">
        <v>0.9022</v>
      </c>
      <c r="F6" s="15">
        <v>0.9</v>
      </c>
      <c r="G6" s="15">
        <v>0.89708698719887103</v>
      </c>
      <c r="H6" s="15">
        <v>0.89869972785001495</v>
      </c>
      <c r="I6" s="15">
        <v>0.90007051475773103</v>
      </c>
      <c r="J6" s="15">
        <v>0.90459999999999996</v>
      </c>
      <c r="K6" s="15">
        <v>0.91300000000000003</v>
      </c>
      <c r="L6" s="15">
        <v>0.91300000000000003</v>
      </c>
      <c r="M6" s="15">
        <v>0.90280000000000005</v>
      </c>
      <c r="N6" s="15">
        <v>0.90761033477430397</v>
      </c>
      <c r="O6" s="15">
        <v>0.90791193324620501</v>
      </c>
      <c r="P6" s="15">
        <v>0.90839006808169798</v>
      </c>
      <c r="Q6" s="15">
        <v>0.91300000000000003</v>
      </c>
      <c r="R6" s="15">
        <v>0.61680000000000001</v>
      </c>
      <c r="S6" s="15">
        <v>0.90059999999999996</v>
      </c>
      <c r="T6" s="15">
        <v>0.90059999999999996</v>
      </c>
      <c r="U6" s="15">
        <v>0.89949999999999997</v>
      </c>
      <c r="V6" s="15">
        <v>0.898221144127754</v>
      </c>
      <c r="W6" s="15">
        <v>0.89872650090964201</v>
      </c>
      <c r="X6" s="15">
        <v>0.89904088844018204</v>
      </c>
      <c r="Y6" s="15">
        <v>0.90129999999999999</v>
      </c>
    </row>
    <row r="7" spans="1:25" x14ac:dyDescent="0.3">
      <c r="A7" s="45"/>
      <c r="B7" s="45" t="s">
        <v>57</v>
      </c>
      <c r="C7">
        <v>20</v>
      </c>
      <c r="D7" s="15">
        <v>0.92694449131095003</v>
      </c>
      <c r="E7" s="15">
        <v>0.8377</v>
      </c>
      <c r="F7" s="15">
        <v>0.95289443813847896</v>
      </c>
      <c r="G7" s="15">
        <v>0.87228965660338198</v>
      </c>
      <c r="H7" s="15">
        <v>0.87934433032472203</v>
      </c>
      <c r="I7" s="15">
        <v>0.92520000000000002</v>
      </c>
      <c r="J7" s="15">
        <v>0.95669999999999999</v>
      </c>
      <c r="K7" s="15">
        <v>0.88839999999999997</v>
      </c>
      <c r="L7" s="15">
        <v>0.88839999999999997</v>
      </c>
      <c r="M7" s="15">
        <v>0.90569999999999995</v>
      </c>
      <c r="N7" s="15">
        <v>0.89377875575114996</v>
      </c>
      <c r="O7" s="15">
        <v>0.89627925585116996</v>
      </c>
      <c r="P7" s="15">
        <v>0.90439999999999998</v>
      </c>
      <c r="Q7" s="15">
        <v>0.96020000000000005</v>
      </c>
      <c r="R7" s="15">
        <v>0.82289999999999996</v>
      </c>
      <c r="S7" s="15">
        <v>0.94772209567198196</v>
      </c>
      <c r="T7" s="15">
        <v>0.83209999999999995</v>
      </c>
      <c r="U7" s="15">
        <v>0.94954441913439602</v>
      </c>
      <c r="V7" s="15">
        <v>0.92373173818014498</v>
      </c>
      <c r="W7" s="15">
        <v>0.925572299551363</v>
      </c>
      <c r="X7" s="15">
        <v>0.87596816976127301</v>
      </c>
      <c r="Y7" s="15">
        <v>0.95409999999999995</v>
      </c>
    </row>
    <row r="8" spans="1:25" x14ac:dyDescent="0.3">
      <c r="A8" s="45"/>
      <c r="B8" s="45" t="s">
        <v>57</v>
      </c>
      <c r="C8">
        <v>50</v>
      </c>
      <c r="D8" s="15">
        <v>0.88857354392892396</v>
      </c>
      <c r="E8" s="15">
        <v>0.93656557026911602</v>
      </c>
      <c r="F8" s="15">
        <v>0.91018685955394796</v>
      </c>
      <c r="G8" s="15">
        <v>0.89718690559615599</v>
      </c>
      <c r="H8" s="15">
        <v>0.90529582540794895</v>
      </c>
      <c r="I8" s="15">
        <v>0.91869999999999996</v>
      </c>
      <c r="J8" s="15">
        <v>0.90510000000000002</v>
      </c>
      <c r="K8" s="15">
        <v>0.88029999999999997</v>
      </c>
      <c r="L8" s="15">
        <v>0.93559999999999999</v>
      </c>
      <c r="M8" s="15">
        <v>0.90010000000000001</v>
      </c>
      <c r="N8" s="15">
        <v>0.89216765029508804</v>
      </c>
      <c r="O8" s="15">
        <v>0.89346804041212402</v>
      </c>
      <c r="P8" s="15">
        <v>0.89608960896089596</v>
      </c>
      <c r="Q8" s="15">
        <v>0.93559999999999999</v>
      </c>
      <c r="R8" s="15">
        <v>0.6774</v>
      </c>
      <c r="S8" s="15">
        <v>0.911806114239743</v>
      </c>
      <c r="T8" s="15">
        <v>0.94040000000000001</v>
      </c>
      <c r="U8" s="15">
        <v>0.91170555108608198</v>
      </c>
      <c r="V8" s="15">
        <v>0.90881241703257398</v>
      </c>
      <c r="W8" s="15">
        <v>0.91105891963647501</v>
      </c>
      <c r="X8" s="15">
        <v>0.90884174195513101</v>
      </c>
      <c r="Y8" s="15">
        <v>0.90669999999999995</v>
      </c>
    </row>
    <row r="9" spans="1:25" x14ac:dyDescent="0.3">
      <c r="A9" s="45"/>
      <c r="B9" s="45" t="s">
        <v>57</v>
      </c>
      <c r="C9">
        <v>100</v>
      </c>
      <c r="D9" s="15">
        <v>0.88430606617647101</v>
      </c>
      <c r="E9" s="15">
        <v>0.89929999999999999</v>
      </c>
      <c r="F9" s="15">
        <v>0.89749999999999996</v>
      </c>
      <c r="G9" s="15">
        <v>0.89100000000000001</v>
      </c>
      <c r="H9" s="15">
        <v>0.89419999999999999</v>
      </c>
      <c r="I9" s="15">
        <v>0.90190000000000003</v>
      </c>
      <c r="J9" s="15">
        <v>0.90110000000000001</v>
      </c>
      <c r="K9" s="15">
        <v>0.91379999999999995</v>
      </c>
      <c r="L9" s="15">
        <v>0.91379999999999995</v>
      </c>
      <c r="M9" s="15">
        <v>0.90339999999999998</v>
      </c>
      <c r="N9" s="15">
        <v>0.904871461438432</v>
      </c>
      <c r="O9" s="15">
        <v>0.90537161148344503</v>
      </c>
      <c r="P9" s="15">
        <v>0.90720000000000001</v>
      </c>
      <c r="Q9" s="15">
        <v>0.91379999999999995</v>
      </c>
      <c r="R9" s="15">
        <v>0.49230000000000002</v>
      </c>
      <c r="S9" s="15">
        <v>0.90449999999999997</v>
      </c>
      <c r="T9" s="15">
        <v>0.90449999999999997</v>
      </c>
      <c r="U9" s="15">
        <v>0.9042</v>
      </c>
      <c r="V9" s="15">
        <v>0.90088083426141496</v>
      </c>
      <c r="W9" s="15">
        <v>0.90158955148324404</v>
      </c>
      <c r="X9" s="15">
        <v>0.90240951708841599</v>
      </c>
      <c r="Y9" s="15">
        <v>0.90800000000000003</v>
      </c>
    </row>
    <row r="10" spans="1:25" x14ac:dyDescent="0.3">
      <c r="A10" s="45"/>
      <c r="B10" s="45" t="s">
        <v>31</v>
      </c>
      <c r="C10">
        <v>20</v>
      </c>
      <c r="D10" s="15">
        <v>0.93133979284998303</v>
      </c>
      <c r="E10" s="15">
        <v>0.83579999999999999</v>
      </c>
      <c r="F10" s="15">
        <v>0.95552514539856304</v>
      </c>
      <c r="G10" s="15">
        <v>0.91397483849030903</v>
      </c>
      <c r="H10" s="15">
        <v>0.91748838263629195</v>
      </c>
      <c r="I10" s="15">
        <v>0.85277636271013801</v>
      </c>
      <c r="J10" s="15">
        <v>0.95889999999999997</v>
      </c>
      <c r="K10" s="15">
        <v>0.88900000000000001</v>
      </c>
      <c r="L10" s="15">
        <v>0.88900000000000001</v>
      </c>
      <c r="M10" s="15">
        <v>0.90720000000000001</v>
      </c>
      <c r="N10" s="15">
        <v>0.89418360196215796</v>
      </c>
      <c r="O10" s="15">
        <v>0.89658624486935601</v>
      </c>
      <c r="P10" s="15">
        <v>0.90295147573786905</v>
      </c>
      <c r="Q10" s="15">
        <v>0.95609999999999995</v>
      </c>
      <c r="R10" s="15">
        <v>0.90639999999999998</v>
      </c>
      <c r="S10" s="15">
        <v>0.94622191967324698</v>
      </c>
      <c r="T10" s="15">
        <v>0.83399999999999996</v>
      </c>
      <c r="U10" s="15">
        <v>0.94826412525527604</v>
      </c>
      <c r="V10" s="15">
        <v>0.91135424807413201</v>
      </c>
      <c r="W10" s="15">
        <v>0.91392207212236198</v>
      </c>
      <c r="X10" s="15">
        <v>0.86575735821967004</v>
      </c>
      <c r="Y10" s="15">
        <v>0.9526</v>
      </c>
    </row>
    <row r="11" spans="1:25" x14ac:dyDescent="0.3">
      <c r="A11" s="45"/>
      <c r="B11" s="45" t="s">
        <v>31</v>
      </c>
      <c r="C11">
        <v>50</v>
      </c>
      <c r="D11" s="15">
        <v>0.88844819038175504</v>
      </c>
      <c r="E11" s="15">
        <v>0.93497589716122098</v>
      </c>
      <c r="F11" s="15">
        <v>0.90647626709573603</v>
      </c>
      <c r="G11" s="15">
        <v>0.90453289675637005</v>
      </c>
      <c r="H11" s="15">
        <v>0.90760257853269199</v>
      </c>
      <c r="I11" s="15">
        <v>0.90489680291380004</v>
      </c>
      <c r="J11" s="15">
        <v>0.90439999999999998</v>
      </c>
      <c r="K11" s="15">
        <v>0.88149999999999995</v>
      </c>
      <c r="L11" s="15">
        <v>0.93489999999999995</v>
      </c>
      <c r="M11" s="15">
        <v>0.90239999999999998</v>
      </c>
      <c r="N11" s="15">
        <v>0.89211369095276205</v>
      </c>
      <c r="O11" s="15">
        <v>0.89351481184948001</v>
      </c>
      <c r="P11" s="15">
        <v>0.89588958895889603</v>
      </c>
      <c r="Q11" s="15">
        <v>0.93489999999999995</v>
      </c>
      <c r="R11" s="15">
        <v>0.90090000000000003</v>
      </c>
      <c r="S11" s="15">
        <v>0.91255020080321303</v>
      </c>
      <c r="T11" s="15">
        <v>0.94320000000000004</v>
      </c>
      <c r="U11" s="15">
        <v>0.91285140562249001</v>
      </c>
      <c r="V11" s="15">
        <v>0.91092419943250902</v>
      </c>
      <c r="W11" s="15">
        <v>0.91376165383056296</v>
      </c>
      <c r="X11" s="15">
        <v>0.91196046793061702</v>
      </c>
      <c r="Y11" s="15">
        <v>0.90890000000000004</v>
      </c>
    </row>
    <row r="12" spans="1:25" x14ac:dyDescent="0.3">
      <c r="A12" s="45"/>
      <c r="B12" s="45" t="s">
        <v>31</v>
      </c>
      <c r="C12">
        <v>100</v>
      </c>
      <c r="D12" s="15">
        <v>0.88197057817310998</v>
      </c>
      <c r="E12" s="15">
        <v>0.89649999999999996</v>
      </c>
      <c r="F12" s="15">
        <v>0.89429999999999998</v>
      </c>
      <c r="G12" s="15">
        <v>0.890949630080065</v>
      </c>
      <c r="H12" s="15">
        <v>0.89165906557210906</v>
      </c>
      <c r="I12" s="15">
        <v>0.89252525252525206</v>
      </c>
      <c r="J12" s="15">
        <v>0.90090000000000003</v>
      </c>
      <c r="K12" s="15">
        <v>0.91549999999999998</v>
      </c>
      <c r="L12" s="15">
        <v>0.91549999999999998</v>
      </c>
      <c r="M12" s="15">
        <v>0.90500000000000003</v>
      </c>
      <c r="N12" s="15">
        <v>0.90662530024019194</v>
      </c>
      <c r="O12" s="15">
        <v>0.90722578062449999</v>
      </c>
      <c r="P12" s="15">
        <v>0.90867260178053399</v>
      </c>
      <c r="Q12" s="15">
        <v>0.91549999999999998</v>
      </c>
      <c r="R12" s="15">
        <v>0.90010000000000001</v>
      </c>
      <c r="S12" s="15">
        <v>0.90469999999999995</v>
      </c>
      <c r="T12" s="15">
        <v>0.90469999999999995</v>
      </c>
      <c r="U12" s="15">
        <v>0.90369999999999995</v>
      </c>
      <c r="V12" s="15">
        <v>0.90057419159867003</v>
      </c>
      <c r="W12" s="15">
        <v>0.902286692857862</v>
      </c>
      <c r="X12" s="15">
        <v>0.90348848899165601</v>
      </c>
      <c r="Y12" s="15">
        <v>0.91</v>
      </c>
    </row>
    <row r="13" spans="1:25" x14ac:dyDescent="0.3">
      <c r="A13" s="45">
        <v>0.95</v>
      </c>
      <c r="B13" s="45" t="s">
        <v>56</v>
      </c>
      <c r="C13">
        <v>20</v>
      </c>
      <c r="D13" s="15">
        <v>0.981870068826591</v>
      </c>
      <c r="E13" s="15">
        <v>0.87180000000000002</v>
      </c>
      <c r="F13" s="15">
        <v>0.98085202809879901</v>
      </c>
      <c r="G13" s="15">
        <v>0.94628281491286104</v>
      </c>
      <c r="H13" s="15">
        <v>0.950033090668432</v>
      </c>
      <c r="I13" s="15">
        <v>0.91096305269533595</v>
      </c>
      <c r="J13" s="15">
        <v>0.95709999999999995</v>
      </c>
      <c r="K13" s="15">
        <v>0.95640000000000003</v>
      </c>
      <c r="L13" s="15">
        <v>0.95640000000000003</v>
      </c>
      <c r="M13" s="15">
        <v>0.94930000000000003</v>
      </c>
      <c r="N13" s="15">
        <v>0.95086442220200196</v>
      </c>
      <c r="O13" s="15">
        <v>0.95147103427358204</v>
      </c>
      <c r="P13" s="15">
        <v>0.95325977933801398</v>
      </c>
      <c r="Q13" s="15">
        <v>0.95640000000000003</v>
      </c>
      <c r="R13" s="15">
        <v>0.91539999999999999</v>
      </c>
      <c r="S13" s="15">
        <v>0.98631854976627498</v>
      </c>
      <c r="T13" s="15">
        <v>0.86509999999999998</v>
      </c>
      <c r="U13" s="15">
        <v>0.977653631284916</v>
      </c>
      <c r="V13" s="15">
        <v>0.97603815284401496</v>
      </c>
      <c r="W13" s="15">
        <v>0.97731766895428596</v>
      </c>
      <c r="X13" s="15">
        <v>0.951281766729553</v>
      </c>
      <c r="Y13" s="15">
        <v>0.95409999999999995</v>
      </c>
    </row>
    <row r="14" spans="1:25" x14ac:dyDescent="0.3">
      <c r="A14" s="45">
        <v>0.95</v>
      </c>
      <c r="B14" s="45" t="s">
        <v>56</v>
      </c>
      <c r="C14">
        <v>50</v>
      </c>
      <c r="D14" s="15">
        <v>0.93387215282880198</v>
      </c>
      <c r="E14" s="15">
        <v>0.93597787940019095</v>
      </c>
      <c r="F14" s="15">
        <v>0.95612799356007205</v>
      </c>
      <c r="G14" s="15">
        <v>0.94264288609647295</v>
      </c>
      <c r="H14" s="15">
        <v>0.94669639237940795</v>
      </c>
      <c r="I14" s="15">
        <v>0.94447803305118905</v>
      </c>
      <c r="J14" s="15">
        <v>0.96740000000000004</v>
      </c>
      <c r="K14" s="15">
        <v>0.93789999999999996</v>
      </c>
      <c r="L14" s="15">
        <v>0.97060000000000002</v>
      </c>
      <c r="M14" s="15">
        <v>0.95499999999999996</v>
      </c>
      <c r="N14" s="15">
        <v>0.94470185334407697</v>
      </c>
      <c r="O14" s="15">
        <v>0.94510475423045903</v>
      </c>
      <c r="P14" s="15">
        <v>0.94542905777510799</v>
      </c>
      <c r="Q14" s="15">
        <v>0.97060000000000002</v>
      </c>
      <c r="R14" s="15">
        <v>0.84970000000000001</v>
      </c>
      <c r="S14" s="15">
        <v>0.94293177936300598</v>
      </c>
      <c r="T14" s="15">
        <v>0.9385</v>
      </c>
      <c r="U14" s="15">
        <v>0.95719883452225496</v>
      </c>
      <c r="V14" s="15">
        <v>0.94162591687041597</v>
      </c>
      <c r="W14" s="15">
        <v>0.94182966585167105</v>
      </c>
      <c r="X14" s="15">
        <v>0.94095604618189199</v>
      </c>
      <c r="Y14" s="15">
        <v>0.97060000000000002</v>
      </c>
    </row>
    <row r="15" spans="1:25" x14ac:dyDescent="0.3">
      <c r="A15" s="45">
        <v>0.95</v>
      </c>
      <c r="B15" s="45" t="s">
        <v>56</v>
      </c>
      <c r="C15">
        <v>100</v>
      </c>
      <c r="D15" s="15">
        <v>0.95020126509488201</v>
      </c>
      <c r="E15" s="15">
        <v>0.95669999999999999</v>
      </c>
      <c r="F15" s="15">
        <v>0.95209999999999995</v>
      </c>
      <c r="G15" s="15">
        <v>0.95222255820985802</v>
      </c>
      <c r="H15" s="15">
        <v>0.95312972482612601</v>
      </c>
      <c r="I15" s="15">
        <v>0.95436687821094002</v>
      </c>
      <c r="J15" s="15">
        <v>0.95669999999999999</v>
      </c>
      <c r="K15" s="15">
        <v>0.94399999999999995</v>
      </c>
      <c r="L15" s="15">
        <v>0.96509999999999996</v>
      </c>
      <c r="M15" s="15">
        <v>0.9506</v>
      </c>
      <c r="N15" s="15">
        <v>0.94661707047350996</v>
      </c>
      <c r="O15" s="15">
        <v>0.94701920176937804</v>
      </c>
      <c r="P15" s="15">
        <v>0.94743692430917104</v>
      </c>
      <c r="Q15" s="15">
        <v>0.96509999999999996</v>
      </c>
      <c r="R15" s="15">
        <v>0.73270000000000002</v>
      </c>
      <c r="S15" s="15">
        <v>0.95520000000000005</v>
      </c>
      <c r="T15" s="15">
        <v>0.95520000000000005</v>
      </c>
      <c r="U15" s="15">
        <v>0.95009999999999994</v>
      </c>
      <c r="V15" s="15">
        <v>0.95431574691732401</v>
      </c>
      <c r="W15" s="15">
        <v>0.954517889630079</v>
      </c>
      <c r="X15" s="15">
        <v>0.95456839979808195</v>
      </c>
      <c r="Y15" s="15">
        <v>0.95520000000000005</v>
      </c>
    </row>
    <row r="16" spans="1:25" x14ac:dyDescent="0.3">
      <c r="A16" s="45">
        <v>0.95</v>
      </c>
      <c r="B16" s="45" t="s">
        <v>57</v>
      </c>
      <c r="C16">
        <v>20</v>
      </c>
      <c r="D16" s="15">
        <v>0.97772903661211397</v>
      </c>
      <c r="E16" s="15">
        <v>0.86780000000000002</v>
      </c>
      <c r="F16" s="15">
        <v>0.980136208853575</v>
      </c>
      <c r="G16" s="15">
        <v>0.90797800601722201</v>
      </c>
      <c r="H16" s="15">
        <v>0.91409897292250197</v>
      </c>
      <c r="I16" s="15">
        <v>0.97099999999999997</v>
      </c>
      <c r="J16" s="15">
        <v>0.95669999999999999</v>
      </c>
      <c r="K16" s="15">
        <v>0.96020000000000005</v>
      </c>
      <c r="L16" s="15">
        <v>0.96020000000000005</v>
      </c>
      <c r="M16" s="15">
        <v>0.95340000000000003</v>
      </c>
      <c r="N16" s="15">
        <v>0.94978995799159804</v>
      </c>
      <c r="O16" s="15">
        <v>0.95169033806761305</v>
      </c>
      <c r="P16" s="15">
        <v>0.95669999999999999</v>
      </c>
      <c r="Q16" s="15">
        <v>0.96020000000000005</v>
      </c>
      <c r="R16" s="15">
        <v>0.90149999999999997</v>
      </c>
      <c r="S16" s="15">
        <v>0.98633257403189101</v>
      </c>
      <c r="T16" s="15">
        <v>0.86599999999999999</v>
      </c>
      <c r="U16" s="15">
        <v>0.97744874715261998</v>
      </c>
      <c r="V16" s="15">
        <v>0.96226849189002694</v>
      </c>
      <c r="W16" s="15">
        <v>0.96433912343264705</v>
      </c>
      <c r="X16" s="15">
        <v>0.922970822281167</v>
      </c>
      <c r="Y16" s="15">
        <v>0.95409999999999995</v>
      </c>
    </row>
    <row r="17" spans="1:25" x14ac:dyDescent="0.3">
      <c r="A17" s="45">
        <v>0.95</v>
      </c>
      <c r="B17" s="45" t="s">
        <v>57</v>
      </c>
      <c r="C17">
        <v>50</v>
      </c>
      <c r="D17" s="15">
        <v>0.93237907206317905</v>
      </c>
      <c r="E17" s="15">
        <v>0.93656557026911602</v>
      </c>
      <c r="F17" s="15">
        <v>0.95459111914808104</v>
      </c>
      <c r="G17" s="15">
        <v>0.94413855240764799</v>
      </c>
      <c r="H17" s="15">
        <v>0.94834317749524499</v>
      </c>
      <c r="I17" s="15">
        <v>0.95689999999999997</v>
      </c>
      <c r="J17" s="15">
        <v>0.9677</v>
      </c>
      <c r="K17" s="15">
        <v>0.93559999999999999</v>
      </c>
      <c r="L17" s="15">
        <v>0.96599999999999997</v>
      </c>
      <c r="M17" s="15">
        <v>0.95189999999999997</v>
      </c>
      <c r="N17" s="15">
        <v>0.94648394518355505</v>
      </c>
      <c r="O17" s="15">
        <v>0.94748424527358199</v>
      </c>
      <c r="P17" s="15">
        <v>0.94859485948594902</v>
      </c>
      <c r="Q17" s="15">
        <v>0.96599999999999997</v>
      </c>
      <c r="R17" s="15">
        <v>0.78920000000000001</v>
      </c>
      <c r="S17" s="15">
        <v>0.94569589702333101</v>
      </c>
      <c r="T17" s="15">
        <v>0.94040000000000001</v>
      </c>
      <c r="U17" s="15">
        <v>0.95826629123089302</v>
      </c>
      <c r="V17" s="15">
        <v>0.94383743490248095</v>
      </c>
      <c r="W17" s="15">
        <v>0.94557336873276798</v>
      </c>
      <c r="X17" s="15">
        <v>0.943965079687341</v>
      </c>
      <c r="Y17" s="15">
        <v>0.96950000000000003</v>
      </c>
    </row>
    <row r="18" spans="1:25" x14ac:dyDescent="0.3">
      <c r="A18" s="45">
        <v>0.95</v>
      </c>
      <c r="B18" s="45" t="s">
        <v>57</v>
      </c>
      <c r="C18">
        <v>100</v>
      </c>
      <c r="D18" s="15">
        <v>0.94703584558823495</v>
      </c>
      <c r="E18" s="15">
        <v>0.95389999999999997</v>
      </c>
      <c r="F18" s="15">
        <v>0.95020000000000004</v>
      </c>
      <c r="G18" s="15">
        <v>0.94820000000000004</v>
      </c>
      <c r="H18" s="15">
        <v>0.9506</v>
      </c>
      <c r="I18" s="15">
        <v>0.95420000000000005</v>
      </c>
      <c r="J18" s="15">
        <v>0.95389999999999997</v>
      </c>
      <c r="K18" s="15">
        <v>0.94550000000000001</v>
      </c>
      <c r="L18" s="15">
        <v>0.96279999999999999</v>
      </c>
      <c r="M18" s="15">
        <v>0.95109999999999995</v>
      </c>
      <c r="N18" s="15">
        <v>0.94878463539061697</v>
      </c>
      <c r="O18" s="15">
        <v>0.94938481544463305</v>
      </c>
      <c r="P18" s="15">
        <v>0.94989999999999997</v>
      </c>
      <c r="Q18" s="15">
        <v>0.96279999999999999</v>
      </c>
      <c r="R18" s="15">
        <v>0.61809999999999998</v>
      </c>
      <c r="S18" s="15">
        <v>0.95950000000000002</v>
      </c>
      <c r="T18" s="15">
        <v>0.95950000000000002</v>
      </c>
      <c r="U18" s="15">
        <v>0.95569999999999999</v>
      </c>
      <c r="V18" s="15">
        <v>0.95747696669029103</v>
      </c>
      <c r="W18" s="15">
        <v>0.957881947959907</v>
      </c>
      <c r="X18" s="15">
        <v>0.95826192156467405</v>
      </c>
      <c r="Y18" s="15">
        <v>0.95950000000000002</v>
      </c>
    </row>
    <row r="19" spans="1:25" x14ac:dyDescent="0.3">
      <c r="A19" s="45">
        <v>0.95</v>
      </c>
      <c r="B19" s="45" t="s">
        <v>31</v>
      </c>
      <c r="C19">
        <v>20</v>
      </c>
      <c r="D19" s="15">
        <v>0.983795522886736</v>
      </c>
      <c r="E19" s="15">
        <v>0.86719999999999997</v>
      </c>
      <c r="F19" s="15">
        <v>0.980499486828601</v>
      </c>
      <c r="G19" s="15">
        <v>0.95239714382863006</v>
      </c>
      <c r="H19" s="15">
        <v>0.95500396690468103</v>
      </c>
      <c r="I19" s="15">
        <v>0.90015282730514501</v>
      </c>
      <c r="J19" s="15">
        <v>0.95889999999999997</v>
      </c>
      <c r="K19" s="15">
        <v>0.95609999999999995</v>
      </c>
      <c r="L19" s="15">
        <v>0.95609999999999995</v>
      </c>
      <c r="M19" s="15">
        <v>0.94969999999999999</v>
      </c>
      <c r="N19" s="15">
        <v>0.94874361797977802</v>
      </c>
      <c r="O19" s="15">
        <v>0.94974471919111003</v>
      </c>
      <c r="P19" s="15">
        <v>0.95347673836918501</v>
      </c>
      <c r="Q19" s="15">
        <v>0.95609999999999995</v>
      </c>
      <c r="R19" s="15">
        <v>0.95430000000000004</v>
      </c>
      <c r="S19" s="15">
        <v>0.98649875198547798</v>
      </c>
      <c r="T19" s="15">
        <v>0.86950000000000005</v>
      </c>
      <c r="U19" s="15">
        <v>0.97889720898570498</v>
      </c>
      <c r="V19" s="15">
        <v>0.94987160879758803</v>
      </c>
      <c r="W19" s="15">
        <v>0.952439432845819</v>
      </c>
      <c r="X19" s="15">
        <v>0.91488052507435103</v>
      </c>
      <c r="Y19" s="15">
        <v>0.9526</v>
      </c>
    </row>
    <row r="20" spans="1:25" x14ac:dyDescent="0.3">
      <c r="A20" s="45">
        <v>0.95</v>
      </c>
      <c r="B20" s="45" t="s">
        <v>31</v>
      </c>
      <c r="C20">
        <v>50</v>
      </c>
      <c r="D20" s="15">
        <v>0.93170550322260803</v>
      </c>
      <c r="E20" s="15">
        <v>0.93497589716122098</v>
      </c>
      <c r="F20" s="15">
        <v>0.95625502815768304</v>
      </c>
      <c r="G20" s="15">
        <v>0.94136907807224002</v>
      </c>
      <c r="H20" s="15">
        <v>0.94402946894505302</v>
      </c>
      <c r="I20" s="15">
        <v>0.94152165115337905</v>
      </c>
      <c r="J20" s="15">
        <v>0.97030000000000005</v>
      </c>
      <c r="K20" s="15">
        <v>0.93489999999999995</v>
      </c>
      <c r="L20" s="15">
        <v>0.96509999999999996</v>
      </c>
      <c r="M20" s="15">
        <v>0.95150000000000001</v>
      </c>
      <c r="N20" s="15">
        <v>0.94405524419535602</v>
      </c>
      <c r="O20" s="15">
        <v>0.94555644515612502</v>
      </c>
      <c r="P20" s="15">
        <v>0.94649464946494599</v>
      </c>
      <c r="Q20" s="15">
        <v>0.96509999999999996</v>
      </c>
      <c r="R20" s="15">
        <v>0.95020000000000004</v>
      </c>
      <c r="S20" s="15">
        <v>0.94698795180722894</v>
      </c>
      <c r="T20" s="15">
        <v>0.94320000000000004</v>
      </c>
      <c r="U20" s="15">
        <v>0.95712851405622501</v>
      </c>
      <c r="V20" s="15">
        <v>0.94466963923794101</v>
      </c>
      <c r="W20" s="15">
        <v>0.94659505472233496</v>
      </c>
      <c r="X20" s="15">
        <v>0.94604679306171802</v>
      </c>
      <c r="Y20" s="15">
        <v>0.97089999999999999</v>
      </c>
    </row>
    <row r="21" spans="1:25" x14ac:dyDescent="0.3">
      <c r="A21" s="45">
        <v>0.95</v>
      </c>
      <c r="B21" s="45" t="s">
        <v>31</v>
      </c>
      <c r="C21">
        <v>100</v>
      </c>
      <c r="D21" s="15">
        <v>0.94663017447827602</v>
      </c>
      <c r="E21" s="15">
        <v>0.95320000000000005</v>
      </c>
      <c r="F21" s="15">
        <v>0.94879999999999998</v>
      </c>
      <c r="G21" s="15">
        <v>0.95033951555690699</v>
      </c>
      <c r="H21" s="15">
        <v>0.95054221141177697</v>
      </c>
      <c r="I21" s="15">
        <v>0.95121212121212095</v>
      </c>
      <c r="J21" s="15">
        <v>0.95320000000000005</v>
      </c>
      <c r="K21" s="15">
        <v>0.94610000000000005</v>
      </c>
      <c r="L21" s="15">
        <v>0.96619999999999995</v>
      </c>
      <c r="M21" s="15">
        <v>0.95409999999999995</v>
      </c>
      <c r="N21" s="15">
        <v>0.95016012810248196</v>
      </c>
      <c r="O21" s="15">
        <v>0.95076060848678901</v>
      </c>
      <c r="P21" s="15">
        <v>0.95148544563368997</v>
      </c>
      <c r="Q21" s="15">
        <v>0.96619999999999995</v>
      </c>
      <c r="R21" s="15">
        <v>0.94779999999999998</v>
      </c>
      <c r="S21" s="15">
        <v>0.95609999999999995</v>
      </c>
      <c r="T21" s="15">
        <v>0.95609999999999995</v>
      </c>
      <c r="U21" s="15">
        <v>0.95179999999999998</v>
      </c>
      <c r="V21" s="15">
        <v>0.95225143547899704</v>
      </c>
      <c r="W21" s="15">
        <v>0.95325878916087403</v>
      </c>
      <c r="X21" s="15">
        <v>0.95405649944706905</v>
      </c>
      <c r="Y21" s="15">
        <v>0.95609999999999995</v>
      </c>
    </row>
  </sheetData>
  <sortState xmlns:xlrd2="http://schemas.microsoft.com/office/spreadsheetml/2017/richdata2" ref="A4:Y21">
    <sortCondition ref="C4:C21"/>
    <sortCondition ref="A4:A21"/>
    <sortCondition ref="B4:B21"/>
  </sortState>
  <mergeCells count="8">
    <mergeCell ref="B10:B12"/>
    <mergeCell ref="B13:B15"/>
    <mergeCell ref="B16:B18"/>
    <mergeCell ref="B19:B21"/>
    <mergeCell ref="A4:A12"/>
    <mergeCell ref="A13:A21"/>
    <mergeCell ref="B4:B6"/>
    <mergeCell ref="B7:B9"/>
  </mergeCells>
  <pageMargins left="0.7" right="0.7" top="0.75" bottom="0.75" header="0.3" footer="0.3"/>
</worksheet>
</file>

<file path=xl/worksheets/sheet1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BE5E6-7FCF-4C9E-97B0-B9A0407BEA00}">
  <sheetPr>
    <tabColor theme="6"/>
  </sheetPr>
  <dimension ref="A1:AF92"/>
  <sheetViews>
    <sheetView tabSelected="1" zoomScale="85" zoomScaleNormal="8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B1" sqref="B1:AF20"/>
    </sheetView>
  </sheetViews>
  <sheetFormatPr defaultRowHeight="14.4" x14ac:dyDescent="0.3"/>
  <cols>
    <col min="11" max="12" width="0" hidden="1" customWidth="1"/>
    <col min="20" max="21" width="0" hidden="1" customWidth="1"/>
    <col min="30" max="31" width="0" hidden="1" customWidth="1"/>
  </cols>
  <sheetData>
    <row r="1" spans="1:32" x14ac:dyDescent="0.3">
      <c r="D1" t="s">
        <v>184</v>
      </c>
      <c r="E1" s="42" t="s">
        <v>95</v>
      </c>
      <c r="F1" s="43"/>
      <c r="G1" s="43"/>
      <c r="H1" s="43"/>
      <c r="I1" s="43"/>
      <c r="J1" s="43"/>
      <c r="K1" s="43"/>
      <c r="L1" s="43"/>
      <c r="M1" s="44"/>
      <c r="N1" s="43" t="s">
        <v>97</v>
      </c>
      <c r="O1" s="43"/>
      <c r="P1" s="43"/>
      <c r="Q1" s="43"/>
      <c r="R1" s="43"/>
      <c r="S1" s="43"/>
      <c r="T1" s="43"/>
      <c r="U1" s="43"/>
      <c r="V1" s="43"/>
      <c r="W1" s="44"/>
      <c r="X1" s="43" t="s">
        <v>99</v>
      </c>
      <c r="Y1" s="43"/>
      <c r="Z1" s="43"/>
      <c r="AA1" s="43"/>
      <c r="AB1" s="43"/>
      <c r="AC1" s="43"/>
      <c r="AD1" s="43"/>
      <c r="AE1" s="43"/>
      <c r="AF1" s="44"/>
    </row>
    <row r="2" spans="1:32" ht="15" thickBot="1" x14ac:dyDescent="0.35">
      <c r="A2" t="s">
        <v>183</v>
      </c>
      <c r="B2" t="s">
        <v>0</v>
      </c>
      <c r="C2" t="s">
        <v>1</v>
      </c>
      <c r="D2" t="s">
        <v>61</v>
      </c>
      <c r="E2" s="18" t="s">
        <v>149</v>
      </c>
      <c r="F2" s="11" t="s">
        <v>123</v>
      </c>
      <c r="G2" t="s">
        <v>122</v>
      </c>
      <c r="H2" t="s">
        <v>125</v>
      </c>
      <c r="I2" t="s">
        <v>124</v>
      </c>
      <c r="J2" t="s">
        <v>130</v>
      </c>
      <c r="K2" t="s">
        <v>179</v>
      </c>
      <c r="L2" t="s">
        <v>178</v>
      </c>
      <c r="M2" s="19" t="s">
        <v>126</v>
      </c>
      <c r="N2" t="s">
        <v>149</v>
      </c>
      <c r="O2" s="11" t="s">
        <v>123</v>
      </c>
      <c r="P2" t="s">
        <v>122</v>
      </c>
      <c r="Q2" t="s">
        <v>125</v>
      </c>
      <c r="R2" t="s">
        <v>124</v>
      </c>
      <c r="S2" t="s">
        <v>130</v>
      </c>
      <c r="T2" t="s">
        <v>179</v>
      </c>
      <c r="U2" t="s">
        <v>178</v>
      </c>
      <c r="V2" t="s">
        <v>126</v>
      </c>
      <c r="W2" s="19" t="s">
        <v>155</v>
      </c>
      <c r="X2" t="s">
        <v>149</v>
      </c>
      <c r="Y2" s="11" t="s">
        <v>123</v>
      </c>
      <c r="Z2" t="s">
        <v>122</v>
      </c>
      <c r="AA2" t="s">
        <v>125</v>
      </c>
      <c r="AB2" t="s">
        <v>124</v>
      </c>
      <c r="AC2" t="s">
        <v>130</v>
      </c>
      <c r="AD2" t="s">
        <v>179</v>
      </c>
      <c r="AE2" t="s">
        <v>178</v>
      </c>
      <c r="AF2" s="19" t="s">
        <v>126</v>
      </c>
    </row>
    <row r="3" spans="1:32" x14ac:dyDescent="0.3">
      <c r="A3" s="48" t="s">
        <v>181</v>
      </c>
      <c r="B3" s="16" t="s">
        <v>31</v>
      </c>
      <c r="C3" s="16">
        <v>20</v>
      </c>
      <c r="D3" s="16">
        <v>0.95</v>
      </c>
      <c r="E3" s="35">
        <v>1231</v>
      </c>
      <c r="F3" s="36">
        <v>0</v>
      </c>
      <c r="G3" s="36">
        <v>1231</v>
      </c>
      <c r="H3" s="36">
        <v>954</v>
      </c>
      <c r="I3" s="36">
        <v>954</v>
      </c>
      <c r="J3" s="36">
        <v>185</v>
      </c>
      <c r="K3" s="36">
        <v>2</v>
      </c>
      <c r="L3" s="36">
        <v>2</v>
      </c>
      <c r="M3" s="37">
        <v>0</v>
      </c>
      <c r="N3" s="36">
        <v>0</v>
      </c>
      <c r="O3" s="36">
        <v>0</v>
      </c>
      <c r="P3" s="36">
        <v>0</v>
      </c>
      <c r="Q3" s="36">
        <v>0</v>
      </c>
      <c r="R3" s="36">
        <v>0</v>
      </c>
      <c r="S3" s="36">
        <v>5</v>
      </c>
      <c r="T3" s="36">
        <v>0</v>
      </c>
      <c r="U3" s="36">
        <v>0</v>
      </c>
      <c r="V3" s="36">
        <v>0</v>
      </c>
      <c r="W3" s="37">
        <v>0</v>
      </c>
      <c r="X3" s="36">
        <v>1186</v>
      </c>
      <c r="Y3" s="36">
        <v>0</v>
      </c>
      <c r="Z3" s="36">
        <v>1186</v>
      </c>
      <c r="AA3" s="36">
        <v>917</v>
      </c>
      <c r="AB3" s="36">
        <v>917</v>
      </c>
      <c r="AC3" s="36">
        <v>249</v>
      </c>
      <c r="AD3" s="36">
        <v>0</v>
      </c>
      <c r="AE3" s="36">
        <v>0</v>
      </c>
      <c r="AF3" s="37">
        <v>0</v>
      </c>
    </row>
    <row r="4" spans="1:32" x14ac:dyDescent="0.3">
      <c r="A4" s="49"/>
      <c r="B4" t="s">
        <v>31</v>
      </c>
      <c r="C4">
        <v>20</v>
      </c>
      <c r="D4">
        <v>0.9</v>
      </c>
      <c r="E4" s="29">
        <v>1231</v>
      </c>
      <c r="F4" s="30">
        <v>0</v>
      </c>
      <c r="G4" s="30">
        <v>1231</v>
      </c>
      <c r="H4" s="30">
        <v>954</v>
      </c>
      <c r="I4" s="30">
        <v>954</v>
      </c>
      <c r="J4" s="30">
        <v>185</v>
      </c>
      <c r="K4" s="30">
        <v>2</v>
      </c>
      <c r="L4" s="30">
        <v>2</v>
      </c>
      <c r="M4" s="31">
        <v>0</v>
      </c>
      <c r="N4" s="30">
        <v>0</v>
      </c>
      <c r="O4" s="30">
        <v>0</v>
      </c>
      <c r="P4" s="30">
        <v>0</v>
      </c>
      <c r="Q4" s="30">
        <v>0</v>
      </c>
      <c r="R4" s="30">
        <v>0</v>
      </c>
      <c r="S4" s="30">
        <v>5</v>
      </c>
      <c r="T4" s="30">
        <v>0</v>
      </c>
      <c r="U4" s="30">
        <v>0</v>
      </c>
      <c r="V4" s="30">
        <v>0</v>
      </c>
      <c r="W4" s="31">
        <v>0</v>
      </c>
      <c r="X4" s="30">
        <v>1186</v>
      </c>
      <c r="Y4" s="30">
        <v>0</v>
      </c>
      <c r="Z4" s="30">
        <v>1186</v>
      </c>
      <c r="AA4" s="30">
        <v>917</v>
      </c>
      <c r="AB4" s="30">
        <v>917</v>
      </c>
      <c r="AC4" s="30">
        <v>249</v>
      </c>
      <c r="AD4" s="30">
        <v>0</v>
      </c>
      <c r="AE4" s="30">
        <v>0</v>
      </c>
      <c r="AF4" s="31">
        <v>0</v>
      </c>
    </row>
    <row r="5" spans="1:32" x14ac:dyDescent="0.3">
      <c r="A5" s="49"/>
      <c r="B5" t="s">
        <v>56</v>
      </c>
      <c r="C5">
        <v>20</v>
      </c>
      <c r="D5">
        <v>0.95</v>
      </c>
      <c r="E5" s="29">
        <v>1174</v>
      </c>
      <c r="F5" s="30">
        <v>0</v>
      </c>
      <c r="G5" s="30">
        <v>1174</v>
      </c>
      <c r="H5" s="30">
        <v>856</v>
      </c>
      <c r="I5" s="30">
        <v>856</v>
      </c>
      <c r="J5" s="30">
        <v>94</v>
      </c>
      <c r="K5" s="30">
        <v>1</v>
      </c>
      <c r="L5" s="30">
        <v>1</v>
      </c>
      <c r="M5" s="31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30</v>
      </c>
      <c r="T5" s="30">
        <v>0</v>
      </c>
      <c r="U5" s="30">
        <v>0</v>
      </c>
      <c r="V5" s="30">
        <v>0</v>
      </c>
      <c r="W5" s="31">
        <v>0</v>
      </c>
      <c r="X5" s="30">
        <v>1229</v>
      </c>
      <c r="Y5" s="30">
        <v>0</v>
      </c>
      <c r="Z5" s="30">
        <v>1229</v>
      </c>
      <c r="AA5" s="30">
        <v>1159</v>
      </c>
      <c r="AB5" s="30">
        <v>1159</v>
      </c>
      <c r="AC5" s="30">
        <v>989</v>
      </c>
      <c r="AD5" s="30">
        <v>5</v>
      </c>
      <c r="AE5" s="30">
        <v>5</v>
      </c>
      <c r="AF5" s="31">
        <v>0</v>
      </c>
    </row>
    <row r="6" spans="1:32" x14ac:dyDescent="0.3">
      <c r="A6" s="49"/>
      <c r="B6" t="s">
        <v>56</v>
      </c>
      <c r="C6">
        <v>20</v>
      </c>
      <c r="D6">
        <v>0.9</v>
      </c>
      <c r="E6" s="29">
        <v>1174</v>
      </c>
      <c r="F6" s="30">
        <v>0</v>
      </c>
      <c r="G6" s="30">
        <v>1174</v>
      </c>
      <c r="H6" s="30">
        <v>856</v>
      </c>
      <c r="I6" s="30">
        <v>856</v>
      </c>
      <c r="J6" s="30">
        <v>94</v>
      </c>
      <c r="K6" s="30">
        <v>1</v>
      </c>
      <c r="L6" s="30">
        <v>1</v>
      </c>
      <c r="M6" s="31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30</v>
      </c>
      <c r="T6" s="30">
        <v>0</v>
      </c>
      <c r="U6" s="30">
        <v>0</v>
      </c>
      <c r="V6" s="30">
        <v>0</v>
      </c>
      <c r="W6" s="31">
        <v>0</v>
      </c>
      <c r="X6" s="30">
        <v>1229</v>
      </c>
      <c r="Y6" s="30">
        <v>0</v>
      </c>
      <c r="Z6" s="30">
        <v>1229</v>
      </c>
      <c r="AA6" s="30">
        <v>1159</v>
      </c>
      <c r="AB6" s="30">
        <v>1159</v>
      </c>
      <c r="AC6" s="30">
        <v>989</v>
      </c>
      <c r="AD6" s="30">
        <v>5</v>
      </c>
      <c r="AE6" s="30">
        <v>5</v>
      </c>
      <c r="AF6" s="31">
        <v>0</v>
      </c>
    </row>
    <row r="7" spans="1:32" x14ac:dyDescent="0.3">
      <c r="A7" s="49"/>
      <c r="B7" t="s">
        <v>57</v>
      </c>
      <c r="C7">
        <v>20</v>
      </c>
      <c r="D7">
        <v>0.95</v>
      </c>
      <c r="E7" s="29">
        <v>1190</v>
      </c>
      <c r="F7" s="30">
        <v>0</v>
      </c>
      <c r="G7" s="30">
        <v>1190</v>
      </c>
      <c r="H7" s="30">
        <v>361</v>
      </c>
      <c r="I7" s="30">
        <v>361</v>
      </c>
      <c r="J7" s="30">
        <v>0</v>
      </c>
      <c r="K7" s="30">
        <v>0</v>
      </c>
      <c r="L7" s="30">
        <v>0</v>
      </c>
      <c r="M7" s="31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1">
        <v>0</v>
      </c>
      <c r="X7" s="30">
        <v>1220</v>
      </c>
      <c r="Y7" s="30">
        <v>0</v>
      </c>
      <c r="Z7" s="30">
        <v>1220</v>
      </c>
      <c r="AA7" s="30">
        <v>1058</v>
      </c>
      <c r="AB7" s="30">
        <v>1058</v>
      </c>
      <c r="AC7" s="30">
        <v>575</v>
      </c>
      <c r="AD7" s="30">
        <v>2</v>
      </c>
      <c r="AE7" s="30">
        <v>2</v>
      </c>
      <c r="AF7" s="31">
        <v>0</v>
      </c>
    </row>
    <row r="8" spans="1:32" x14ac:dyDescent="0.3">
      <c r="A8" s="49"/>
      <c r="B8" t="s">
        <v>57</v>
      </c>
      <c r="C8">
        <v>20</v>
      </c>
      <c r="D8">
        <v>0.9</v>
      </c>
      <c r="E8" s="29">
        <v>1190</v>
      </c>
      <c r="F8" s="30">
        <v>0</v>
      </c>
      <c r="G8" s="30">
        <v>1190</v>
      </c>
      <c r="H8" s="30">
        <v>361</v>
      </c>
      <c r="I8" s="30">
        <v>361</v>
      </c>
      <c r="J8" s="30">
        <v>0</v>
      </c>
      <c r="K8" s="30">
        <v>0</v>
      </c>
      <c r="L8" s="30">
        <v>0</v>
      </c>
      <c r="M8" s="31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1">
        <v>0</v>
      </c>
      <c r="X8" s="30">
        <v>1220</v>
      </c>
      <c r="Y8" s="30">
        <v>0</v>
      </c>
      <c r="Z8" s="30">
        <v>1220</v>
      </c>
      <c r="AA8" s="30">
        <v>1058</v>
      </c>
      <c r="AB8" s="30">
        <v>1058</v>
      </c>
      <c r="AC8" s="30">
        <v>575</v>
      </c>
      <c r="AD8" s="30">
        <v>2</v>
      </c>
      <c r="AE8" s="30">
        <v>2</v>
      </c>
      <c r="AF8" s="31">
        <v>0</v>
      </c>
    </row>
    <row r="9" spans="1:32" x14ac:dyDescent="0.3">
      <c r="A9" s="49"/>
      <c r="B9" t="s">
        <v>31</v>
      </c>
      <c r="C9">
        <v>50</v>
      </c>
      <c r="D9">
        <v>0.95</v>
      </c>
      <c r="E9" s="29">
        <v>56</v>
      </c>
      <c r="F9" s="30">
        <v>0</v>
      </c>
      <c r="G9" s="30">
        <v>56</v>
      </c>
      <c r="H9" s="30">
        <v>45</v>
      </c>
      <c r="I9" s="30">
        <v>45</v>
      </c>
      <c r="J9" s="30">
        <v>116</v>
      </c>
      <c r="K9" s="30">
        <v>0</v>
      </c>
      <c r="L9" s="30">
        <v>0</v>
      </c>
      <c r="M9" s="31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1</v>
      </c>
      <c r="T9" s="30">
        <v>0</v>
      </c>
      <c r="U9" s="30">
        <v>0</v>
      </c>
      <c r="V9" s="30">
        <v>0</v>
      </c>
      <c r="W9" s="31">
        <v>0</v>
      </c>
      <c r="X9" s="30">
        <v>40</v>
      </c>
      <c r="Y9" s="30">
        <v>0</v>
      </c>
      <c r="Z9" s="30">
        <v>40</v>
      </c>
      <c r="AA9" s="30">
        <v>34</v>
      </c>
      <c r="AB9" s="30">
        <v>34</v>
      </c>
      <c r="AC9" s="30">
        <v>84</v>
      </c>
      <c r="AD9" s="30">
        <v>2</v>
      </c>
      <c r="AE9" s="30">
        <v>2</v>
      </c>
      <c r="AF9" s="31">
        <v>0</v>
      </c>
    </row>
    <row r="10" spans="1:32" x14ac:dyDescent="0.3">
      <c r="A10" s="49"/>
      <c r="B10" t="s">
        <v>31</v>
      </c>
      <c r="C10">
        <v>50</v>
      </c>
      <c r="D10">
        <v>0.9</v>
      </c>
      <c r="E10" s="29">
        <v>56</v>
      </c>
      <c r="F10" s="30">
        <v>0</v>
      </c>
      <c r="G10" s="30">
        <v>56</v>
      </c>
      <c r="H10" s="30">
        <v>45</v>
      </c>
      <c r="I10" s="30">
        <v>45</v>
      </c>
      <c r="J10" s="30">
        <v>116</v>
      </c>
      <c r="K10" s="30">
        <v>0</v>
      </c>
      <c r="L10" s="30">
        <v>0</v>
      </c>
      <c r="M10" s="31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1</v>
      </c>
      <c r="T10" s="30">
        <v>0</v>
      </c>
      <c r="U10" s="30">
        <v>0</v>
      </c>
      <c r="V10" s="30">
        <v>0</v>
      </c>
      <c r="W10" s="31">
        <v>0</v>
      </c>
      <c r="X10" s="30">
        <v>40</v>
      </c>
      <c r="Y10" s="30">
        <v>0</v>
      </c>
      <c r="Z10" s="30">
        <v>40</v>
      </c>
      <c r="AA10" s="30">
        <v>34</v>
      </c>
      <c r="AB10" s="30">
        <v>34</v>
      </c>
      <c r="AC10" s="30">
        <v>84</v>
      </c>
      <c r="AD10" s="30">
        <v>2</v>
      </c>
      <c r="AE10" s="30">
        <v>2</v>
      </c>
      <c r="AF10" s="31">
        <v>0</v>
      </c>
    </row>
    <row r="11" spans="1:32" x14ac:dyDescent="0.3">
      <c r="A11" s="49"/>
      <c r="B11" t="s">
        <v>56</v>
      </c>
      <c r="C11">
        <v>50</v>
      </c>
      <c r="D11">
        <v>0.95</v>
      </c>
      <c r="E11" s="29">
        <v>62</v>
      </c>
      <c r="F11" s="30">
        <v>0</v>
      </c>
      <c r="G11" s="30">
        <v>62</v>
      </c>
      <c r="H11" s="30">
        <v>43</v>
      </c>
      <c r="I11" s="30">
        <v>43</v>
      </c>
      <c r="J11" s="30">
        <v>76</v>
      </c>
      <c r="K11" s="30">
        <v>1</v>
      </c>
      <c r="L11" s="30">
        <v>1</v>
      </c>
      <c r="M11" s="31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13</v>
      </c>
      <c r="T11" s="30">
        <v>0</v>
      </c>
      <c r="U11" s="30">
        <v>0</v>
      </c>
      <c r="V11" s="30">
        <v>0</v>
      </c>
      <c r="W11" s="31">
        <v>0</v>
      </c>
      <c r="X11" s="30">
        <v>47</v>
      </c>
      <c r="Y11" s="30">
        <v>0</v>
      </c>
      <c r="Z11" s="30">
        <v>47</v>
      </c>
      <c r="AA11" s="30">
        <v>43</v>
      </c>
      <c r="AB11" s="30">
        <v>43</v>
      </c>
      <c r="AC11" s="30">
        <v>126</v>
      </c>
      <c r="AD11" s="30">
        <v>1</v>
      </c>
      <c r="AE11" s="30">
        <v>1</v>
      </c>
      <c r="AF11" s="31">
        <v>0</v>
      </c>
    </row>
    <row r="12" spans="1:32" x14ac:dyDescent="0.3">
      <c r="A12" s="49"/>
      <c r="B12" t="s">
        <v>56</v>
      </c>
      <c r="C12">
        <v>50</v>
      </c>
      <c r="D12">
        <v>0.9</v>
      </c>
      <c r="E12" s="29">
        <v>62</v>
      </c>
      <c r="F12" s="30">
        <v>0</v>
      </c>
      <c r="G12" s="30">
        <v>62</v>
      </c>
      <c r="H12" s="30">
        <v>43</v>
      </c>
      <c r="I12" s="30">
        <v>43</v>
      </c>
      <c r="J12" s="30">
        <v>76</v>
      </c>
      <c r="K12" s="30">
        <v>1</v>
      </c>
      <c r="L12" s="30">
        <v>1</v>
      </c>
      <c r="M12" s="31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13</v>
      </c>
      <c r="T12" s="30">
        <v>0</v>
      </c>
      <c r="U12" s="30">
        <v>0</v>
      </c>
      <c r="V12" s="30">
        <v>0</v>
      </c>
      <c r="W12" s="31">
        <v>0</v>
      </c>
      <c r="X12" s="30">
        <v>47</v>
      </c>
      <c r="Y12" s="30">
        <v>0</v>
      </c>
      <c r="Z12" s="30">
        <v>47</v>
      </c>
      <c r="AA12" s="30">
        <v>43</v>
      </c>
      <c r="AB12" s="30">
        <v>43</v>
      </c>
      <c r="AC12" s="30">
        <v>126</v>
      </c>
      <c r="AD12" s="30">
        <v>1</v>
      </c>
      <c r="AE12" s="30">
        <v>1</v>
      </c>
      <c r="AF12" s="31">
        <v>0</v>
      </c>
    </row>
    <row r="13" spans="1:32" x14ac:dyDescent="0.3">
      <c r="A13" s="49"/>
      <c r="B13" t="s">
        <v>57</v>
      </c>
      <c r="C13">
        <v>50</v>
      </c>
      <c r="D13">
        <v>0.95</v>
      </c>
      <c r="E13" s="29">
        <v>46</v>
      </c>
      <c r="F13" s="30">
        <v>0</v>
      </c>
      <c r="G13" s="30">
        <v>46</v>
      </c>
      <c r="H13" s="30">
        <v>11</v>
      </c>
      <c r="I13" s="30">
        <v>11</v>
      </c>
      <c r="J13" s="30">
        <v>0</v>
      </c>
      <c r="K13" s="30">
        <v>0</v>
      </c>
      <c r="L13" s="30">
        <v>0</v>
      </c>
      <c r="M13" s="31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1</v>
      </c>
      <c r="T13" s="30">
        <v>0</v>
      </c>
      <c r="U13" s="30">
        <v>0</v>
      </c>
      <c r="V13" s="30">
        <v>0</v>
      </c>
      <c r="W13" s="31">
        <v>0</v>
      </c>
      <c r="X13" s="30">
        <v>56</v>
      </c>
      <c r="Y13" s="30">
        <v>0</v>
      </c>
      <c r="Z13" s="30">
        <v>56</v>
      </c>
      <c r="AA13" s="30">
        <v>46</v>
      </c>
      <c r="AB13" s="30">
        <v>46</v>
      </c>
      <c r="AC13" s="30">
        <v>149</v>
      </c>
      <c r="AD13" s="30">
        <v>2</v>
      </c>
      <c r="AE13" s="30">
        <v>2</v>
      </c>
      <c r="AF13" s="31">
        <v>0</v>
      </c>
    </row>
    <row r="14" spans="1:32" x14ac:dyDescent="0.3">
      <c r="A14" s="49"/>
      <c r="B14" t="s">
        <v>57</v>
      </c>
      <c r="C14">
        <v>50</v>
      </c>
      <c r="D14">
        <v>0.9</v>
      </c>
      <c r="E14" s="29">
        <v>46</v>
      </c>
      <c r="F14" s="30">
        <v>0</v>
      </c>
      <c r="G14" s="30">
        <v>46</v>
      </c>
      <c r="H14" s="30">
        <v>11</v>
      </c>
      <c r="I14" s="30">
        <v>11</v>
      </c>
      <c r="J14" s="30">
        <v>0</v>
      </c>
      <c r="K14" s="30">
        <v>0</v>
      </c>
      <c r="L14" s="30">
        <v>0</v>
      </c>
      <c r="M14" s="31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1</v>
      </c>
      <c r="T14" s="30">
        <v>0</v>
      </c>
      <c r="U14" s="30">
        <v>0</v>
      </c>
      <c r="V14" s="30">
        <v>0</v>
      </c>
      <c r="W14" s="31">
        <v>0</v>
      </c>
      <c r="X14" s="30">
        <v>56</v>
      </c>
      <c r="Y14" s="30">
        <v>0</v>
      </c>
      <c r="Z14" s="30">
        <v>56</v>
      </c>
      <c r="AA14" s="30">
        <v>46</v>
      </c>
      <c r="AB14" s="30">
        <v>46</v>
      </c>
      <c r="AC14" s="30">
        <v>149</v>
      </c>
      <c r="AD14" s="30">
        <v>2</v>
      </c>
      <c r="AE14" s="30">
        <v>2</v>
      </c>
      <c r="AF14" s="31">
        <v>0</v>
      </c>
    </row>
    <row r="15" spans="1:32" x14ac:dyDescent="0.3">
      <c r="A15" s="49"/>
      <c r="B15" t="s">
        <v>31</v>
      </c>
      <c r="C15">
        <v>100</v>
      </c>
      <c r="D15">
        <v>0.95</v>
      </c>
      <c r="E15" s="29">
        <v>0</v>
      </c>
      <c r="F15" s="30">
        <v>0</v>
      </c>
      <c r="G15" s="30">
        <v>0</v>
      </c>
      <c r="H15" s="30">
        <v>0</v>
      </c>
      <c r="I15" s="30">
        <v>0</v>
      </c>
      <c r="J15" s="30">
        <v>100</v>
      </c>
      <c r="K15" s="30">
        <v>1</v>
      </c>
      <c r="L15" s="30">
        <v>1</v>
      </c>
      <c r="M15" s="31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3</v>
      </c>
      <c r="T15" s="30">
        <v>0</v>
      </c>
      <c r="U15" s="30">
        <v>0</v>
      </c>
      <c r="V15" s="30">
        <v>0</v>
      </c>
      <c r="W15" s="31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53</v>
      </c>
      <c r="AD15" s="30">
        <v>0</v>
      </c>
      <c r="AE15" s="30">
        <v>0</v>
      </c>
      <c r="AF15" s="31">
        <v>0</v>
      </c>
    </row>
    <row r="16" spans="1:32" x14ac:dyDescent="0.3">
      <c r="A16" s="49"/>
      <c r="B16" t="s">
        <v>31</v>
      </c>
      <c r="C16">
        <v>100</v>
      </c>
      <c r="D16">
        <v>0.9</v>
      </c>
      <c r="E16" s="29">
        <v>0</v>
      </c>
      <c r="F16" s="30">
        <v>0</v>
      </c>
      <c r="G16" s="30">
        <v>0</v>
      </c>
      <c r="H16" s="30">
        <v>0</v>
      </c>
      <c r="I16" s="30">
        <v>0</v>
      </c>
      <c r="J16" s="30">
        <v>100</v>
      </c>
      <c r="K16" s="30">
        <v>1</v>
      </c>
      <c r="L16" s="30">
        <v>1</v>
      </c>
      <c r="M16" s="31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3</v>
      </c>
      <c r="T16" s="30">
        <v>0</v>
      </c>
      <c r="U16" s="30">
        <v>0</v>
      </c>
      <c r="V16" s="30">
        <v>0</v>
      </c>
      <c r="W16" s="31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53</v>
      </c>
      <c r="AD16" s="30">
        <v>0</v>
      </c>
      <c r="AE16" s="30">
        <v>0</v>
      </c>
      <c r="AF16" s="31">
        <v>0</v>
      </c>
    </row>
    <row r="17" spans="1:32" x14ac:dyDescent="0.3">
      <c r="A17" s="49"/>
      <c r="B17" t="s">
        <v>56</v>
      </c>
      <c r="C17">
        <v>100</v>
      </c>
      <c r="D17">
        <v>0.95</v>
      </c>
      <c r="E17" s="29">
        <v>0</v>
      </c>
      <c r="F17" s="30">
        <v>0</v>
      </c>
      <c r="G17" s="30">
        <v>0</v>
      </c>
      <c r="H17" s="30">
        <v>1</v>
      </c>
      <c r="I17" s="30">
        <v>1</v>
      </c>
      <c r="J17" s="30">
        <v>73</v>
      </c>
      <c r="K17" s="30">
        <v>0</v>
      </c>
      <c r="L17" s="30">
        <v>0</v>
      </c>
      <c r="M17" s="31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12</v>
      </c>
      <c r="T17" s="30">
        <v>0</v>
      </c>
      <c r="U17" s="30">
        <v>0</v>
      </c>
      <c r="V17" s="30">
        <v>0</v>
      </c>
      <c r="W17" s="31">
        <v>0</v>
      </c>
      <c r="X17" s="30">
        <v>0</v>
      </c>
      <c r="Y17" s="30">
        <v>0</v>
      </c>
      <c r="Z17" s="30">
        <v>0</v>
      </c>
      <c r="AA17" s="30">
        <v>2</v>
      </c>
      <c r="AB17" s="30">
        <v>2</v>
      </c>
      <c r="AC17" s="30">
        <v>95</v>
      </c>
      <c r="AD17" s="30">
        <v>1</v>
      </c>
      <c r="AE17" s="30">
        <v>1</v>
      </c>
      <c r="AF17" s="31">
        <v>0</v>
      </c>
    </row>
    <row r="18" spans="1:32" x14ac:dyDescent="0.3">
      <c r="A18" s="49"/>
      <c r="B18" t="s">
        <v>56</v>
      </c>
      <c r="C18">
        <v>100</v>
      </c>
      <c r="D18">
        <v>0.9</v>
      </c>
      <c r="E18" s="29">
        <v>0</v>
      </c>
      <c r="F18" s="30">
        <v>0</v>
      </c>
      <c r="G18" s="30">
        <v>0</v>
      </c>
      <c r="H18" s="30">
        <v>1</v>
      </c>
      <c r="I18" s="30">
        <v>1</v>
      </c>
      <c r="J18" s="30">
        <v>73</v>
      </c>
      <c r="K18" s="30">
        <v>0</v>
      </c>
      <c r="L18" s="30">
        <v>0</v>
      </c>
      <c r="M18" s="31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12</v>
      </c>
      <c r="T18" s="30">
        <v>0</v>
      </c>
      <c r="U18" s="30">
        <v>0</v>
      </c>
      <c r="V18" s="30">
        <v>0</v>
      </c>
      <c r="W18" s="31">
        <v>0</v>
      </c>
      <c r="X18" s="30">
        <v>0</v>
      </c>
      <c r="Y18" s="30">
        <v>0</v>
      </c>
      <c r="Z18" s="30">
        <v>0</v>
      </c>
      <c r="AA18" s="30">
        <v>2</v>
      </c>
      <c r="AB18" s="30">
        <v>2</v>
      </c>
      <c r="AC18" s="30">
        <v>95</v>
      </c>
      <c r="AD18" s="30">
        <v>1</v>
      </c>
      <c r="AE18" s="30">
        <v>1</v>
      </c>
      <c r="AF18" s="31">
        <v>0</v>
      </c>
    </row>
    <row r="19" spans="1:32" x14ac:dyDescent="0.3">
      <c r="A19" s="49"/>
      <c r="B19" t="s">
        <v>57</v>
      </c>
      <c r="C19">
        <v>100</v>
      </c>
      <c r="D19">
        <v>0.95</v>
      </c>
      <c r="E19" s="29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1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1">
        <v>0</v>
      </c>
      <c r="X19" s="30">
        <v>0</v>
      </c>
      <c r="Y19" s="30">
        <v>0</v>
      </c>
      <c r="Z19" s="30">
        <v>0</v>
      </c>
      <c r="AA19" s="30">
        <v>1</v>
      </c>
      <c r="AB19" s="30">
        <v>1</v>
      </c>
      <c r="AC19" s="30">
        <v>81</v>
      </c>
      <c r="AD19" s="30">
        <v>2</v>
      </c>
      <c r="AE19" s="30">
        <v>2</v>
      </c>
      <c r="AF19" s="31">
        <v>0</v>
      </c>
    </row>
    <row r="20" spans="1:32" ht="15" thickBot="1" x14ac:dyDescent="0.35">
      <c r="A20" s="50"/>
      <c r="B20" s="38" t="s">
        <v>57</v>
      </c>
      <c r="C20" s="38">
        <v>100</v>
      </c>
      <c r="D20" s="38">
        <v>0.9</v>
      </c>
      <c r="E20" s="32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4">
        <v>0</v>
      </c>
      <c r="N20" s="33">
        <v>0</v>
      </c>
      <c r="O20" s="33">
        <v>0</v>
      </c>
      <c r="P20" s="33">
        <v>0</v>
      </c>
      <c r="Q20" s="33">
        <v>0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  <c r="W20" s="34">
        <v>0</v>
      </c>
      <c r="X20" s="33">
        <v>0</v>
      </c>
      <c r="Y20" s="33">
        <v>0</v>
      </c>
      <c r="Z20" s="33">
        <v>0</v>
      </c>
      <c r="AA20" s="33">
        <v>1</v>
      </c>
      <c r="AB20" s="33">
        <v>1</v>
      </c>
      <c r="AC20" s="33">
        <v>81</v>
      </c>
      <c r="AD20" s="33">
        <v>2</v>
      </c>
      <c r="AE20" s="33">
        <v>2</v>
      </c>
      <c r="AF20" s="34">
        <v>0</v>
      </c>
    </row>
    <row r="21" spans="1:32" x14ac:dyDescent="0.3">
      <c r="A21" s="51" t="s">
        <v>182</v>
      </c>
      <c r="B21" t="s">
        <v>31</v>
      </c>
      <c r="C21">
        <v>20</v>
      </c>
      <c r="D21">
        <v>0.95</v>
      </c>
      <c r="E21" s="22">
        <v>0.98893830539400196</v>
      </c>
      <c r="F21" s="15">
        <v>0.86719999999999997</v>
      </c>
      <c r="G21" s="15">
        <v>0.980499486828601</v>
      </c>
      <c r="H21" s="15">
        <v>0.953570638956445</v>
      </c>
      <c r="I21" s="15">
        <v>0.95611319920406801</v>
      </c>
      <c r="J21" s="15">
        <v>0.90015282730514501</v>
      </c>
      <c r="K21" s="15">
        <v>0.87007401480296098</v>
      </c>
      <c r="L21" s="15">
        <v>0.87147429485897199</v>
      </c>
      <c r="M21" s="23">
        <v>0.95889999999999997</v>
      </c>
      <c r="N21" s="15">
        <v>0.95609999999999995</v>
      </c>
      <c r="O21" s="15">
        <v>0.95609999999999995</v>
      </c>
      <c r="P21" s="15">
        <v>0.94969999999999999</v>
      </c>
      <c r="Q21" s="15">
        <v>0.94879999999999998</v>
      </c>
      <c r="R21" s="15">
        <v>0.94979999999999998</v>
      </c>
      <c r="S21" s="15">
        <v>0.95347673836918501</v>
      </c>
      <c r="T21" s="15">
        <v>0.95920000000000005</v>
      </c>
      <c r="U21" s="15">
        <v>0.96079999999999999</v>
      </c>
      <c r="V21" s="15">
        <v>0.95609999999999995</v>
      </c>
      <c r="W21" s="23">
        <v>0.95430000000000004</v>
      </c>
      <c r="X21" s="15">
        <v>0.98649875198547798</v>
      </c>
      <c r="Y21" s="15">
        <v>0.86950000000000005</v>
      </c>
      <c r="Z21" s="15">
        <v>0.97889720898570498</v>
      </c>
      <c r="AA21" s="15">
        <v>0.95056699328415695</v>
      </c>
      <c r="AB21" s="15">
        <v>0.95309919630078199</v>
      </c>
      <c r="AC21" s="15">
        <v>0.91488052507435103</v>
      </c>
      <c r="AD21" s="15">
        <v>0.87119999999999997</v>
      </c>
      <c r="AE21" s="15">
        <v>0.87280000000000002</v>
      </c>
      <c r="AF21" s="23">
        <v>0.9526</v>
      </c>
    </row>
    <row r="22" spans="1:32" x14ac:dyDescent="0.3">
      <c r="A22" s="51"/>
      <c r="B22" t="s">
        <v>31</v>
      </c>
      <c r="C22">
        <v>20</v>
      </c>
      <c r="D22">
        <v>0.9</v>
      </c>
      <c r="E22" s="22">
        <v>0.95313034553540898</v>
      </c>
      <c r="F22" s="15">
        <v>0.83579999999999999</v>
      </c>
      <c r="G22" s="15">
        <v>0.95552514539856304</v>
      </c>
      <c r="H22" s="15">
        <v>0.91609551182843196</v>
      </c>
      <c r="I22" s="15">
        <v>0.91952244085783796</v>
      </c>
      <c r="J22" s="15">
        <v>0.85277636271013801</v>
      </c>
      <c r="K22" s="15">
        <v>0.843268653730746</v>
      </c>
      <c r="L22" s="15">
        <v>0.84816963392678502</v>
      </c>
      <c r="M22" s="23">
        <v>0.95889999999999997</v>
      </c>
      <c r="N22" s="15">
        <v>0.88900000000000001</v>
      </c>
      <c r="O22" s="15">
        <v>0.88900000000000001</v>
      </c>
      <c r="P22" s="15">
        <v>0.90720000000000001</v>
      </c>
      <c r="Q22" s="15">
        <v>0.89429999999999998</v>
      </c>
      <c r="R22" s="15">
        <v>0.89670000000000005</v>
      </c>
      <c r="S22" s="15">
        <v>0.90295147573786905</v>
      </c>
      <c r="T22" s="15">
        <v>0.91790000000000005</v>
      </c>
      <c r="U22" s="15">
        <v>0.92789999999999995</v>
      </c>
      <c r="V22" s="15">
        <v>0.95609999999999995</v>
      </c>
      <c r="W22" s="23">
        <v>0.90639999999999998</v>
      </c>
      <c r="X22" s="15">
        <v>0.94622191967324698</v>
      </c>
      <c r="Y22" s="15">
        <v>0.83399999999999996</v>
      </c>
      <c r="Z22" s="15">
        <v>0.94826412525527604</v>
      </c>
      <c r="AA22" s="15">
        <v>0.91258394803479004</v>
      </c>
      <c r="AB22" s="15">
        <v>0.91511615105141497</v>
      </c>
      <c r="AC22" s="15">
        <v>0.86575735821967004</v>
      </c>
      <c r="AD22" s="15">
        <v>0.84119999999999995</v>
      </c>
      <c r="AE22" s="15">
        <v>0.84809999999999997</v>
      </c>
      <c r="AF22" s="23">
        <v>0.9526</v>
      </c>
    </row>
    <row r="23" spans="1:32" x14ac:dyDescent="0.3">
      <c r="A23" s="51"/>
      <c r="B23" t="s">
        <v>56</v>
      </c>
      <c r="C23">
        <v>20</v>
      </c>
      <c r="D23">
        <v>0.95</v>
      </c>
      <c r="E23" s="22">
        <v>0.98776342624065305</v>
      </c>
      <c r="F23" s="15">
        <v>0.87180000000000002</v>
      </c>
      <c r="G23" s="15">
        <v>0.98085202809879901</v>
      </c>
      <c r="H23" s="15">
        <v>0.94674103237095397</v>
      </c>
      <c r="I23" s="15">
        <v>0.950459317585302</v>
      </c>
      <c r="J23" s="15">
        <v>0.91096305269533595</v>
      </c>
      <c r="K23" s="15">
        <v>0.87628762876287603</v>
      </c>
      <c r="L23" s="15">
        <v>0.87788778877887796</v>
      </c>
      <c r="M23" s="23">
        <v>0.95709999999999995</v>
      </c>
      <c r="N23" s="15">
        <v>0.95640000000000003</v>
      </c>
      <c r="O23" s="15">
        <v>0.95640000000000003</v>
      </c>
      <c r="P23" s="15">
        <v>0.94930000000000003</v>
      </c>
      <c r="Q23" s="15">
        <v>0.95140000000000002</v>
      </c>
      <c r="R23" s="15">
        <v>0.95199999999999996</v>
      </c>
      <c r="S23" s="15">
        <v>0.95325977933801398</v>
      </c>
      <c r="T23" s="15">
        <v>0.95760000000000001</v>
      </c>
      <c r="U23" s="15">
        <v>0.9587</v>
      </c>
      <c r="V23" s="15">
        <v>0.95640000000000003</v>
      </c>
      <c r="W23" s="23">
        <v>0.91539999999999999</v>
      </c>
      <c r="X23" s="15">
        <v>0.98631854976627498</v>
      </c>
      <c r="Y23" s="15">
        <v>0.86509999999999998</v>
      </c>
      <c r="Z23" s="15">
        <v>0.977653631284916</v>
      </c>
      <c r="AA23" s="15">
        <v>0.97669946838592903</v>
      </c>
      <c r="AB23" s="15">
        <v>0.97794367153036998</v>
      </c>
      <c r="AC23" s="15">
        <v>0.951281766729553</v>
      </c>
      <c r="AD23" s="15">
        <v>0.86623311655827895</v>
      </c>
      <c r="AE23" s="15">
        <v>0.866733366683342</v>
      </c>
      <c r="AF23" s="23">
        <v>0.95409999999999995</v>
      </c>
    </row>
    <row r="24" spans="1:32" x14ac:dyDescent="0.3">
      <c r="A24" s="51"/>
      <c r="B24" t="s">
        <v>56</v>
      </c>
      <c r="C24">
        <v>20</v>
      </c>
      <c r="D24">
        <v>0.9</v>
      </c>
      <c r="E24" s="22">
        <v>0.95139360978925902</v>
      </c>
      <c r="F24" s="15">
        <v>0.8397</v>
      </c>
      <c r="G24" s="15">
        <v>0.95354634035803298</v>
      </c>
      <c r="H24" s="15">
        <v>0.911198600174978</v>
      </c>
      <c r="I24" s="15">
        <v>0.91568241469816303</v>
      </c>
      <c r="J24" s="15">
        <v>0.86351706036745401</v>
      </c>
      <c r="K24" s="15">
        <v>0.84908490849084906</v>
      </c>
      <c r="L24" s="15">
        <v>0.85328532853285299</v>
      </c>
      <c r="M24" s="23">
        <v>0.95709999999999995</v>
      </c>
      <c r="N24" s="15">
        <v>0.87880000000000003</v>
      </c>
      <c r="O24" s="15">
        <v>0.87880000000000003</v>
      </c>
      <c r="P24" s="15">
        <v>0.89870000000000005</v>
      </c>
      <c r="Q24" s="15">
        <v>0.88139999999999996</v>
      </c>
      <c r="R24" s="15">
        <v>0.88360000000000005</v>
      </c>
      <c r="S24" s="15">
        <v>0.88515546639919795</v>
      </c>
      <c r="T24" s="15">
        <v>0.90139999999999998</v>
      </c>
      <c r="U24" s="15">
        <v>0.91410000000000002</v>
      </c>
      <c r="V24" s="15">
        <v>0.95640000000000003</v>
      </c>
      <c r="W24" s="23">
        <v>0.8448</v>
      </c>
      <c r="X24" s="15">
        <v>0.94766845285600299</v>
      </c>
      <c r="Y24" s="15">
        <v>0.83120000000000005</v>
      </c>
      <c r="Z24" s="15">
        <v>0.94960665830577995</v>
      </c>
      <c r="AA24" s="15">
        <v>0.93790295215473396</v>
      </c>
      <c r="AB24" s="15">
        <v>0.938694717792105</v>
      </c>
      <c r="AC24" s="15">
        <v>0.90877816002663403</v>
      </c>
      <c r="AD24" s="15">
        <v>0.83351675837919004</v>
      </c>
      <c r="AE24" s="15">
        <v>0.83481740870435195</v>
      </c>
      <c r="AF24" s="23">
        <v>0.95409999999999995</v>
      </c>
    </row>
    <row r="25" spans="1:32" x14ac:dyDescent="0.3">
      <c r="A25" s="51"/>
      <c r="B25" t="s">
        <v>57</v>
      </c>
      <c r="C25">
        <v>20</v>
      </c>
      <c r="D25">
        <v>0.95</v>
      </c>
      <c r="E25" s="22">
        <v>0.98501702610669695</v>
      </c>
      <c r="F25" s="15">
        <v>0.86780000000000002</v>
      </c>
      <c r="G25" s="15">
        <v>0.980136208853575</v>
      </c>
      <c r="H25" s="15">
        <v>0.90797800601722201</v>
      </c>
      <c r="I25" s="15">
        <v>0.91409897292250197</v>
      </c>
      <c r="J25" s="15">
        <v>0.97099999999999997</v>
      </c>
      <c r="K25" s="15">
        <v>0.89400000000000002</v>
      </c>
      <c r="L25" s="15">
        <v>0.89680000000000004</v>
      </c>
      <c r="M25" s="23">
        <v>0.95669999999999999</v>
      </c>
      <c r="N25" s="15">
        <v>0.96020000000000005</v>
      </c>
      <c r="O25" s="15">
        <v>0.96020000000000005</v>
      </c>
      <c r="P25" s="15">
        <v>0.95340000000000003</v>
      </c>
      <c r="Q25" s="15">
        <v>0.94979999999999998</v>
      </c>
      <c r="R25" s="15">
        <v>0.95169999999999999</v>
      </c>
      <c r="S25" s="15">
        <v>0.95669999999999999</v>
      </c>
      <c r="T25" s="15">
        <v>0.96340000000000003</v>
      </c>
      <c r="U25" s="15">
        <v>0.96460000000000001</v>
      </c>
      <c r="V25" s="15">
        <v>0.96020000000000005</v>
      </c>
      <c r="W25" s="23">
        <v>0.90149999999999997</v>
      </c>
      <c r="X25" s="15">
        <v>0.98633257403189101</v>
      </c>
      <c r="Y25" s="15">
        <v>0.86599999999999999</v>
      </c>
      <c r="Z25" s="15">
        <v>0.97744874715261998</v>
      </c>
      <c r="AA25" s="15">
        <v>0.96331916797137096</v>
      </c>
      <c r="AB25" s="15">
        <v>0.965332140460747</v>
      </c>
      <c r="AC25" s="15">
        <v>0.922970822281167</v>
      </c>
      <c r="AD25" s="15">
        <v>0.86667333466693297</v>
      </c>
      <c r="AE25" s="15">
        <v>0.86767353470694097</v>
      </c>
      <c r="AF25" s="23">
        <v>0.95409999999999995</v>
      </c>
    </row>
    <row r="26" spans="1:32" x14ac:dyDescent="0.3">
      <c r="A26" s="51"/>
      <c r="B26" t="s">
        <v>57</v>
      </c>
      <c r="C26">
        <v>20</v>
      </c>
      <c r="D26">
        <v>0.9</v>
      </c>
      <c r="E26" s="22">
        <v>0.95085130533484696</v>
      </c>
      <c r="F26" s="15">
        <v>0.8377</v>
      </c>
      <c r="G26" s="15">
        <v>0.95289443813847896</v>
      </c>
      <c r="H26" s="15">
        <v>0.87228965660338198</v>
      </c>
      <c r="I26" s="15">
        <v>0.87934433032472203</v>
      </c>
      <c r="J26" s="15">
        <v>0.92520000000000002</v>
      </c>
      <c r="K26" s="15">
        <v>0.86209999999999998</v>
      </c>
      <c r="L26" s="15">
        <v>0.86709999999999998</v>
      </c>
      <c r="M26" s="23">
        <v>0.95669999999999999</v>
      </c>
      <c r="N26" s="15">
        <v>0.88839999999999997</v>
      </c>
      <c r="O26" s="15">
        <v>0.88839999999999997</v>
      </c>
      <c r="P26" s="15">
        <v>0.90569999999999995</v>
      </c>
      <c r="Q26" s="15">
        <v>0.89380000000000004</v>
      </c>
      <c r="R26" s="15">
        <v>0.89629999999999999</v>
      </c>
      <c r="S26" s="15">
        <v>0.90439999999999998</v>
      </c>
      <c r="T26" s="15">
        <v>0.92259999999999998</v>
      </c>
      <c r="U26" s="15">
        <v>0.93259999999999998</v>
      </c>
      <c r="V26" s="15">
        <v>0.96020000000000005</v>
      </c>
      <c r="W26" s="23">
        <v>0.82289999999999996</v>
      </c>
      <c r="X26" s="15">
        <v>0.94772209567198196</v>
      </c>
      <c r="Y26" s="15">
        <v>0.83209999999999995</v>
      </c>
      <c r="Z26" s="15">
        <v>0.94954441913439602</v>
      </c>
      <c r="AA26" s="15">
        <v>0.92585551330798499</v>
      </c>
      <c r="AB26" s="15">
        <v>0.92764482218743005</v>
      </c>
      <c r="AC26" s="15">
        <v>0.87596816976127301</v>
      </c>
      <c r="AD26" s="15">
        <v>0.83706741348269698</v>
      </c>
      <c r="AE26" s="15">
        <v>0.84036807361472299</v>
      </c>
      <c r="AF26" s="23">
        <v>0.95409999999999995</v>
      </c>
    </row>
    <row r="27" spans="1:32" x14ac:dyDescent="0.3">
      <c r="A27" s="51"/>
      <c r="B27" t="s">
        <v>31</v>
      </c>
      <c r="C27">
        <v>50</v>
      </c>
      <c r="D27">
        <v>0.95</v>
      </c>
      <c r="E27" s="22">
        <v>0.94458970233306505</v>
      </c>
      <c r="F27" s="15">
        <v>0.93930000000000002</v>
      </c>
      <c r="G27" s="15">
        <v>0.95625502815768304</v>
      </c>
      <c r="H27" s="15">
        <v>0.94244098442993496</v>
      </c>
      <c r="I27" s="15">
        <v>0.94505273731793105</v>
      </c>
      <c r="J27" s="15">
        <v>0.94152165115337905</v>
      </c>
      <c r="K27" s="15">
        <v>0.94330000000000003</v>
      </c>
      <c r="L27" s="15">
        <v>0.9476</v>
      </c>
      <c r="M27" s="23">
        <v>0.97030000000000005</v>
      </c>
      <c r="N27" s="15">
        <v>0.93489999999999995</v>
      </c>
      <c r="O27" s="15">
        <v>0.96509999999999996</v>
      </c>
      <c r="P27" s="15">
        <v>0.95150000000000001</v>
      </c>
      <c r="Q27" s="15">
        <v>0.94410000000000005</v>
      </c>
      <c r="R27" s="15">
        <v>0.9456</v>
      </c>
      <c r="S27" s="15">
        <v>0.94649464946494599</v>
      </c>
      <c r="T27" s="15">
        <v>0.95809999999999995</v>
      </c>
      <c r="U27" s="15">
        <v>0.95889999999999997</v>
      </c>
      <c r="V27" s="15">
        <v>0.96509999999999996</v>
      </c>
      <c r="W27" s="23">
        <v>0.95020000000000004</v>
      </c>
      <c r="X27" s="15">
        <v>0.94698795180722894</v>
      </c>
      <c r="Y27" s="15">
        <v>0.94320000000000004</v>
      </c>
      <c r="Z27" s="15">
        <v>0.95712851405622501</v>
      </c>
      <c r="AA27" s="15">
        <v>0.94521372667068004</v>
      </c>
      <c r="AB27" s="15">
        <v>0.947120208709613</v>
      </c>
      <c r="AC27" s="15">
        <v>0.94604679306171802</v>
      </c>
      <c r="AD27" s="15">
        <v>0.94738947789557904</v>
      </c>
      <c r="AE27" s="15">
        <v>0.94978995799159804</v>
      </c>
      <c r="AF27" s="23">
        <v>0.97089999999999999</v>
      </c>
    </row>
    <row r="28" spans="1:32" x14ac:dyDescent="0.3">
      <c r="A28" s="51"/>
      <c r="B28" t="s">
        <v>31</v>
      </c>
      <c r="C28">
        <v>50</v>
      </c>
      <c r="D28">
        <v>0.9</v>
      </c>
      <c r="E28" s="22">
        <v>0.90949316170555095</v>
      </c>
      <c r="F28" s="15">
        <v>0.93930000000000002</v>
      </c>
      <c r="G28" s="15">
        <v>0.90647626709573603</v>
      </c>
      <c r="H28" s="15">
        <v>0.906278252134606</v>
      </c>
      <c r="I28" s="15">
        <v>0.90929181315921603</v>
      </c>
      <c r="J28" s="15">
        <v>0.90489680291380004</v>
      </c>
      <c r="K28" s="15">
        <v>0.9254</v>
      </c>
      <c r="L28" s="15">
        <v>0.92859999999999998</v>
      </c>
      <c r="M28" s="23">
        <v>0.90439999999999998</v>
      </c>
      <c r="N28" s="15">
        <v>0.88149999999999995</v>
      </c>
      <c r="O28" s="15">
        <v>0.93489999999999995</v>
      </c>
      <c r="P28" s="15">
        <v>0.90239999999999998</v>
      </c>
      <c r="Q28" s="15">
        <v>0.89219999999999999</v>
      </c>
      <c r="R28" s="15">
        <v>0.89359999999999995</v>
      </c>
      <c r="S28" s="15">
        <v>0.89588958895889603</v>
      </c>
      <c r="T28" s="15">
        <v>0.91890000000000005</v>
      </c>
      <c r="U28" s="15">
        <v>0.92020000000000002</v>
      </c>
      <c r="V28" s="15">
        <v>0.93489999999999995</v>
      </c>
      <c r="W28" s="23">
        <v>0.90090000000000003</v>
      </c>
      <c r="X28" s="15">
        <v>0.91255020080321303</v>
      </c>
      <c r="Y28" s="15">
        <v>0.94320000000000004</v>
      </c>
      <c r="Z28" s="15">
        <v>0.91285140562249001</v>
      </c>
      <c r="AA28" s="15">
        <v>0.91180012040939196</v>
      </c>
      <c r="AB28" s="15">
        <v>0.91460967288781903</v>
      </c>
      <c r="AC28" s="15">
        <v>0.91196046793061702</v>
      </c>
      <c r="AD28" s="15">
        <v>0.92918583716743397</v>
      </c>
      <c r="AE28" s="15">
        <v>0.93178635727145398</v>
      </c>
      <c r="AF28" s="23">
        <v>0.90890000000000004</v>
      </c>
    </row>
    <row r="29" spans="1:32" x14ac:dyDescent="0.3">
      <c r="A29" s="51"/>
      <c r="B29" t="s">
        <v>56</v>
      </c>
      <c r="C29">
        <v>50</v>
      </c>
      <c r="D29">
        <v>0.95</v>
      </c>
      <c r="E29" s="22">
        <v>0.94566311128999803</v>
      </c>
      <c r="F29" s="15">
        <v>0.93979999999999997</v>
      </c>
      <c r="G29" s="15">
        <v>0.95612799356007205</v>
      </c>
      <c r="H29" s="15">
        <v>0.94315556894647001</v>
      </c>
      <c r="I29" s="15">
        <v>0.94717284322587103</v>
      </c>
      <c r="J29" s="15">
        <v>0.94447803305118905</v>
      </c>
      <c r="K29" s="15">
        <v>0.94629462946294596</v>
      </c>
      <c r="L29" s="15">
        <v>0.95049504950495001</v>
      </c>
      <c r="M29" s="23">
        <v>0.96740000000000004</v>
      </c>
      <c r="N29" s="15">
        <v>0.93789999999999996</v>
      </c>
      <c r="O29" s="15">
        <v>0.97060000000000002</v>
      </c>
      <c r="P29" s="15">
        <v>0.95499999999999996</v>
      </c>
      <c r="Q29" s="15">
        <v>0.94510000000000005</v>
      </c>
      <c r="R29" s="15">
        <v>0.94550000000000001</v>
      </c>
      <c r="S29" s="15">
        <v>0.94542905777510799</v>
      </c>
      <c r="T29" s="15">
        <v>0.96730000000000005</v>
      </c>
      <c r="U29" s="15">
        <v>0.96750000000000003</v>
      </c>
      <c r="V29" s="15">
        <v>0.97060000000000002</v>
      </c>
      <c r="W29" s="23">
        <v>0.84970000000000001</v>
      </c>
      <c r="X29" s="15">
        <v>0.94293177936300598</v>
      </c>
      <c r="Y29" s="15">
        <v>0.9385</v>
      </c>
      <c r="Z29" s="15">
        <v>0.95719883452225496</v>
      </c>
      <c r="AA29" s="15">
        <v>0.94245254594757499</v>
      </c>
      <c r="AB29" s="15">
        <v>0.94265340966154498</v>
      </c>
      <c r="AC29" s="15">
        <v>0.94095604618189199</v>
      </c>
      <c r="AD29" s="15">
        <v>0.94019401940194003</v>
      </c>
      <c r="AE29" s="15">
        <v>0.94129412941294099</v>
      </c>
      <c r="AF29" s="23">
        <v>0.97060000000000002</v>
      </c>
    </row>
    <row r="30" spans="1:32" x14ac:dyDescent="0.3">
      <c r="A30" s="51"/>
      <c r="B30" t="s">
        <v>56</v>
      </c>
      <c r="C30">
        <v>50</v>
      </c>
      <c r="D30">
        <v>0.9</v>
      </c>
      <c r="E30" s="22">
        <v>0.91285973032803402</v>
      </c>
      <c r="F30" s="15">
        <v>0.93979999999999997</v>
      </c>
      <c r="G30" s="15">
        <v>0.91296035419601496</v>
      </c>
      <c r="H30" s="15">
        <v>0.90951089685648301</v>
      </c>
      <c r="I30" s="15">
        <v>0.91272471628000396</v>
      </c>
      <c r="J30" s="15">
        <v>0.90880693268843205</v>
      </c>
      <c r="K30" s="15">
        <v>0.92559255925592598</v>
      </c>
      <c r="L30" s="15">
        <v>0.92799279927992795</v>
      </c>
      <c r="M30" s="23">
        <v>0.90720000000000001</v>
      </c>
      <c r="N30" s="15">
        <v>0.88549999999999995</v>
      </c>
      <c r="O30" s="15">
        <v>0.93789999999999996</v>
      </c>
      <c r="P30" s="15">
        <v>0.90390000000000004</v>
      </c>
      <c r="Q30" s="15">
        <v>0.89180000000000004</v>
      </c>
      <c r="R30" s="15">
        <v>0.89259999999999995</v>
      </c>
      <c r="S30" s="15">
        <v>0.89326123961149495</v>
      </c>
      <c r="T30" s="15">
        <v>0.92620000000000002</v>
      </c>
      <c r="U30" s="15">
        <v>0.92730000000000001</v>
      </c>
      <c r="V30" s="15">
        <v>0.93789999999999996</v>
      </c>
      <c r="W30" s="23">
        <v>0.75139999999999996</v>
      </c>
      <c r="X30" s="15">
        <v>0.91088114136441301</v>
      </c>
      <c r="Y30" s="15">
        <v>0.9385</v>
      </c>
      <c r="Z30" s="15">
        <v>0.91168491911986305</v>
      </c>
      <c r="AA30" s="15">
        <v>0.91091694285427305</v>
      </c>
      <c r="AB30" s="15">
        <v>0.91141910213919897</v>
      </c>
      <c r="AC30" s="15">
        <v>0.90925663358314801</v>
      </c>
      <c r="AD30" s="15">
        <v>0.93469346934693498</v>
      </c>
      <c r="AE30" s="15">
        <v>0.93559355935593602</v>
      </c>
      <c r="AF30" s="23">
        <v>0.90659999999999996</v>
      </c>
    </row>
    <row r="31" spans="1:32" x14ac:dyDescent="0.3">
      <c r="A31" s="51"/>
      <c r="B31" t="s">
        <v>57</v>
      </c>
      <c r="C31">
        <v>50</v>
      </c>
      <c r="D31">
        <v>0.95</v>
      </c>
      <c r="E31" s="22">
        <v>0.94494675507333703</v>
      </c>
      <c r="F31" s="15">
        <v>0.94059999999999999</v>
      </c>
      <c r="G31" s="15">
        <v>0.95459111914808104</v>
      </c>
      <c r="H31" s="15">
        <v>0.94413855240764799</v>
      </c>
      <c r="I31" s="15">
        <v>0.94834317749524499</v>
      </c>
      <c r="J31" s="15">
        <v>0.95689999999999997</v>
      </c>
      <c r="K31" s="15">
        <v>0.95069999999999999</v>
      </c>
      <c r="L31" s="15">
        <v>0.95669999999999999</v>
      </c>
      <c r="M31" s="23">
        <v>0.9677</v>
      </c>
      <c r="N31" s="15">
        <v>0.93559999999999999</v>
      </c>
      <c r="O31" s="15">
        <v>0.96599999999999997</v>
      </c>
      <c r="P31" s="15">
        <v>0.95189999999999997</v>
      </c>
      <c r="Q31" s="15">
        <v>0.94650000000000001</v>
      </c>
      <c r="R31" s="15">
        <v>0.94750000000000001</v>
      </c>
      <c r="S31" s="15">
        <v>0.94859485948594902</v>
      </c>
      <c r="T31" s="15">
        <v>0.96</v>
      </c>
      <c r="U31" s="15">
        <v>0.96099999999999997</v>
      </c>
      <c r="V31" s="15">
        <v>0.96599999999999997</v>
      </c>
      <c r="W31" s="23">
        <v>0.78920000000000001</v>
      </c>
      <c r="X31" s="15">
        <v>0.94569589702333101</v>
      </c>
      <c r="Y31" s="15">
        <v>0.94040000000000001</v>
      </c>
      <c r="Z31" s="15">
        <v>0.95826629123089302</v>
      </c>
      <c r="AA31" s="15">
        <v>0.94474583082177999</v>
      </c>
      <c r="AB31" s="15">
        <v>0.94645368696001597</v>
      </c>
      <c r="AC31" s="15">
        <v>0.943965079687341</v>
      </c>
      <c r="AD31" s="15">
        <v>0.94428885777155402</v>
      </c>
      <c r="AE31" s="15">
        <v>0.94638927785557103</v>
      </c>
      <c r="AF31" s="23">
        <v>0.96950000000000003</v>
      </c>
    </row>
    <row r="32" spans="1:32" x14ac:dyDescent="0.3">
      <c r="A32" s="51"/>
      <c r="B32" t="s">
        <v>57</v>
      </c>
      <c r="C32">
        <v>50</v>
      </c>
      <c r="D32">
        <v>0.9</v>
      </c>
      <c r="E32" s="22">
        <v>0.90928270042194104</v>
      </c>
      <c r="F32" s="15">
        <v>0.94059999999999999</v>
      </c>
      <c r="G32" s="15">
        <v>0.91018685955394796</v>
      </c>
      <c r="H32" s="15">
        <v>0.89718690559615599</v>
      </c>
      <c r="I32" s="15">
        <v>0.90529582540794895</v>
      </c>
      <c r="J32" s="15">
        <v>0.91869999999999996</v>
      </c>
      <c r="K32" s="15">
        <v>0.91039999999999999</v>
      </c>
      <c r="L32" s="15">
        <v>0.91839999999999999</v>
      </c>
      <c r="M32" s="23">
        <v>0.90510000000000002</v>
      </c>
      <c r="N32" s="15">
        <v>0.88029999999999997</v>
      </c>
      <c r="O32" s="15">
        <v>0.93559999999999999</v>
      </c>
      <c r="P32" s="15">
        <v>0.90010000000000001</v>
      </c>
      <c r="Q32" s="15">
        <v>0.89219999999999999</v>
      </c>
      <c r="R32" s="15">
        <v>0.89349999999999996</v>
      </c>
      <c r="S32" s="15">
        <v>0.89608960896089596</v>
      </c>
      <c r="T32" s="15">
        <v>0.91649999999999998</v>
      </c>
      <c r="U32" s="15">
        <v>0.91859999999999997</v>
      </c>
      <c r="V32" s="15">
        <v>0.93559999999999999</v>
      </c>
      <c r="W32" s="23">
        <v>0.6774</v>
      </c>
      <c r="X32" s="15">
        <v>0.911806114239743</v>
      </c>
      <c r="Y32" s="15">
        <v>0.94040000000000001</v>
      </c>
      <c r="Z32" s="15">
        <v>0.91170555108608198</v>
      </c>
      <c r="AA32" s="15">
        <v>0.91028732167972704</v>
      </c>
      <c r="AB32" s="15">
        <v>0.91249748844685596</v>
      </c>
      <c r="AC32" s="15">
        <v>0.90884174195513101</v>
      </c>
      <c r="AD32" s="15">
        <v>0.93208641728345698</v>
      </c>
      <c r="AE32" s="15">
        <v>0.93328665733146599</v>
      </c>
      <c r="AF32" s="23">
        <v>0.90669999999999995</v>
      </c>
    </row>
    <row r="33" spans="1:32" x14ac:dyDescent="0.3">
      <c r="A33" s="51"/>
      <c r="B33" t="s">
        <v>31</v>
      </c>
      <c r="C33">
        <v>100</v>
      </c>
      <c r="D33">
        <v>0.95</v>
      </c>
      <c r="E33" s="22">
        <v>0.95320000000000005</v>
      </c>
      <c r="F33" s="15">
        <v>0.95320000000000005</v>
      </c>
      <c r="G33" s="15">
        <v>0.94879999999999998</v>
      </c>
      <c r="H33" s="15">
        <v>0.95099999999999996</v>
      </c>
      <c r="I33" s="15">
        <v>0.95120000000000005</v>
      </c>
      <c r="J33" s="15">
        <v>0.95121212121212095</v>
      </c>
      <c r="K33" s="15">
        <v>0.95229522952295198</v>
      </c>
      <c r="L33" s="15">
        <v>0.95269526952695305</v>
      </c>
      <c r="M33" s="23">
        <v>0.95320000000000005</v>
      </c>
      <c r="N33" s="15">
        <v>0.94610000000000005</v>
      </c>
      <c r="O33" s="15">
        <v>0.96619999999999995</v>
      </c>
      <c r="P33" s="15">
        <v>0.95409999999999995</v>
      </c>
      <c r="Q33" s="15">
        <v>0.95020000000000004</v>
      </c>
      <c r="R33" s="15">
        <v>0.95079999999999998</v>
      </c>
      <c r="S33" s="15">
        <v>0.95148544563368997</v>
      </c>
      <c r="T33" s="15">
        <v>0.95930000000000004</v>
      </c>
      <c r="U33" s="15">
        <v>0.96050000000000002</v>
      </c>
      <c r="V33" s="15">
        <v>0.96619999999999995</v>
      </c>
      <c r="W33" s="23">
        <v>0.94779999999999998</v>
      </c>
      <c r="X33" s="15">
        <v>0.95609999999999995</v>
      </c>
      <c r="Y33" s="15">
        <v>0.95609999999999995</v>
      </c>
      <c r="Z33" s="15">
        <v>0.95179999999999998</v>
      </c>
      <c r="AA33" s="15">
        <v>0.9526</v>
      </c>
      <c r="AB33" s="15">
        <v>0.9536</v>
      </c>
      <c r="AC33" s="15">
        <v>0.95405649944706905</v>
      </c>
      <c r="AD33" s="15">
        <v>0.9546</v>
      </c>
      <c r="AE33" s="15">
        <v>0.95520000000000005</v>
      </c>
      <c r="AF33" s="23">
        <v>0.95609999999999995</v>
      </c>
    </row>
    <row r="34" spans="1:32" x14ac:dyDescent="0.3">
      <c r="A34" s="51"/>
      <c r="B34" t="s">
        <v>31</v>
      </c>
      <c r="C34">
        <v>100</v>
      </c>
      <c r="D34">
        <v>0.9</v>
      </c>
      <c r="E34" s="22">
        <v>0.89649999999999996</v>
      </c>
      <c r="F34" s="15">
        <v>0.89649999999999996</v>
      </c>
      <c r="G34" s="15">
        <v>0.89429999999999998</v>
      </c>
      <c r="H34" s="15">
        <v>0.89239999999999997</v>
      </c>
      <c r="I34" s="15">
        <v>0.8931</v>
      </c>
      <c r="J34" s="15">
        <v>0.89252525252525206</v>
      </c>
      <c r="K34" s="15">
        <v>0.89518951895189502</v>
      </c>
      <c r="L34" s="15">
        <v>0.89638963896389601</v>
      </c>
      <c r="M34" s="23">
        <v>0.90090000000000003</v>
      </c>
      <c r="N34" s="15">
        <v>0.91549999999999998</v>
      </c>
      <c r="O34" s="15">
        <v>0.91549999999999998</v>
      </c>
      <c r="P34" s="15">
        <v>0.90500000000000003</v>
      </c>
      <c r="Q34" s="15">
        <v>0.90669999999999995</v>
      </c>
      <c r="R34" s="15">
        <v>0.9073</v>
      </c>
      <c r="S34" s="15">
        <v>0.90867260178053399</v>
      </c>
      <c r="T34" s="15">
        <v>0.91200000000000003</v>
      </c>
      <c r="U34" s="15">
        <v>0.91249999999999998</v>
      </c>
      <c r="V34" s="15">
        <v>0.91549999999999998</v>
      </c>
      <c r="W34" s="23">
        <v>0.90010000000000001</v>
      </c>
      <c r="X34" s="15">
        <v>0.90469999999999995</v>
      </c>
      <c r="Y34" s="15">
        <v>0.90469999999999995</v>
      </c>
      <c r="Z34" s="15">
        <v>0.90369999999999995</v>
      </c>
      <c r="AA34" s="15">
        <v>0.90129999999999999</v>
      </c>
      <c r="AB34" s="15">
        <v>0.90300000000000002</v>
      </c>
      <c r="AC34" s="15">
        <v>0.90348848899165601</v>
      </c>
      <c r="AD34" s="15">
        <v>0.90490000000000004</v>
      </c>
      <c r="AE34" s="15">
        <v>0.90590000000000004</v>
      </c>
      <c r="AF34" s="23">
        <v>0.91</v>
      </c>
    </row>
    <row r="35" spans="1:32" x14ac:dyDescent="0.3">
      <c r="A35" s="51"/>
      <c r="B35" t="s">
        <v>56</v>
      </c>
      <c r="C35">
        <v>100</v>
      </c>
      <c r="D35">
        <v>0.95</v>
      </c>
      <c r="E35" s="22">
        <v>0.95669999999999999</v>
      </c>
      <c r="F35" s="15">
        <v>0.95669999999999999</v>
      </c>
      <c r="G35" s="15">
        <v>0.95209999999999995</v>
      </c>
      <c r="H35" s="15">
        <v>0.95259525952595303</v>
      </c>
      <c r="I35" s="15">
        <v>0.95349534953495396</v>
      </c>
      <c r="J35" s="15">
        <v>0.95436687821094002</v>
      </c>
      <c r="K35" s="15">
        <v>0.95569999999999999</v>
      </c>
      <c r="L35" s="15">
        <v>0.95640000000000003</v>
      </c>
      <c r="M35" s="23">
        <v>0.95669999999999999</v>
      </c>
      <c r="N35" s="15">
        <v>0.94399999999999995</v>
      </c>
      <c r="O35" s="15">
        <v>0.96509999999999996</v>
      </c>
      <c r="P35" s="15">
        <v>0.9506</v>
      </c>
      <c r="Q35" s="15">
        <v>0.94689999999999996</v>
      </c>
      <c r="R35" s="15">
        <v>0.94730000000000003</v>
      </c>
      <c r="S35" s="15">
        <v>0.94743692430917104</v>
      </c>
      <c r="T35" s="15">
        <v>0.95779999999999998</v>
      </c>
      <c r="U35" s="15">
        <v>0.95889999999999997</v>
      </c>
      <c r="V35" s="15">
        <v>0.96509999999999996</v>
      </c>
      <c r="W35" s="23">
        <v>0.73270000000000002</v>
      </c>
      <c r="X35" s="15">
        <v>0.95520000000000005</v>
      </c>
      <c r="Y35" s="15">
        <v>0.95520000000000005</v>
      </c>
      <c r="Z35" s="15">
        <v>0.95009999999999994</v>
      </c>
      <c r="AA35" s="15">
        <v>0.95479095819163795</v>
      </c>
      <c r="AB35" s="15">
        <v>0.95499099819963995</v>
      </c>
      <c r="AC35" s="15">
        <v>0.95456839979808195</v>
      </c>
      <c r="AD35" s="15">
        <v>0.95509550955095501</v>
      </c>
      <c r="AE35" s="15">
        <v>0.95519551955195503</v>
      </c>
      <c r="AF35" s="23">
        <v>0.95520000000000005</v>
      </c>
    </row>
    <row r="36" spans="1:32" x14ac:dyDescent="0.3">
      <c r="A36" s="51"/>
      <c r="B36" t="s">
        <v>56</v>
      </c>
      <c r="C36">
        <v>100</v>
      </c>
      <c r="D36">
        <v>0.9</v>
      </c>
      <c r="E36" s="22">
        <v>0.9022</v>
      </c>
      <c r="F36" s="15">
        <v>0.9022</v>
      </c>
      <c r="G36" s="15">
        <v>0.9</v>
      </c>
      <c r="H36" s="15">
        <v>0.89788978897889804</v>
      </c>
      <c r="I36" s="15">
        <v>0.89948994899489998</v>
      </c>
      <c r="J36" s="15">
        <v>0.90007051475773103</v>
      </c>
      <c r="K36" s="15">
        <v>0.90159999999999996</v>
      </c>
      <c r="L36" s="15">
        <v>0.90329999999999999</v>
      </c>
      <c r="M36" s="23">
        <v>0.90459999999999996</v>
      </c>
      <c r="N36" s="15">
        <v>0.91300000000000003</v>
      </c>
      <c r="O36" s="15">
        <v>0.91300000000000003</v>
      </c>
      <c r="P36" s="15">
        <v>0.90280000000000005</v>
      </c>
      <c r="Q36" s="15">
        <v>0.90810000000000002</v>
      </c>
      <c r="R36" s="15">
        <v>0.90839999999999999</v>
      </c>
      <c r="S36" s="15">
        <v>0.90839006808169798</v>
      </c>
      <c r="T36" s="15">
        <v>0.91100000000000003</v>
      </c>
      <c r="U36" s="15">
        <v>0.91120000000000001</v>
      </c>
      <c r="V36" s="15">
        <v>0.91300000000000003</v>
      </c>
      <c r="W36" s="23">
        <v>0.61680000000000001</v>
      </c>
      <c r="X36" s="15">
        <v>0.90059999999999996</v>
      </c>
      <c r="Y36" s="15">
        <v>0.90059999999999996</v>
      </c>
      <c r="Z36" s="15">
        <v>0.89949999999999997</v>
      </c>
      <c r="AA36" s="15">
        <v>0.89927985597119398</v>
      </c>
      <c r="AB36" s="15">
        <v>0.89977995599119798</v>
      </c>
      <c r="AC36" s="15">
        <v>0.89904088844018204</v>
      </c>
      <c r="AD36" s="15">
        <v>0.90039003900390002</v>
      </c>
      <c r="AE36" s="15">
        <v>0.90059005900590094</v>
      </c>
      <c r="AF36" s="23">
        <v>0.90129999999999999</v>
      </c>
    </row>
    <row r="37" spans="1:32" x14ac:dyDescent="0.3">
      <c r="A37" s="51"/>
      <c r="B37" t="s">
        <v>57</v>
      </c>
      <c r="C37">
        <v>100</v>
      </c>
      <c r="D37">
        <v>0.95</v>
      </c>
      <c r="E37" s="22">
        <v>0.95389999999999997</v>
      </c>
      <c r="F37" s="15">
        <v>0.95389999999999997</v>
      </c>
      <c r="G37" s="15">
        <v>0.95020000000000004</v>
      </c>
      <c r="H37" s="15">
        <v>0.94820000000000004</v>
      </c>
      <c r="I37" s="15">
        <v>0.9506</v>
      </c>
      <c r="J37" s="15">
        <v>0.95420000000000005</v>
      </c>
      <c r="K37" s="15">
        <v>0.95199999999999996</v>
      </c>
      <c r="L37" s="15">
        <v>0.95399999999999996</v>
      </c>
      <c r="M37" s="23">
        <v>0.95389999999999997</v>
      </c>
      <c r="N37" s="15">
        <v>0.94550000000000001</v>
      </c>
      <c r="O37" s="15">
        <v>0.96279999999999999</v>
      </c>
      <c r="P37" s="15">
        <v>0.95109999999999995</v>
      </c>
      <c r="Q37" s="15">
        <v>0.94879999999999998</v>
      </c>
      <c r="R37" s="15">
        <v>0.94940000000000002</v>
      </c>
      <c r="S37" s="15">
        <v>0.94989999999999997</v>
      </c>
      <c r="T37" s="15">
        <v>0.95620000000000005</v>
      </c>
      <c r="U37" s="15">
        <v>0.95689999999999997</v>
      </c>
      <c r="V37" s="15">
        <v>0.96279999999999999</v>
      </c>
      <c r="W37" s="23">
        <v>0.61809999999999998</v>
      </c>
      <c r="X37" s="15">
        <v>0.95950000000000002</v>
      </c>
      <c r="Y37" s="15">
        <v>0.95950000000000002</v>
      </c>
      <c r="Z37" s="15">
        <v>0.95569999999999999</v>
      </c>
      <c r="AA37" s="15">
        <v>0.95799579957995795</v>
      </c>
      <c r="AB37" s="15">
        <v>0.95839583958395802</v>
      </c>
      <c r="AC37" s="15">
        <v>0.95826192156467405</v>
      </c>
      <c r="AD37" s="15">
        <v>0.95909181836367297</v>
      </c>
      <c r="AE37" s="15">
        <v>0.95929185837167397</v>
      </c>
      <c r="AF37" s="23">
        <v>0.95950000000000002</v>
      </c>
    </row>
    <row r="38" spans="1:32" ht="15" thickBot="1" x14ac:dyDescent="0.35">
      <c r="A38" s="52"/>
      <c r="B38" s="38" t="s">
        <v>57</v>
      </c>
      <c r="C38" s="38">
        <v>100</v>
      </c>
      <c r="D38" s="38">
        <v>0.9</v>
      </c>
      <c r="E38" s="24">
        <v>0.89929999999999999</v>
      </c>
      <c r="F38" s="25">
        <v>0.89929999999999999</v>
      </c>
      <c r="G38" s="25">
        <v>0.89749999999999996</v>
      </c>
      <c r="H38" s="25">
        <v>0.89100000000000001</v>
      </c>
      <c r="I38" s="25">
        <v>0.89419999999999999</v>
      </c>
      <c r="J38" s="25">
        <v>0.90190000000000003</v>
      </c>
      <c r="K38" s="25">
        <v>0.89790000000000003</v>
      </c>
      <c r="L38" s="25">
        <v>0.9022</v>
      </c>
      <c r="M38" s="26">
        <v>0.90110000000000001</v>
      </c>
      <c r="N38" s="25">
        <v>0.91379999999999995</v>
      </c>
      <c r="O38" s="25">
        <v>0.91379999999999995</v>
      </c>
      <c r="P38" s="25">
        <v>0.90339999999999998</v>
      </c>
      <c r="Q38" s="25">
        <v>0.90490000000000004</v>
      </c>
      <c r="R38" s="25">
        <v>0.90539999999999998</v>
      </c>
      <c r="S38" s="25">
        <v>0.90720000000000001</v>
      </c>
      <c r="T38" s="25">
        <v>0.91069999999999995</v>
      </c>
      <c r="U38" s="25">
        <v>0.9113</v>
      </c>
      <c r="V38" s="25">
        <v>0.91379999999999995</v>
      </c>
      <c r="W38" s="26">
        <v>0.49230000000000002</v>
      </c>
      <c r="X38" s="25">
        <v>0.90449999999999997</v>
      </c>
      <c r="Y38" s="25">
        <v>0.90449999999999997</v>
      </c>
      <c r="Z38" s="25">
        <v>0.9042</v>
      </c>
      <c r="AA38" s="25">
        <v>0.90209020902090198</v>
      </c>
      <c r="AB38" s="25">
        <v>0.90279027902790299</v>
      </c>
      <c r="AC38" s="25">
        <v>0.90240951708841599</v>
      </c>
      <c r="AD38" s="25">
        <v>0.90418083616723299</v>
      </c>
      <c r="AE38" s="25">
        <v>0.905181036207241</v>
      </c>
      <c r="AF38" s="26">
        <v>0.90800000000000003</v>
      </c>
    </row>
    <row r="39" spans="1:32" x14ac:dyDescent="0.3">
      <c r="A39" s="53" t="s">
        <v>185</v>
      </c>
      <c r="B39" t="s">
        <v>31</v>
      </c>
      <c r="C39">
        <v>20</v>
      </c>
      <c r="D39">
        <v>0.95</v>
      </c>
      <c r="E39" s="15">
        <f t="shared" ref="E39:E56" si="0">E21-$D39</f>
        <v>3.8938305394002004E-2</v>
      </c>
      <c r="F39" s="15">
        <f t="shared" ref="F39:AF39" si="1">F21-$D39</f>
        <v>-8.2799999999999985E-2</v>
      </c>
      <c r="G39" s="15">
        <f t="shared" si="1"/>
        <v>3.0499486828601041E-2</v>
      </c>
      <c r="H39" s="15">
        <f t="shared" si="1"/>
        <v>3.5706389564450491E-3</v>
      </c>
      <c r="I39" s="15">
        <f t="shared" si="1"/>
        <v>6.1131992040680538E-3</v>
      </c>
      <c r="J39" s="15">
        <f t="shared" si="1"/>
        <v>-4.9847172694854947E-2</v>
      </c>
      <c r="K39" s="15">
        <f t="shared" si="1"/>
        <v>-7.9925985197038973E-2</v>
      </c>
      <c r="L39" s="15">
        <f t="shared" si="1"/>
        <v>-7.8525705141027968E-2</v>
      </c>
      <c r="M39" s="15">
        <f t="shared" si="1"/>
        <v>8.900000000000019E-3</v>
      </c>
      <c r="N39" s="15">
        <f t="shared" si="1"/>
        <v>6.0999999999999943E-3</v>
      </c>
      <c r="O39" s="15">
        <f t="shared" si="1"/>
        <v>6.0999999999999943E-3</v>
      </c>
      <c r="P39" s="15">
        <f t="shared" si="1"/>
        <v>-2.9999999999996696E-4</v>
      </c>
      <c r="Q39" s="15">
        <f t="shared" si="1"/>
        <v>-1.1999999999999789E-3</v>
      </c>
      <c r="R39" s="15">
        <f t="shared" si="1"/>
        <v>-1.9999999999997797E-4</v>
      </c>
      <c r="S39" s="15">
        <f t="shared" si="1"/>
        <v>3.4767383691850506E-3</v>
      </c>
      <c r="T39" s="15">
        <f t="shared" si="1"/>
        <v>9.200000000000097E-3</v>
      </c>
      <c r="U39" s="15">
        <f t="shared" si="1"/>
        <v>1.0800000000000032E-2</v>
      </c>
      <c r="V39" s="15">
        <f t="shared" si="1"/>
        <v>6.0999999999999943E-3</v>
      </c>
      <c r="W39" s="15">
        <f t="shared" si="1"/>
        <v>4.3000000000000815E-3</v>
      </c>
      <c r="X39" s="15">
        <f t="shared" si="1"/>
        <v>3.6498751985478028E-2</v>
      </c>
      <c r="Y39" s="15">
        <f t="shared" si="1"/>
        <v>-8.0499999999999905E-2</v>
      </c>
      <c r="Z39" s="15">
        <f t="shared" si="1"/>
        <v>2.8897208985705025E-2</v>
      </c>
      <c r="AA39" s="15">
        <f t="shared" si="1"/>
        <v>5.6699328415699135E-4</v>
      </c>
      <c r="AB39" s="15">
        <f t="shared" si="1"/>
        <v>3.0991963007820367E-3</v>
      </c>
      <c r="AC39" s="15">
        <f t="shared" si="1"/>
        <v>-3.511947492564893E-2</v>
      </c>
      <c r="AD39" s="15">
        <f t="shared" si="1"/>
        <v>-7.8799999999999981E-2</v>
      </c>
      <c r="AE39" s="15">
        <f t="shared" si="1"/>
        <v>-7.7199999999999935E-2</v>
      </c>
      <c r="AF39" s="15">
        <f t="shared" si="1"/>
        <v>2.6000000000000467E-3</v>
      </c>
    </row>
    <row r="40" spans="1:32" x14ac:dyDescent="0.3">
      <c r="A40" s="53"/>
      <c r="B40" t="s">
        <v>31</v>
      </c>
      <c r="C40">
        <v>20</v>
      </c>
      <c r="D40">
        <v>0.9</v>
      </c>
      <c r="E40" s="15">
        <f t="shared" si="0"/>
        <v>5.3130345535408963E-2</v>
      </c>
      <c r="F40" s="15">
        <f t="shared" ref="F40:AF40" si="2">F22-$D40</f>
        <v>-6.4200000000000035E-2</v>
      </c>
      <c r="G40" s="15">
        <f t="shared" si="2"/>
        <v>5.5525145398563014E-2</v>
      </c>
      <c r="H40" s="15">
        <f t="shared" si="2"/>
        <v>1.6095511828431941E-2</v>
      </c>
      <c r="I40" s="15">
        <f t="shared" si="2"/>
        <v>1.9522440857837942E-2</v>
      </c>
      <c r="J40" s="15">
        <f t="shared" si="2"/>
        <v>-4.7223637289862008E-2</v>
      </c>
      <c r="K40" s="15">
        <f t="shared" si="2"/>
        <v>-5.6731346269254024E-2</v>
      </c>
      <c r="L40" s="15">
        <f t="shared" si="2"/>
        <v>-5.1830366073215006E-2</v>
      </c>
      <c r="M40" s="15">
        <f t="shared" si="2"/>
        <v>5.8899999999999952E-2</v>
      </c>
      <c r="N40" s="15">
        <f t="shared" si="2"/>
        <v>-1.100000000000001E-2</v>
      </c>
      <c r="O40" s="15">
        <f t="shared" si="2"/>
        <v>-1.100000000000001E-2</v>
      </c>
      <c r="P40" s="15">
        <f t="shared" si="2"/>
        <v>7.1999999999999842E-3</v>
      </c>
      <c r="Q40" s="15">
        <f t="shared" si="2"/>
        <v>-5.7000000000000384E-3</v>
      </c>
      <c r="R40" s="15">
        <f t="shared" si="2"/>
        <v>-3.2999999999999696E-3</v>
      </c>
      <c r="S40" s="15">
        <f t="shared" si="2"/>
        <v>2.9514757378690248E-3</v>
      </c>
      <c r="T40" s="15">
        <f t="shared" si="2"/>
        <v>1.7900000000000027E-2</v>
      </c>
      <c r="U40" s="15">
        <f t="shared" si="2"/>
        <v>2.7899999999999925E-2</v>
      </c>
      <c r="V40" s="15">
        <f t="shared" si="2"/>
        <v>5.6099999999999928E-2</v>
      </c>
      <c r="W40" s="15">
        <f t="shared" si="2"/>
        <v>6.3999999999999613E-3</v>
      </c>
      <c r="X40" s="15">
        <f t="shared" si="2"/>
        <v>4.6221919673246958E-2</v>
      </c>
      <c r="Y40" s="15">
        <f t="shared" si="2"/>
        <v>-6.6000000000000059E-2</v>
      </c>
      <c r="Z40" s="15">
        <f t="shared" si="2"/>
        <v>4.8264125255276014E-2</v>
      </c>
      <c r="AA40" s="15">
        <f t="shared" si="2"/>
        <v>1.2583948034790016E-2</v>
      </c>
      <c r="AB40" s="15">
        <f t="shared" si="2"/>
        <v>1.511615105141495E-2</v>
      </c>
      <c r="AC40" s="15">
        <f t="shared" si="2"/>
        <v>-3.4242641780329985E-2</v>
      </c>
      <c r="AD40" s="15">
        <f t="shared" si="2"/>
        <v>-5.8800000000000074E-2</v>
      </c>
      <c r="AE40" s="15">
        <f t="shared" si="2"/>
        <v>-5.1900000000000057E-2</v>
      </c>
      <c r="AF40" s="15">
        <f t="shared" si="2"/>
        <v>5.259999999999998E-2</v>
      </c>
    </row>
    <row r="41" spans="1:32" x14ac:dyDescent="0.3">
      <c r="A41" s="53"/>
      <c r="B41" t="s">
        <v>56</v>
      </c>
      <c r="C41">
        <v>20</v>
      </c>
      <c r="D41">
        <v>0.95</v>
      </c>
      <c r="E41" s="15">
        <f t="shared" si="0"/>
        <v>3.7763426240653097E-2</v>
      </c>
      <c r="F41" s="15">
        <f t="shared" ref="F41:AF41" si="3">F23-$D41</f>
        <v>-7.8199999999999936E-2</v>
      </c>
      <c r="G41" s="15">
        <f t="shared" si="3"/>
        <v>3.0852028098799056E-2</v>
      </c>
      <c r="H41" s="15">
        <f t="shared" si="3"/>
        <v>-3.2589676290459835E-3</v>
      </c>
      <c r="I41" s="15">
        <f t="shared" si="3"/>
        <v>4.593175853020437E-4</v>
      </c>
      <c r="J41" s="15">
        <f t="shared" si="3"/>
        <v>-3.9036947304664005E-2</v>
      </c>
      <c r="K41" s="15">
        <f t="shared" si="3"/>
        <v>-7.371237123712393E-2</v>
      </c>
      <c r="L41" s="15">
        <f t="shared" si="3"/>
        <v>-7.2112211221121991E-2</v>
      </c>
      <c r="M41" s="15">
        <f t="shared" si="3"/>
        <v>7.0999999999999952E-3</v>
      </c>
      <c r="N41" s="15">
        <f t="shared" si="3"/>
        <v>6.4000000000000723E-3</v>
      </c>
      <c r="O41" s="15">
        <f t="shared" si="3"/>
        <v>6.4000000000000723E-3</v>
      </c>
      <c r="P41" s="15">
        <f t="shared" si="3"/>
        <v>-6.9999999999992291E-4</v>
      </c>
      <c r="Q41" s="15">
        <f t="shared" si="3"/>
        <v>1.4000000000000679E-3</v>
      </c>
      <c r="R41" s="15">
        <f t="shared" si="3"/>
        <v>2.0000000000000018E-3</v>
      </c>
      <c r="S41" s="15">
        <f t="shared" si="3"/>
        <v>3.2597793380140239E-3</v>
      </c>
      <c r="T41" s="15">
        <f t="shared" si="3"/>
        <v>7.6000000000000512E-3</v>
      </c>
      <c r="U41" s="15">
        <f t="shared" si="3"/>
        <v>8.700000000000041E-3</v>
      </c>
      <c r="V41" s="15">
        <f t="shared" si="3"/>
        <v>6.4000000000000723E-3</v>
      </c>
      <c r="W41" s="15">
        <f t="shared" si="3"/>
        <v>-3.4599999999999964E-2</v>
      </c>
      <c r="X41" s="15">
        <f t="shared" si="3"/>
        <v>3.6318549766275021E-2</v>
      </c>
      <c r="Y41" s="15">
        <f t="shared" si="3"/>
        <v>-8.4899999999999975E-2</v>
      </c>
      <c r="Z41" s="15">
        <f t="shared" si="3"/>
        <v>2.7653631284916047E-2</v>
      </c>
      <c r="AA41" s="15">
        <f t="shared" si="3"/>
        <v>2.669946838592907E-2</v>
      </c>
      <c r="AB41" s="15">
        <f t="shared" si="3"/>
        <v>2.7943671530370029E-2</v>
      </c>
      <c r="AC41" s="15">
        <f t="shared" si="3"/>
        <v>1.2817667295530466E-3</v>
      </c>
      <c r="AD41" s="15">
        <f t="shared" si="3"/>
        <v>-8.3766883441721007E-2</v>
      </c>
      <c r="AE41" s="15">
        <f t="shared" si="3"/>
        <v>-8.3266633316657956E-2</v>
      </c>
      <c r="AF41" s="15">
        <f t="shared" si="3"/>
        <v>4.0999999999999925E-3</v>
      </c>
    </row>
    <row r="42" spans="1:32" x14ac:dyDescent="0.3">
      <c r="A42" s="53"/>
      <c r="B42" t="s">
        <v>56</v>
      </c>
      <c r="C42">
        <v>20</v>
      </c>
      <c r="D42">
        <v>0.9</v>
      </c>
      <c r="E42" s="15">
        <f t="shared" si="0"/>
        <v>5.1393609789258998E-2</v>
      </c>
      <c r="F42" s="15">
        <f t="shared" ref="F42:AF42" si="4">F24-$D42</f>
        <v>-6.030000000000002E-2</v>
      </c>
      <c r="G42" s="15">
        <f t="shared" si="4"/>
        <v>5.3546340358032962E-2</v>
      </c>
      <c r="H42" s="15">
        <f t="shared" si="4"/>
        <v>1.119860017497798E-2</v>
      </c>
      <c r="I42" s="15">
        <f t="shared" si="4"/>
        <v>1.5682414698163005E-2</v>
      </c>
      <c r="J42" s="15">
        <f t="shared" si="4"/>
        <v>-3.6482939632546008E-2</v>
      </c>
      <c r="K42" s="15">
        <f t="shared" si="4"/>
        <v>-5.0915091509150967E-2</v>
      </c>
      <c r="L42" s="15">
        <f t="shared" si="4"/>
        <v>-4.6714671467147029E-2</v>
      </c>
      <c r="M42" s="15">
        <f t="shared" si="4"/>
        <v>5.7099999999999929E-2</v>
      </c>
      <c r="N42" s="15">
        <f t="shared" si="4"/>
        <v>-2.1199999999999997E-2</v>
      </c>
      <c r="O42" s="15">
        <f t="shared" si="4"/>
        <v>-2.1199999999999997E-2</v>
      </c>
      <c r="P42" s="15">
        <f t="shared" si="4"/>
        <v>-1.2999999999999678E-3</v>
      </c>
      <c r="Q42" s="15">
        <f t="shared" si="4"/>
        <v>-1.8600000000000061E-2</v>
      </c>
      <c r="R42" s="15">
        <f t="shared" si="4"/>
        <v>-1.639999999999997E-2</v>
      </c>
      <c r="S42" s="15">
        <f t="shared" si="4"/>
        <v>-1.4844533600802068E-2</v>
      </c>
      <c r="T42" s="15">
        <f t="shared" si="4"/>
        <v>1.3999999999999568E-3</v>
      </c>
      <c r="U42" s="15">
        <f t="shared" si="4"/>
        <v>1.4100000000000001E-2</v>
      </c>
      <c r="V42" s="15">
        <f t="shared" si="4"/>
        <v>5.6400000000000006E-2</v>
      </c>
      <c r="W42" s="15">
        <f t="shared" si="4"/>
        <v>-5.5200000000000027E-2</v>
      </c>
      <c r="X42" s="15">
        <f t="shared" si="4"/>
        <v>4.7668452856002963E-2</v>
      </c>
      <c r="Y42" s="15">
        <f t="shared" si="4"/>
        <v>-6.8799999999999972E-2</v>
      </c>
      <c r="Z42" s="15">
        <f t="shared" si="4"/>
        <v>4.9606658305779927E-2</v>
      </c>
      <c r="AA42" s="15">
        <f t="shared" si="4"/>
        <v>3.7902952154733938E-2</v>
      </c>
      <c r="AB42" s="15">
        <f t="shared" si="4"/>
        <v>3.8694717792104982E-2</v>
      </c>
      <c r="AC42" s="15">
        <f t="shared" si="4"/>
        <v>8.7781600266340076E-3</v>
      </c>
      <c r="AD42" s="15">
        <f t="shared" si="4"/>
        <v>-6.6483241620809985E-2</v>
      </c>
      <c r="AE42" s="15">
        <f t="shared" si="4"/>
        <v>-6.5182591295648074E-2</v>
      </c>
      <c r="AF42" s="15">
        <f t="shared" si="4"/>
        <v>5.4099999999999926E-2</v>
      </c>
    </row>
    <row r="43" spans="1:32" x14ac:dyDescent="0.3">
      <c r="A43" s="53"/>
      <c r="B43" t="s">
        <v>57</v>
      </c>
      <c r="C43">
        <v>20</v>
      </c>
      <c r="D43">
        <v>0.95</v>
      </c>
      <c r="E43" s="15">
        <f t="shared" si="0"/>
        <v>3.5017026106696991E-2</v>
      </c>
      <c r="F43" s="15">
        <f t="shared" ref="F43:AF43" si="5">F25-$D43</f>
        <v>-8.219999999999994E-2</v>
      </c>
      <c r="G43" s="15">
        <f t="shared" si="5"/>
        <v>3.0136208853575042E-2</v>
      </c>
      <c r="H43" s="15">
        <f t="shared" si="5"/>
        <v>-4.202199398277795E-2</v>
      </c>
      <c r="I43" s="15">
        <f t="shared" si="5"/>
        <v>-3.5901027077497982E-2</v>
      </c>
      <c r="J43" s="15">
        <f t="shared" si="5"/>
        <v>2.1000000000000019E-2</v>
      </c>
      <c r="K43" s="15">
        <f t="shared" si="5"/>
        <v>-5.5999999999999939E-2</v>
      </c>
      <c r="L43" s="15">
        <f t="shared" si="5"/>
        <v>-5.3199999999999914E-2</v>
      </c>
      <c r="M43" s="15">
        <f t="shared" si="5"/>
        <v>6.7000000000000393E-3</v>
      </c>
      <c r="N43" s="15">
        <f t="shared" si="5"/>
        <v>1.0200000000000098E-2</v>
      </c>
      <c r="O43" s="15">
        <f t="shared" si="5"/>
        <v>1.0200000000000098E-2</v>
      </c>
      <c r="P43" s="15">
        <f t="shared" si="5"/>
        <v>3.4000000000000696E-3</v>
      </c>
      <c r="Q43" s="15">
        <f t="shared" si="5"/>
        <v>-1.9999999999997797E-4</v>
      </c>
      <c r="R43" s="15">
        <f t="shared" si="5"/>
        <v>1.7000000000000348E-3</v>
      </c>
      <c r="S43" s="15">
        <f t="shared" si="5"/>
        <v>6.7000000000000393E-3</v>
      </c>
      <c r="T43" s="15">
        <f t="shared" si="5"/>
        <v>1.3400000000000079E-2</v>
      </c>
      <c r="U43" s="15">
        <f t="shared" si="5"/>
        <v>1.4600000000000057E-2</v>
      </c>
      <c r="V43" s="15">
        <f t="shared" si="5"/>
        <v>1.0200000000000098E-2</v>
      </c>
      <c r="W43" s="15">
        <f t="shared" si="5"/>
        <v>-4.8499999999999988E-2</v>
      </c>
      <c r="X43" s="15">
        <f t="shared" si="5"/>
        <v>3.6332574031891052E-2</v>
      </c>
      <c r="Y43" s="15">
        <f t="shared" si="5"/>
        <v>-8.3999999999999964E-2</v>
      </c>
      <c r="Z43" s="15">
        <f t="shared" si="5"/>
        <v>2.7448747152620023E-2</v>
      </c>
      <c r="AA43" s="15">
        <f t="shared" si="5"/>
        <v>1.3319167971371004E-2</v>
      </c>
      <c r="AB43" s="15">
        <f t="shared" si="5"/>
        <v>1.5332140460747046E-2</v>
      </c>
      <c r="AC43" s="15">
        <f t="shared" si="5"/>
        <v>-2.7029177718832953E-2</v>
      </c>
      <c r="AD43" s="15">
        <f t="shared" si="5"/>
        <v>-8.3326665333066985E-2</v>
      </c>
      <c r="AE43" s="15">
        <f t="shared" si="5"/>
        <v>-8.2326465293058981E-2</v>
      </c>
      <c r="AF43" s="15">
        <f t="shared" si="5"/>
        <v>4.0999999999999925E-3</v>
      </c>
    </row>
    <row r="44" spans="1:32" x14ac:dyDescent="0.3">
      <c r="A44" s="53"/>
      <c r="B44" t="s">
        <v>57</v>
      </c>
      <c r="C44">
        <v>20</v>
      </c>
      <c r="D44">
        <v>0.9</v>
      </c>
      <c r="E44" s="15">
        <f t="shared" si="0"/>
        <v>5.0851305334846941E-2</v>
      </c>
      <c r="F44" s="15">
        <f t="shared" ref="F44:AF44" si="6">F26-$D44</f>
        <v>-6.2300000000000022E-2</v>
      </c>
      <c r="G44" s="15">
        <f t="shared" si="6"/>
        <v>5.2894438138478939E-2</v>
      </c>
      <c r="H44" s="15">
        <f t="shared" si="6"/>
        <v>-2.7710343396618042E-2</v>
      </c>
      <c r="I44" s="15">
        <f t="shared" si="6"/>
        <v>-2.0655669675277988E-2</v>
      </c>
      <c r="J44" s="15">
        <f t="shared" si="6"/>
        <v>2.52E-2</v>
      </c>
      <c r="K44" s="15">
        <f t="shared" si="6"/>
        <v>-3.7900000000000045E-2</v>
      </c>
      <c r="L44" s="15">
        <f t="shared" si="6"/>
        <v>-3.290000000000004E-2</v>
      </c>
      <c r="M44" s="15">
        <f t="shared" si="6"/>
        <v>5.6699999999999973E-2</v>
      </c>
      <c r="N44" s="15">
        <f t="shared" si="6"/>
        <v>-1.1600000000000055E-2</v>
      </c>
      <c r="O44" s="15">
        <f t="shared" si="6"/>
        <v>-1.1600000000000055E-2</v>
      </c>
      <c r="P44" s="15">
        <f t="shared" si="6"/>
        <v>5.6999999999999273E-3</v>
      </c>
      <c r="Q44" s="15">
        <f t="shared" si="6"/>
        <v>-6.1999999999999833E-3</v>
      </c>
      <c r="R44" s="15">
        <f t="shared" si="6"/>
        <v>-3.7000000000000366E-3</v>
      </c>
      <c r="S44" s="15">
        <f t="shared" si="6"/>
        <v>4.3999999999999595E-3</v>
      </c>
      <c r="T44" s="15">
        <f t="shared" si="6"/>
        <v>2.2599999999999953E-2</v>
      </c>
      <c r="U44" s="15">
        <f t="shared" si="6"/>
        <v>3.2599999999999962E-2</v>
      </c>
      <c r="V44" s="15">
        <f t="shared" si="6"/>
        <v>6.0200000000000031E-2</v>
      </c>
      <c r="W44" s="15">
        <f t="shared" si="6"/>
        <v>-7.7100000000000057E-2</v>
      </c>
      <c r="X44" s="15">
        <f t="shared" si="6"/>
        <v>4.7722095671981934E-2</v>
      </c>
      <c r="Y44" s="15">
        <f t="shared" si="6"/>
        <v>-6.7900000000000071E-2</v>
      </c>
      <c r="Z44" s="15">
        <f t="shared" si="6"/>
        <v>4.9544419134396001E-2</v>
      </c>
      <c r="AA44" s="15">
        <f t="shared" si="6"/>
        <v>2.5855513307984967E-2</v>
      </c>
      <c r="AB44" s="15">
        <f t="shared" si="6"/>
        <v>2.7644822187430029E-2</v>
      </c>
      <c r="AC44" s="15">
        <f t="shared" si="6"/>
        <v>-2.4031830238727014E-2</v>
      </c>
      <c r="AD44" s="15">
        <f t="shared" si="6"/>
        <v>-6.2932586517303046E-2</v>
      </c>
      <c r="AE44" s="15">
        <f t="shared" si="6"/>
        <v>-5.9631926385277034E-2</v>
      </c>
      <c r="AF44" s="15">
        <f t="shared" si="6"/>
        <v>5.4099999999999926E-2</v>
      </c>
    </row>
    <row r="45" spans="1:32" x14ac:dyDescent="0.3">
      <c r="A45" s="53"/>
      <c r="B45" t="s">
        <v>31</v>
      </c>
      <c r="C45">
        <v>50</v>
      </c>
      <c r="D45">
        <v>0.95</v>
      </c>
      <c r="E45" s="15">
        <f t="shared" si="0"/>
        <v>-5.4102976669349045E-3</v>
      </c>
      <c r="F45" s="15">
        <f t="shared" ref="F45:AF45" si="7">F27-$D45</f>
        <v>-1.0699999999999932E-2</v>
      </c>
      <c r="G45" s="15">
        <f t="shared" si="7"/>
        <v>6.2550281576830846E-3</v>
      </c>
      <c r="H45" s="15">
        <f t="shared" si="7"/>
        <v>-7.5590155700649975E-3</v>
      </c>
      <c r="I45" s="15">
        <f t="shared" si="7"/>
        <v>-4.9472626820689092E-3</v>
      </c>
      <c r="J45" s="15">
        <f t="shared" si="7"/>
        <v>-8.4783488466209089E-3</v>
      </c>
      <c r="K45" s="15">
        <f t="shared" si="7"/>
        <v>-6.6999999999999282E-3</v>
      </c>
      <c r="L45" s="15">
        <f t="shared" si="7"/>
        <v>-2.3999999999999577E-3</v>
      </c>
      <c r="M45" s="15">
        <f t="shared" si="7"/>
        <v>2.0300000000000096E-2</v>
      </c>
      <c r="N45" s="15">
        <f t="shared" si="7"/>
        <v>-1.5100000000000002E-2</v>
      </c>
      <c r="O45" s="15">
        <f t="shared" si="7"/>
        <v>1.5100000000000002E-2</v>
      </c>
      <c r="P45" s="15">
        <f t="shared" si="7"/>
        <v>1.5000000000000568E-3</v>
      </c>
      <c r="Q45" s="15">
        <f t="shared" si="7"/>
        <v>-5.8999999999999053E-3</v>
      </c>
      <c r="R45" s="15">
        <f t="shared" si="7"/>
        <v>-4.3999999999999595E-3</v>
      </c>
      <c r="S45" s="15">
        <f t="shared" si="7"/>
        <v>-3.5053505350539638E-3</v>
      </c>
      <c r="T45" s="15">
        <f t="shared" si="7"/>
        <v>8.0999999999999961E-3</v>
      </c>
      <c r="U45" s="15">
        <f t="shared" si="7"/>
        <v>8.900000000000019E-3</v>
      </c>
      <c r="V45" s="15">
        <f t="shared" si="7"/>
        <v>1.5100000000000002E-2</v>
      </c>
      <c r="W45" s="15">
        <f t="shared" si="7"/>
        <v>2.00000000000089E-4</v>
      </c>
      <c r="X45" s="15">
        <f t="shared" si="7"/>
        <v>-3.0120481927710108E-3</v>
      </c>
      <c r="Y45" s="15">
        <f t="shared" si="7"/>
        <v>-6.7999999999999172E-3</v>
      </c>
      <c r="Z45" s="15">
        <f t="shared" si="7"/>
        <v>7.1285140562250549E-3</v>
      </c>
      <c r="AA45" s="15">
        <f t="shared" si="7"/>
        <v>-4.7862733293199122E-3</v>
      </c>
      <c r="AB45" s="15">
        <f t="shared" si="7"/>
        <v>-2.8797912903869571E-3</v>
      </c>
      <c r="AC45" s="15">
        <f t="shared" si="7"/>
        <v>-3.953206938281939E-3</v>
      </c>
      <c r="AD45" s="15">
        <f t="shared" si="7"/>
        <v>-2.6105221044209204E-3</v>
      </c>
      <c r="AE45" s="15">
        <f t="shared" si="7"/>
        <v>-2.1004200840191167E-4</v>
      </c>
      <c r="AF45" s="15">
        <f t="shared" si="7"/>
        <v>2.090000000000003E-2</v>
      </c>
    </row>
    <row r="46" spans="1:32" x14ac:dyDescent="0.3">
      <c r="A46" s="53"/>
      <c r="B46" t="s">
        <v>31</v>
      </c>
      <c r="C46">
        <v>50</v>
      </c>
      <c r="D46">
        <v>0.9</v>
      </c>
      <c r="E46" s="15">
        <f t="shared" si="0"/>
        <v>9.4931617055509232E-3</v>
      </c>
      <c r="F46" s="15">
        <f t="shared" ref="F46:AF46" si="8">F28-$D46</f>
        <v>3.9300000000000002E-2</v>
      </c>
      <c r="G46" s="15">
        <f t="shared" si="8"/>
        <v>6.4762670957360102E-3</v>
      </c>
      <c r="H46" s="15">
        <f t="shared" si="8"/>
        <v>6.2782521346059772E-3</v>
      </c>
      <c r="I46" s="15">
        <f t="shared" si="8"/>
        <v>9.2918131592160114E-3</v>
      </c>
      <c r="J46" s="15">
        <f t="shared" si="8"/>
        <v>4.8968029138000135E-3</v>
      </c>
      <c r="K46" s="15">
        <f t="shared" si="8"/>
        <v>2.5399999999999978E-2</v>
      </c>
      <c r="L46" s="15">
        <f t="shared" si="8"/>
        <v>2.8599999999999959E-2</v>
      </c>
      <c r="M46" s="15">
        <f t="shared" si="8"/>
        <v>4.3999999999999595E-3</v>
      </c>
      <c r="N46" s="15">
        <f t="shared" si="8"/>
        <v>-1.8500000000000072E-2</v>
      </c>
      <c r="O46" s="15">
        <f t="shared" si="8"/>
        <v>3.4899999999999931E-2</v>
      </c>
      <c r="P46" s="15">
        <f t="shared" si="8"/>
        <v>2.3999999999999577E-3</v>
      </c>
      <c r="Q46" s="15">
        <f t="shared" si="8"/>
        <v>-7.8000000000000291E-3</v>
      </c>
      <c r="R46" s="15">
        <f t="shared" si="8"/>
        <v>-6.4000000000000723E-3</v>
      </c>
      <c r="S46" s="15">
        <f t="shared" si="8"/>
        <v>-4.1104110411039896E-3</v>
      </c>
      <c r="T46" s="15">
        <f t="shared" si="8"/>
        <v>1.8900000000000028E-2</v>
      </c>
      <c r="U46" s="15">
        <f t="shared" si="8"/>
        <v>2.0199999999999996E-2</v>
      </c>
      <c r="V46" s="15">
        <f t="shared" si="8"/>
        <v>3.4899999999999931E-2</v>
      </c>
      <c r="W46" s="15">
        <f t="shared" si="8"/>
        <v>9.000000000000119E-4</v>
      </c>
      <c r="X46" s="15">
        <f t="shared" si="8"/>
        <v>1.2550200803213007E-2</v>
      </c>
      <c r="Y46" s="15">
        <f t="shared" si="8"/>
        <v>4.3200000000000016E-2</v>
      </c>
      <c r="Z46" s="15">
        <f t="shared" si="8"/>
        <v>1.2851405622489986E-2</v>
      </c>
      <c r="AA46" s="15">
        <f t="shared" si="8"/>
        <v>1.1800120409391934E-2</v>
      </c>
      <c r="AB46" s="15">
        <f t="shared" si="8"/>
        <v>1.4609672887819003E-2</v>
      </c>
      <c r="AC46" s="15">
        <f t="shared" si="8"/>
        <v>1.1960467930617003E-2</v>
      </c>
      <c r="AD46" s="15">
        <f t="shared" si="8"/>
        <v>2.9185837167433948E-2</v>
      </c>
      <c r="AE46" s="15">
        <f t="shared" si="8"/>
        <v>3.1786357271453958E-2</v>
      </c>
      <c r="AF46" s="15">
        <f t="shared" si="8"/>
        <v>8.900000000000019E-3</v>
      </c>
    </row>
    <row r="47" spans="1:32" x14ac:dyDescent="0.3">
      <c r="A47" s="53"/>
      <c r="B47" t="s">
        <v>56</v>
      </c>
      <c r="C47">
        <v>50</v>
      </c>
      <c r="D47">
        <v>0.95</v>
      </c>
      <c r="E47" s="15">
        <f t="shared" si="0"/>
        <v>-4.3368887100019293E-3</v>
      </c>
      <c r="F47" s="15">
        <f t="shared" ref="F47:AF47" si="9">F29-$D47</f>
        <v>-1.0199999999999987E-2</v>
      </c>
      <c r="G47" s="15">
        <f t="shared" si="9"/>
        <v>6.1279935600720981E-3</v>
      </c>
      <c r="H47" s="15">
        <f t="shared" si="9"/>
        <v>-6.8444310535299424E-3</v>
      </c>
      <c r="I47" s="15">
        <f t="shared" si="9"/>
        <v>-2.827156774128925E-3</v>
      </c>
      <c r="J47" s="15">
        <f t="shared" si="9"/>
        <v>-5.521966948810908E-3</v>
      </c>
      <c r="K47" s="15">
        <f t="shared" si="9"/>
        <v>-3.705370537053998E-3</v>
      </c>
      <c r="L47" s="15">
        <f t="shared" si="9"/>
        <v>4.950495049500514E-4</v>
      </c>
      <c r="M47" s="15">
        <f t="shared" si="9"/>
        <v>1.7400000000000082E-2</v>
      </c>
      <c r="N47" s="15">
        <f t="shared" si="9"/>
        <v>-1.21E-2</v>
      </c>
      <c r="O47" s="15">
        <f t="shared" si="9"/>
        <v>2.0600000000000063E-2</v>
      </c>
      <c r="P47" s="15">
        <f t="shared" si="9"/>
        <v>5.0000000000000044E-3</v>
      </c>
      <c r="Q47" s="15">
        <f t="shared" si="9"/>
        <v>-4.8999999999999044E-3</v>
      </c>
      <c r="R47" s="15">
        <f t="shared" si="9"/>
        <v>-4.4999999999999485E-3</v>
      </c>
      <c r="S47" s="15">
        <f t="shared" si="9"/>
        <v>-4.5709422248919607E-3</v>
      </c>
      <c r="T47" s="15">
        <f t="shared" si="9"/>
        <v>1.7300000000000093E-2</v>
      </c>
      <c r="U47" s="15">
        <f t="shared" si="9"/>
        <v>1.7500000000000071E-2</v>
      </c>
      <c r="V47" s="15">
        <f t="shared" si="9"/>
        <v>2.0600000000000063E-2</v>
      </c>
      <c r="W47" s="15">
        <f t="shared" si="9"/>
        <v>-0.10029999999999994</v>
      </c>
      <c r="X47" s="15">
        <f t="shared" si="9"/>
        <v>-7.0682206369939715E-3</v>
      </c>
      <c r="Y47" s="15">
        <f t="shared" si="9"/>
        <v>-1.1499999999999955E-2</v>
      </c>
      <c r="Z47" s="15">
        <f t="shared" si="9"/>
        <v>7.1988345222550043E-3</v>
      </c>
      <c r="AA47" s="15">
        <f t="shared" si="9"/>
        <v>-7.5474540524249623E-3</v>
      </c>
      <c r="AB47" s="15">
        <f t="shared" si="9"/>
        <v>-7.3465903384549724E-3</v>
      </c>
      <c r="AC47" s="15">
        <f t="shared" si="9"/>
        <v>-9.0439538181079637E-3</v>
      </c>
      <c r="AD47" s="15">
        <f t="shared" si="9"/>
        <v>-9.8059805980599268E-3</v>
      </c>
      <c r="AE47" s="15">
        <f t="shared" si="9"/>
        <v>-8.7058705870589614E-3</v>
      </c>
      <c r="AF47" s="15">
        <f t="shared" si="9"/>
        <v>2.0600000000000063E-2</v>
      </c>
    </row>
    <row r="48" spans="1:32" x14ac:dyDescent="0.3">
      <c r="A48" s="53"/>
      <c r="B48" t="s">
        <v>56</v>
      </c>
      <c r="C48">
        <v>50</v>
      </c>
      <c r="D48">
        <v>0.9</v>
      </c>
      <c r="E48" s="15">
        <f t="shared" si="0"/>
        <v>1.2859730328034003E-2</v>
      </c>
      <c r="F48" s="15">
        <f t="shared" ref="F48:AF48" si="10">F30-$D48</f>
        <v>3.9799999999999947E-2</v>
      </c>
      <c r="G48" s="15">
        <f t="shared" si="10"/>
        <v>1.2960354196014934E-2</v>
      </c>
      <c r="H48" s="15">
        <f t="shared" si="10"/>
        <v>9.5108968564829865E-3</v>
      </c>
      <c r="I48" s="15">
        <f t="shared" si="10"/>
        <v>1.2724716280003934E-2</v>
      </c>
      <c r="J48" s="15">
        <f t="shared" si="10"/>
        <v>8.8069326884320231E-3</v>
      </c>
      <c r="K48" s="15">
        <f t="shared" si="10"/>
        <v>2.5592559255925962E-2</v>
      </c>
      <c r="L48" s="15">
        <f t="shared" si="10"/>
        <v>2.7992799279927927E-2</v>
      </c>
      <c r="M48" s="15">
        <f t="shared" si="10"/>
        <v>7.1999999999999842E-3</v>
      </c>
      <c r="N48" s="15">
        <f t="shared" si="10"/>
        <v>-1.4500000000000068E-2</v>
      </c>
      <c r="O48" s="15">
        <f t="shared" si="10"/>
        <v>3.7899999999999934E-2</v>
      </c>
      <c r="P48" s="15">
        <f t="shared" si="10"/>
        <v>3.9000000000000146E-3</v>
      </c>
      <c r="Q48" s="15">
        <f t="shared" si="10"/>
        <v>-8.1999999999999851E-3</v>
      </c>
      <c r="R48" s="15">
        <f t="shared" si="10"/>
        <v>-7.4000000000000732E-3</v>
      </c>
      <c r="S48" s="15">
        <f t="shared" si="10"/>
        <v>-6.7387603885050718E-3</v>
      </c>
      <c r="T48" s="15">
        <f t="shared" si="10"/>
        <v>2.6200000000000001E-2</v>
      </c>
      <c r="U48" s="15">
        <f t="shared" si="10"/>
        <v>2.7299999999999991E-2</v>
      </c>
      <c r="V48" s="15">
        <f t="shared" si="10"/>
        <v>3.7899999999999934E-2</v>
      </c>
      <c r="W48" s="15">
        <f t="shared" si="10"/>
        <v>-0.14860000000000007</v>
      </c>
      <c r="X48" s="15">
        <f t="shared" si="10"/>
        <v>1.0881141364412983E-2</v>
      </c>
      <c r="Y48" s="15">
        <f t="shared" si="10"/>
        <v>3.8499999999999979E-2</v>
      </c>
      <c r="Z48" s="15">
        <f t="shared" si="10"/>
        <v>1.1684919119863024E-2</v>
      </c>
      <c r="AA48" s="15">
        <f t="shared" si="10"/>
        <v>1.0916942854273026E-2</v>
      </c>
      <c r="AB48" s="15">
        <f t="shared" si="10"/>
        <v>1.1419102139198944E-2</v>
      </c>
      <c r="AC48" s="15">
        <f t="shared" si="10"/>
        <v>9.2566335831479885E-3</v>
      </c>
      <c r="AD48" s="15">
        <f t="shared" si="10"/>
        <v>3.4693469346934958E-2</v>
      </c>
      <c r="AE48" s="15">
        <f t="shared" si="10"/>
        <v>3.5593559355936E-2</v>
      </c>
      <c r="AF48" s="15">
        <f t="shared" si="10"/>
        <v>6.5999999999999392E-3</v>
      </c>
    </row>
    <row r="49" spans="1:32" x14ac:dyDescent="0.3">
      <c r="A49" s="53"/>
      <c r="B49" t="s">
        <v>57</v>
      </c>
      <c r="C49">
        <v>50</v>
      </c>
      <c r="D49">
        <v>0.95</v>
      </c>
      <c r="E49" s="15">
        <f t="shared" si="0"/>
        <v>-5.0532449266629254E-3</v>
      </c>
      <c r="F49" s="15">
        <f t="shared" ref="F49:AF49" si="11">F31-$D49</f>
        <v>-9.3999999999999639E-3</v>
      </c>
      <c r="G49" s="15">
        <f t="shared" si="11"/>
        <v>4.5911191480810798E-3</v>
      </c>
      <c r="H49" s="15">
        <f t="shared" si="11"/>
        <v>-5.8614475923519649E-3</v>
      </c>
      <c r="I49" s="15">
        <f t="shared" si="11"/>
        <v>-1.6568225047549623E-3</v>
      </c>
      <c r="J49" s="15">
        <f t="shared" si="11"/>
        <v>6.9000000000000172E-3</v>
      </c>
      <c r="K49" s="15">
        <f t="shared" si="11"/>
        <v>7.0000000000003393E-4</v>
      </c>
      <c r="L49" s="15">
        <f t="shared" si="11"/>
        <v>6.7000000000000393E-3</v>
      </c>
      <c r="M49" s="15">
        <f t="shared" si="11"/>
        <v>1.7700000000000049E-2</v>
      </c>
      <c r="N49" s="15">
        <f t="shared" si="11"/>
        <v>-1.4399999999999968E-2</v>
      </c>
      <c r="O49" s="15">
        <f t="shared" si="11"/>
        <v>1.6000000000000014E-2</v>
      </c>
      <c r="P49" s="15">
        <f t="shared" si="11"/>
        <v>1.9000000000000128E-3</v>
      </c>
      <c r="Q49" s="15">
        <f t="shared" si="11"/>
        <v>-3.4999999999999476E-3</v>
      </c>
      <c r="R49" s="15">
        <f t="shared" si="11"/>
        <v>-2.4999999999999467E-3</v>
      </c>
      <c r="S49" s="15">
        <f t="shared" si="11"/>
        <v>-1.4051405140509399E-3</v>
      </c>
      <c r="T49" s="15">
        <f t="shared" si="11"/>
        <v>1.0000000000000009E-2</v>
      </c>
      <c r="U49" s="15">
        <f t="shared" si="11"/>
        <v>1.100000000000001E-2</v>
      </c>
      <c r="V49" s="15">
        <f t="shared" si="11"/>
        <v>1.6000000000000014E-2</v>
      </c>
      <c r="W49" s="15">
        <f t="shared" si="11"/>
        <v>-0.16079999999999994</v>
      </c>
      <c r="X49" s="15">
        <f t="shared" si="11"/>
        <v>-4.3041029766689443E-3</v>
      </c>
      <c r="Y49" s="15">
        <f t="shared" si="11"/>
        <v>-9.5999999999999419E-3</v>
      </c>
      <c r="Z49" s="15">
        <f t="shared" si="11"/>
        <v>8.2662912308930636E-3</v>
      </c>
      <c r="AA49" s="15">
        <f t="shared" si="11"/>
        <v>-5.2541691782199695E-3</v>
      </c>
      <c r="AB49" s="15">
        <f t="shared" si="11"/>
        <v>-3.5463130399839837E-3</v>
      </c>
      <c r="AC49" s="15">
        <f t="shared" si="11"/>
        <v>-6.0349203126589535E-3</v>
      </c>
      <c r="AD49" s="15">
        <f t="shared" si="11"/>
        <v>-5.7111422284459312E-3</v>
      </c>
      <c r="AE49" s="15">
        <f t="shared" si="11"/>
        <v>-3.6107221444289239E-3</v>
      </c>
      <c r="AF49" s="15">
        <f t="shared" si="11"/>
        <v>1.9500000000000073E-2</v>
      </c>
    </row>
    <row r="50" spans="1:32" x14ac:dyDescent="0.3">
      <c r="A50" s="53"/>
      <c r="B50" t="s">
        <v>57</v>
      </c>
      <c r="C50">
        <v>50</v>
      </c>
      <c r="D50">
        <v>0.9</v>
      </c>
      <c r="E50" s="15">
        <f t="shared" si="0"/>
        <v>9.2827004219410147E-3</v>
      </c>
      <c r="F50" s="15">
        <f t="shared" ref="F50:AF50" si="12">F32-$D50</f>
        <v>4.0599999999999969E-2</v>
      </c>
      <c r="G50" s="15">
        <f t="shared" si="12"/>
        <v>1.0186859553947936E-2</v>
      </c>
      <c r="H50" s="15">
        <f t="shared" si="12"/>
        <v>-2.8130944038440298E-3</v>
      </c>
      <c r="I50" s="15">
        <f t="shared" si="12"/>
        <v>5.2958254079489286E-3</v>
      </c>
      <c r="J50" s="15">
        <f t="shared" si="12"/>
        <v>1.8699999999999939E-2</v>
      </c>
      <c r="K50" s="15">
        <f t="shared" si="12"/>
        <v>1.0399999999999965E-2</v>
      </c>
      <c r="L50" s="15">
        <f t="shared" si="12"/>
        <v>1.8399999999999972E-2</v>
      </c>
      <c r="M50" s="15">
        <f t="shared" si="12"/>
        <v>5.0999999999999934E-3</v>
      </c>
      <c r="N50" s="15">
        <f t="shared" si="12"/>
        <v>-1.9700000000000051E-2</v>
      </c>
      <c r="O50" s="15">
        <f t="shared" si="12"/>
        <v>3.5599999999999965E-2</v>
      </c>
      <c r="P50" s="15">
        <f t="shared" si="12"/>
        <v>9.9999999999988987E-5</v>
      </c>
      <c r="Q50" s="15">
        <f t="shared" si="12"/>
        <v>-7.8000000000000291E-3</v>
      </c>
      <c r="R50" s="15">
        <f t="shared" si="12"/>
        <v>-6.5000000000000613E-3</v>
      </c>
      <c r="S50" s="15">
        <f t="shared" si="12"/>
        <v>-3.9103910391040664E-3</v>
      </c>
      <c r="T50" s="15">
        <f t="shared" si="12"/>
        <v>1.6499999999999959E-2</v>
      </c>
      <c r="U50" s="15">
        <f t="shared" si="12"/>
        <v>1.859999999999995E-2</v>
      </c>
      <c r="V50" s="15">
        <f t="shared" si="12"/>
        <v>3.5599999999999965E-2</v>
      </c>
      <c r="W50" s="15">
        <f t="shared" si="12"/>
        <v>-0.22260000000000002</v>
      </c>
      <c r="X50" s="15">
        <f t="shared" si="12"/>
        <v>1.1806114239742982E-2</v>
      </c>
      <c r="Y50" s="15">
        <f t="shared" si="12"/>
        <v>4.0399999999999991E-2</v>
      </c>
      <c r="Z50" s="15">
        <f t="shared" si="12"/>
        <v>1.1705551086081956E-2</v>
      </c>
      <c r="AA50" s="15">
        <f t="shared" si="12"/>
        <v>1.0287321679727013E-2</v>
      </c>
      <c r="AB50" s="15">
        <f t="shared" si="12"/>
        <v>1.2497488446855942E-2</v>
      </c>
      <c r="AC50" s="15">
        <f t="shared" si="12"/>
        <v>8.8417419551309884E-3</v>
      </c>
      <c r="AD50" s="15">
        <f t="shared" si="12"/>
        <v>3.2086417283456958E-2</v>
      </c>
      <c r="AE50" s="15">
        <f t="shared" si="12"/>
        <v>3.3286657331465963E-2</v>
      </c>
      <c r="AF50" s="15">
        <f t="shared" si="12"/>
        <v>6.6999999999999282E-3</v>
      </c>
    </row>
    <row r="51" spans="1:32" x14ac:dyDescent="0.3">
      <c r="A51" s="53"/>
      <c r="B51" t="s">
        <v>31</v>
      </c>
      <c r="C51">
        <v>100</v>
      </c>
      <c r="D51">
        <v>0.95</v>
      </c>
      <c r="E51" s="15">
        <f t="shared" si="0"/>
        <v>3.2000000000000917E-3</v>
      </c>
      <c r="F51" s="15">
        <f t="shared" ref="F51:AF51" si="13">F33-$D51</f>
        <v>3.2000000000000917E-3</v>
      </c>
      <c r="G51" s="15">
        <f t="shared" si="13"/>
        <v>-1.1999999999999789E-3</v>
      </c>
      <c r="H51" s="15">
        <f t="shared" si="13"/>
        <v>1.0000000000000009E-3</v>
      </c>
      <c r="I51" s="15">
        <f t="shared" si="13"/>
        <v>1.2000000000000899E-3</v>
      </c>
      <c r="J51" s="15">
        <f t="shared" si="13"/>
        <v>1.2121212121209979E-3</v>
      </c>
      <c r="K51" s="15">
        <f t="shared" si="13"/>
        <v>2.2952295229520248E-3</v>
      </c>
      <c r="L51" s="15">
        <f t="shared" si="13"/>
        <v>2.6952695269530924E-3</v>
      </c>
      <c r="M51" s="15">
        <f t="shared" si="13"/>
        <v>3.2000000000000917E-3</v>
      </c>
      <c r="N51" s="15">
        <f t="shared" si="13"/>
        <v>-3.8999999999999035E-3</v>
      </c>
      <c r="O51" s="15">
        <f t="shared" si="13"/>
        <v>1.6199999999999992E-2</v>
      </c>
      <c r="P51" s="15">
        <f t="shared" si="13"/>
        <v>4.0999999999999925E-3</v>
      </c>
      <c r="Q51" s="15">
        <f t="shared" si="13"/>
        <v>2.00000000000089E-4</v>
      </c>
      <c r="R51" s="15">
        <f t="shared" si="13"/>
        <v>8.0000000000002292E-4</v>
      </c>
      <c r="S51" s="15">
        <f t="shared" si="13"/>
        <v>1.485445633690019E-3</v>
      </c>
      <c r="T51" s="15">
        <f t="shared" si="13"/>
        <v>9.300000000000086E-3</v>
      </c>
      <c r="U51" s="15">
        <f t="shared" si="13"/>
        <v>1.0500000000000065E-2</v>
      </c>
      <c r="V51" s="15">
        <f t="shared" si="13"/>
        <v>1.6199999999999992E-2</v>
      </c>
      <c r="W51" s="15">
        <f t="shared" si="13"/>
        <v>-2.1999999999999797E-3</v>
      </c>
      <c r="X51" s="15">
        <f t="shared" si="13"/>
        <v>6.0999999999999943E-3</v>
      </c>
      <c r="Y51" s="15">
        <f t="shared" si="13"/>
        <v>6.0999999999999943E-3</v>
      </c>
      <c r="Z51" s="15">
        <f t="shared" si="13"/>
        <v>1.8000000000000238E-3</v>
      </c>
      <c r="AA51" s="15">
        <f t="shared" si="13"/>
        <v>2.6000000000000467E-3</v>
      </c>
      <c r="AB51" s="15">
        <f t="shared" si="13"/>
        <v>3.6000000000000476E-3</v>
      </c>
      <c r="AC51" s="15">
        <f t="shared" si="13"/>
        <v>4.0564994470690952E-3</v>
      </c>
      <c r="AD51" s="15">
        <f t="shared" si="13"/>
        <v>4.6000000000000485E-3</v>
      </c>
      <c r="AE51" s="15">
        <f t="shared" si="13"/>
        <v>5.2000000000000934E-3</v>
      </c>
      <c r="AF51" s="15">
        <f t="shared" si="13"/>
        <v>6.0999999999999943E-3</v>
      </c>
    </row>
    <row r="52" spans="1:32" x14ac:dyDescent="0.3">
      <c r="A52" s="53"/>
      <c r="B52" t="s">
        <v>31</v>
      </c>
      <c r="C52">
        <v>100</v>
      </c>
      <c r="D52">
        <v>0.9</v>
      </c>
      <c r="E52" s="15">
        <f t="shared" si="0"/>
        <v>-3.5000000000000586E-3</v>
      </c>
      <c r="F52" s="15">
        <f t="shared" ref="F52:AF52" si="14">F34-$D52</f>
        <v>-3.5000000000000586E-3</v>
      </c>
      <c r="G52" s="15">
        <f t="shared" si="14"/>
        <v>-5.7000000000000384E-3</v>
      </c>
      <c r="H52" s="15">
        <f t="shared" si="14"/>
        <v>-7.6000000000000512E-3</v>
      </c>
      <c r="I52" s="15">
        <f t="shared" si="14"/>
        <v>-6.9000000000000172E-3</v>
      </c>
      <c r="J52" s="15">
        <f t="shared" si="14"/>
        <v>-7.474747474747967E-3</v>
      </c>
      <c r="K52" s="15">
        <f t="shared" si="14"/>
        <v>-4.8104810481049975E-3</v>
      </c>
      <c r="L52" s="15">
        <f t="shared" si="14"/>
        <v>-3.610361036104015E-3</v>
      </c>
      <c r="M52" s="15">
        <f t="shared" si="14"/>
        <v>9.000000000000119E-4</v>
      </c>
      <c r="N52" s="15">
        <f t="shared" si="14"/>
        <v>1.5499999999999958E-2</v>
      </c>
      <c r="O52" s="15">
        <f t="shared" si="14"/>
        <v>1.5499999999999958E-2</v>
      </c>
      <c r="P52" s="15">
        <f t="shared" si="14"/>
        <v>5.0000000000000044E-3</v>
      </c>
      <c r="Q52" s="15">
        <f t="shared" si="14"/>
        <v>6.6999999999999282E-3</v>
      </c>
      <c r="R52" s="15">
        <f t="shared" si="14"/>
        <v>7.2999999999999732E-3</v>
      </c>
      <c r="S52" s="15">
        <f t="shared" si="14"/>
        <v>8.6726017805339728E-3</v>
      </c>
      <c r="T52" s="15">
        <f t="shared" si="14"/>
        <v>1.2000000000000011E-2</v>
      </c>
      <c r="U52" s="15">
        <f t="shared" si="14"/>
        <v>1.2499999999999956E-2</v>
      </c>
      <c r="V52" s="15">
        <f t="shared" si="14"/>
        <v>1.5499999999999958E-2</v>
      </c>
      <c r="W52" s="15">
        <f t="shared" si="14"/>
        <v>9.9999999999988987E-5</v>
      </c>
      <c r="X52" s="15">
        <f t="shared" si="14"/>
        <v>4.6999999999999265E-3</v>
      </c>
      <c r="Y52" s="15">
        <f t="shared" si="14"/>
        <v>4.6999999999999265E-3</v>
      </c>
      <c r="Z52" s="15">
        <f t="shared" si="14"/>
        <v>3.6999999999999256E-3</v>
      </c>
      <c r="AA52" s="15">
        <f t="shared" si="14"/>
        <v>1.2999999999999678E-3</v>
      </c>
      <c r="AB52" s="15">
        <f t="shared" si="14"/>
        <v>3.0000000000000027E-3</v>
      </c>
      <c r="AC52" s="15">
        <f t="shared" si="14"/>
        <v>3.4884889916559914E-3</v>
      </c>
      <c r="AD52" s="15">
        <f t="shared" si="14"/>
        <v>4.9000000000000155E-3</v>
      </c>
      <c r="AE52" s="15">
        <f t="shared" si="14"/>
        <v>5.9000000000000163E-3</v>
      </c>
      <c r="AF52" s="15">
        <f t="shared" si="14"/>
        <v>1.0000000000000009E-2</v>
      </c>
    </row>
    <row r="53" spans="1:32" x14ac:dyDescent="0.3">
      <c r="A53" s="53"/>
      <c r="B53" t="s">
        <v>56</v>
      </c>
      <c r="C53">
        <v>100</v>
      </c>
      <c r="D53">
        <v>0.95</v>
      </c>
      <c r="E53" s="15">
        <f t="shared" si="0"/>
        <v>6.7000000000000393E-3</v>
      </c>
      <c r="F53" s="15">
        <f t="shared" ref="F53:AF53" si="15">F35-$D53</f>
        <v>6.7000000000000393E-3</v>
      </c>
      <c r="G53" s="15">
        <f t="shared" si="15"/>
        <v>2.0999999999999908E-3</v>
      </c>
      <c r="H53" s="15">
        <f t="shared" si="15"/>
        <v>2.5952595259530753E-3</v>
      </c>
      <c r="I53" s="15">
        <f t="shared" si="15"/>
        <v>3.4953495349540065E-3</v>
      </c>
      <c r="J53" s="15">
        <f t="shared" si="15"/>
        <v>4.3668782109400617E-3</v>
      </c>
      <c r="K53" s="15">
        <f t="shared" si="15"/>
        <v>5.7000000000000384E-3</v>
      </c>
      <c r="L53" s="15">
        <f t="shared" si="15"/>
        <v>6.4000000000000723E-3</v>
      </c>
      <c r="M53" s="15">
        <f t="shared" si="15"/>
        <v>6.7000000000000393E-3</v>
      </c>
      <c r="N53" s="15">
        <f t="shared" si="15"/>
        <v>-6.0000000000000053E-3</v>
      </c>
      <c r="O53" s="15">
        <f t="shared" si="15"/>
        <v>1.5100000000000002E-2</v>
      </c>
      <c r="P53" s="15">
        <f t="shared" si="15"/>
        <v>6.0000000000004494E-4</v>
      </c>
      <c r="Q53" s="15">
        <f t="shared" si="15"/>
        <v>-3.0999999999999917E-3</v>
      </c>
      <c r="R53" s="15">
        <f t="shared" si="15"/>
        <v>-2.6999999999999247E-3</v>
      </c>
      <c r="S53" s="15">
        <f t="shared" si="15"/>
        <v>-2.5630756908289198E-3</v>
      </c>
      <c r="T53" s="15">
        <f t="shared" si="15"/>
        <v>7.8000000000000291E-3</v>
      </c>
      <c r="U53" s="15">
        <f t="shared" si="15"/>
        <v>8.900000000000019E-3</v>
      </c>
      <c r="V53" s="15">
        <f t="shared" si="15"/>
        <v>1.5100000000000002E-2</v>
      </c>
      <c r="W53" s="15">
        <f t="shared" si="15"/>
        <v>-0.21729999999999994</v>
      </c>
      <c r="X53" s="15">
        <f t="shared" si="15"/>
        <v>5.2000000000000934E-3</v>
      </c>
      <c r="Y53" s="15">
        <f t="shared" si="15"/>
        <v>5.2000000000000934E-3</v>
      </c>
      <c r="Z53" s="15">
        <f t="shared" si="15"/>
        <v>9.9999999999988987E-5</v>
      </c>
      <c r="AA53" s="15">
        <f t="shared" si="15"/>
        <v>4.7909581916379951E-3</v>
      </c>
      <c r="AB53" s="15">
        <f t="shared" si="15"/>
        <v>4.9909981996399955E-3</v>
      </c>
      <c r="AC53" s="15">
        <f t="shared" si="15"/>
        <v>4.5683997980819901E-3</v>
      </c>
      <c r="AD53" s="15">
        <f t="shared" si="15"/>
        <v>5.0955095509550574E-3</v>
      </c>
      <c r="AE53" s="15">
        <f t="shared" si="15"/>
        <v>5.1955195519550745E-3</v>
      </c>
      <c r="AF53" s="15">
        <f t="shared" si="15"/>
        <v>5.2000000000000934E-3</v>
      </c>
    </row>
    <row r="54" spans="1:32" x14ac:dyDescent="0.3">
      <c r="A54" s="53"/>
      <c r="B54" t="s">
        <v>56</v>
      </c>
      <c r="C54">
        <v>100</v>
      </c>
      <c r="D54">
        <v>0.9</v>
      </c>
      <c r="E54" s="15">
        <f t="shared" si="0"/>
        <v>2.1999999999999797E-3</v>
      </c>
      <c r="F54" s="15">
        <f t="shared" ref="F54:AF54" si="16">F36-$D54</f>
        <v>2.1999999999999797E-3</v>
      </c>
      <c r="G54" s="15">
        <f t="shared" si="16"/>
        <v>0</v>
      </c>
      <c r="H54" s="15">
        <f t="shared" si="16"/>
        <v>-2.110211021101982E-3</v>
      </c>
      <c r="I54" s="15">
        <f t="shared" si="16"/>
        <v>-5.1005100510004286E-4</v>
      </c>
      <c r="J54" s="15">
        <f t="shared" si="16"/>
        <v>7.0514757731010569E-5</v>
      </c>
      <c r="K54" s="15">
        <f t="shared" si="16"/>
        <v>1.5999999999999348E-3</v>
      </c>
      <c r="L54" s="15">
        <f t="shared" si="16"/>
        <v>3.2999999999999696E-3</v>
      </c>
      <c r="M54" s="15">
        <f t="shared" si="16"/>
        <v>4.5999999999999375E-3</v>
      </c>
      <c r="N54" s="15">
        <f t="shared" si="16"/>
        <v>1.3000000000000012E-2</v>
      </c>
      <c r="O54" s="15">
        <f t="shared" si="16"/>
        <v>1.3000000000000012E-2</v>
      </c>
      <c r="P54" s="15">
        <f t="shared" si="16"/>
        <v>2.8000000000000247E-3</v>
      </c>
      <c r="Q54" s="15">
        <f t="shared" si="16"/>
        <v>8.0999999999999961E-3</v>
      </c>
      <c r="R54" s="15">
        <f t="shared" si="16"/>
        <v>8.3999999999999631E-3</v>
      </c>
      <c r="S54" s="15">
        <f t="shared" si="16"/>
        <v>8.3900680816979545E-3</v>
      </c>
      <c r="T54" s="15">
        <f t="shared" si="16"/>
        <v>1.100000000000001E-2</v>
      </c>
      <c r="U54" s="15">
        <f t="shared" si="16"/>
        <v>1.1199999999999988E-2</v>
      </c>
      <c r="V54" s="15">
        <f t="shared" si="16"/>
        <v>1.3000000000000012E-2</v>
      </c>
      <c r="W54" s="15">
        <f t="shared" si="16"/>
        <v>-0.28320000000000001</v>
      </c>
      <c r="X54" s="15">
        <f t="shared" si="16"/>
        <v>5.9999999999993392E-4</v>
      </c>
      <c r="Y54" s="15">
        <f t="shared" si="16"/>
        <v>5.9999999999993392E-4</v>
      </c>
      <c r="Z54" s="15">
        <f t="shared" si="16"/>
        <v>-5.0000000000005596E-4</v>
      </c>
      <c r="AA54" s="15">
        <f t="shared" si="16"/>
        <v>-7.2014402880604678E-4</v>
      </c>
      <c r="AB54" s="15">
        <f t="shared" si="16"/>
        <v>-2.20044008802045E-4</v>
      </c>
      <c r="AC54" s="15">
        <f t="shared" si="16"/>
        <v>-9.5911155981798224E-4</v>
      </c>
      <c r="AD54" s="15">
        <f t="shared" si="16"/>
        <v>3.9003900390000013E-4</v>
      </c>
      <c r="AE54" s="15">
        <f t="shared" si="16"/>
        <v>5.9005900590092253E-4</v>
      </c>
      <c r="AF54" s="15">
        <f t="shared" si="16"/>
        <v>1.2999999999999678E-3</v>
      </c>
    </row>
    <row r="55" spans="1:32" x14ac:dyDescent="0.3">
      <c r="A55" s="53"/>
      <c r="B55" t="s">
        <v>57</v>
      </c>
      <c r="C55">
        <v>100</v>
      </c>
      <c r="D55">
        <v>0.95</v>
      </c>
      <c r="E55" s="15">
        <f t="shared" si="0"/>
        <v>3.9000000000000146E-3</v>
      </c>
      <c r="F55" s="15">
        <f t="shared" ref="F55:AF55" si="17">F37-$D55</f>
        <v>3.9000000000000146E-3</v>
      </c>
      <c r="G55" s="15">
        <f t="shared" si="17"/>
        <v>2.00000000000089E-4</v>
      </c>
      <c r="H55" s="15">
        <f t="shared" si="17"/>
        <v>-1.7999999999999128E-3</v>
      </c>
      <c r="I55" s="15">
        <f t="shared" si="17"/>
        <v>6.0000000000004494E-4</v>
      </c>
      <c r="J55" s="15">
        <f t="shared" si="17"/>
        <v>4.2000000000000925E-3</v>
      </c>
      <c r="K55" s="15">
        <f t="shared" si="17"/>
        <v>2.0000000000000018E-3</v>
      </c>
      <c r="L55" s="15">
        <f t="shared" si="17"/>
        <v>4.0000000000000036E-3</v>
      </c>
      <c r="M55" s="15">
        <f t="shared" si="17"/>
        <v>3.9000000000000146E-3</v>
      </c>
      <c r="N55" s="15">
        <f t="shared" si="17"/>
        <v>-4.4999999999999485E-3</v>
      </c>
      <c r="O55" s="15">
        <f t="shared" si="17"/>
        <v>1.2800000000000034E-2</v>
      </c>
      <c r="P55" s="15">
        <f t="shared" si="17"/>
        <v>1.0999999999999899E-3</v>
      </c>
      <c r="Q55" s="15">
        <f t="shared" si="17"/>
        <v>-1.1999999999999789E-3</v>
      </c>
      <c r="R55" s="15">
        <f t="shared" si="17"/>
        <v>-5.9999999999993392E-4</v>
      </c>
      <c r="S55" s="15">
        <f t="shared" si="17"/>
        <v>-9.9999999999988987E-5</v>
      </c>
      <c r="T55" s="15">
        <f t="shared" si="17"/>
        <v>6.2000000000000943E-3</v>
      </c>
      <c r="U55" s="15">
        <f t="shared" si="17"/>
        <v>6.9000000000000172E-3</v>
      </c>
      <c r="V55" s="15">
        <f t="shared" si="17"/>
        <v>1.2800000000000034E-2</v>
      </c>
      <c r="W55" s="15">
        <f t="shared" si="17"/>
        <v>-0.33189999999999997</v>
      </c>
      <c r="X55" s="15">
        <f t="shared" si="17"/>
        <v>9.5000000000000639E-3</v>
      </c>
      <c r="Y55" s="15">
        <f t="shared" si="17"/>
        <v>9.5000000000000639E-3</v>
      </c>
      <c r="Z55" s="15">
        <f t="shared" si="17"/>
        <v>5.7000000000000384E-3</v>
      </c>
      <c r="AA55" s="15">
        <f t="shared" si="17"/>
        <v>7.9957995799579962E-3</v>
      </c>
      <c r="AB55" s="15">
        <f t="shared" si="17"/>
        <v>8.3958395839580646E-3</v>
      </c>
      <c r="AC55" s="15">
        <f t="shared" si="17"/>
        <v>8.2619215646740907E-3</v>
      </c>
      <c r="AD55" s="15">
        <f t="shared" si="17"/>
        <v>9.0918183636730099E-3</v>
      </c>
      <c r="AE55" s="15">
        <f t="shared" si="17"/>
        <v>9.2918583716740111E-3</v>
      </c>
      <c r="AF55" s="15">
        <f t="shared" si="17"/>
        <v>9.5000000000000639E-3</v>
      </c>
    </row>
    <row r="56" spans="1:32" ht="15" thickBot="1" x14ac:dyDescent="0.35">
      <c r="A56" s="53"/>
      <c r="B56" t="s">
        <v>57</v>
      </c>
      <c r="C56">
        <v>100</v>
      </c>
      <c r="D56">
        <v>0.9</v>
      </c>
      <c r="E56" s="15">
        <f t="shared" si="0"/>
        <v>-7.0000000000003393E-4</v>
      </c>
      <c r="F56" s="15">
        <f t="shared" ref="F56:AF56" si="18">F38-$D56</f>
        <v>-7.0000000000003393E-4</v>
      </c>
      <c r="G56" s="15">
        <f t="shared" si="18"/>
        <v>-2.5000000000000577E-3</v>
      </c>
      <c r="H56" s="15">
        <f t="shared" si="18"/>
        <v>-9.000000000000008E-3</v>
      </c>
      <c r="I56" s="15">
        <f t="shared" si="18"/>
        <v>-5.8000000000000274E-3</v>
      </c>
      <c r="J56" s="15">
        <f t="shared" si="18"/>
        <v>1.9000000000000128E-3</v>
      </c>
      <c r="K56" s="15">
        <f t="shared" si="18"/>
        <v>-2.0999999999999908E-3</v>
      </c>
      <c r="L56" s="15">
        <f t="shared" si="18"/>
        <v>2.1999999999999797E-3</v>
      </c>
      <c r="M56" s="15">
        <f t="shared" si="18"/>
        <v>1.0999999999999899E-3</v>
      </c>
      <c r="N56" s="15">
        <f t="shared" si="18"/>
        <v>1.3799999999999923E-2</v>
      </c>
      <c r="O56" s="15">
        <f t="shared" si="18"/>
        <v>1.3799999999999923E-2</v>
      </c>
      <c r="P56" s="15">
        <f t="shared" si="18"/>
        <v>3.3999999999999586E-3</v>
      </c>
      <c r="Q56" s="15">
        <f t="shared" si="18"/>
        <v>4.9000000000000155E-3</v>
      </c>
      <c r="R56" s="15">
        <f t="shared" si="18"/>
        <v>5.3999999999999604E-3</v>
      </c>
      <c r="S56" s="15">
        <f t="shared" si="18"/>
        <v>7.1999999999999842E-3</v>
      </c>
      <c r="T56" s="15">
        <f t="shared" si="18"/>
        <v>1.0699999999999932E-2</v>
      </c>
      <c r="U56" s="15">
        <f t="shared" si="18"/>
        <v>1.1299999999999977E-2</v>
      </c>
      <c r="V56" s="15">
        <f t="shared" si="18"/>
        <v>1.3799999999999923E-2</v>
      </c>
      <c r="W56" s="15">
        <f t="shared" si="18"/>
        <v>-0.40770000000000001</v>
      </c>
      <c r="X56" s="15">
        <f t="shared" si="18"/>
        <v>4.4999999999999485E-3</v>
      </c>
      <c r="Y56" s="15">
        <f t="shared" si="18"/>
        <v>4.4999999999999485E-3</v>
      </c>
      <c r="Z56" s="15">
        <f t="shared" si="18"/>
        <v>4.1999999999999815E-3</v>
      </c>
      <c r="AA56" s="15">
        <f t="shared" si="18"/>
        <v>2.0902090209019564E-3</v>
      </c>
      <c r="AB56" s="15">
        <f t="shared" si="18"/>
        <v>2.7902790279029643E-3</v>
      </c>
      <c r="AC56" s="15">
        <f t="shared" si="18"/>
        <v>2.4095170884159689E-3</v>
      </c>
      <c r="AD56" s="15">
        <f t="shared" si="18"/>
        <v>4.1808361672329708E-3</v>
      </c>
      <c r="AE56" s="15">
        <f t="shared" si="18"/>
        <v>5.1810362072409744E-3</v>
      </c>
      <c r="AF56" s="15">
        <f t="shared" si="18"/>
        <v>8.0000000000000071E-3</v>
      </c>
    </row>
    <row r="57" spans="1:32" x14ac:dyDescent="0.3">
      <c r="A57" s="54" t="s">
        <v>186</v>
      </c>
      <c r="B57" s="16" t="s">
        <v>31</v>
      </c>
      <c r="C57" s="16">
        <v>20</v>
      </c>
      <c r="D57" s="16">
        <v>0.95</v>
      </c>
      <c r="E57" s="17">
        <f>E21-E3/10000</f>
        <v>0.86583830539400197</v>
      </c>
      <c r="F57" s="17">
        <f t="shared" ref="F57:AF57" si="19">F21-F3/10000</f>
        <v>0.86719999999999997</v>
      </c>
      <c r="G57" s="17">
        <f t="shared" si="19"/>
        <v>0.85739948682860101</v>
      </c>
      <c r="H57" s="17">
        <f t="shared" si="19"/>
        <v>0.85817063895644496</v>
      </c>
      <c r="I57" s="17">
        <f t="shared" si="19"/>
        <v>0.86071319920406797</v>
      </c>
      <c r="J57" s="17">
        <f t="shared" si="19"/>
        <v>0.88165282730514505</v>
      </c>
      <c r="K57" s="17">
        <f t="shared" si="19"/>
        <v>0.869874014802961</v>
      </c>
      <c r="L57" s="17">
        <f t="shared" si="19"/>
        <v>0.87127429485897201</v>
      </c>
      <c r="M57" s="17">
        <f t="shared" si="19"/>
        <v>0.95889999999999997</v>
      </c>
      <c r="N57" s="17">
        <f t="shared" si="19"/>
        <v>0.95609999999999995</v>
      </c>
      <c r="O57" s="17">
        <f t="shared" si="19"/>
        <v>0.95609999999999995</v>
      </c>
      <c r="P57" s="17">
        <f t="shared" si="19"/>
        <v>0.94969999999999999</v>
      </c>
      <c r="Q57" s="17">
        <f t="shared" si="19"/>
        <v>0.94879999999999998</v>
      </c>
      <c r="R57" s="17">
        <f t="shared" si="19"/>
        <v>0.94979999999999998</v>
      </c>
      <c r="S57" s="17">
        <f t="shared" si="19"/>
        <v>0.95297673836918506</v>
      </c>
      <c r="T57" s="17">
        <f t="shared" si="19"/>
        <v>0.95920000000000005</v>
      </c>
      <c r="U57" s="17">
        <f t="shared" si="19"/>
        <v>0.96079999999999999</v>
      </c>
      <c r="V57" s="17">
        <f t="shared" si="19"/>
        <v>0.95609999999999995</v>
      </c>
      <c r="W57" s="17">
        <f t="shared" si="19"/>
        <v>0.95430000000000004</v>
      </c>
      <c r="X57" s="17">
        <f t="shared" si="19"/>
        <v>0.86789875198547795</v>
      </c>
      <c r="Y57" s="17">
        <f t="shared" si="19"/>
        <v>0.86950000000000005</v>
      </c>
      <c r="Z57" s="17">
        <f t="shared" si="19"/>
        <v>0.86029720898570494</v>
      </c>
      <c r="AA57" s="17">
        <f t="shared" si="19"/>
        <v>0.85886699328415694</v>
      </c>
      <c r="AB57" s="17">
        <f t="shared" si="19"/>
        <v>0.86139919630078199</v>
      </c>
      <c r="AC57" s="17">
        <f t="shared" si="19"/>
        <v>0.88998052507435099</v>
      </c>
      <c r="AD57" s="17">
        <f t="shared" si="19"/>
        <v>0.87119999999999997</v>
      </c>
      <c r="AE57" s="17">
        <f t="shared" si="19"/>
        <v>0.87280000000000002</v>
      </c>
      <c r="AF57" s="21">
        <f t="shared" si="19"/>
        <v>0.9526</v>
      </c>
    </row>
    <row r="58" spans="1:32" x14ac:dyDescent="0.3">
      <c r="A58" s="51"/>
      <c r="B58" t="s">
        <v>31</v>
      </c>
      <c r="C58">
        <v>20</v>
      </c>
      <c r="D58">
        <v>0.9</v>
      </c>
      <c r="E58" s="15">
        <f t="shared" ref="E58:AF58" si="20">E22-E4/10000</f>
        <v>0.830030345535409</v>
      </c>
      <c r="F58" s="15">
        <f t="shared" si="20"/>
        <v>0.83579999999999999</v>
      </c>
      <c r="G58" s="15">
        <f t="shared" si="20"/>
        <v>0.83242514539856305</v>
      </c>
      <c r="H58" s="15">
        <f t="shared" si="20"/>
        <v>0.82069551182843192</v>
      </c>
      <c r="I58" s="15">
        <f t="shared" si="20"/>
        <v>0.82412244085783792</v>
      </c>
      <c r="J58" s="15">
        <f t="shared" si="20"/>
        <v>0.83427636271013805</v>
      </c>
      <c r="K58" s="15">
        <f t="shared" si="20"/>
        <v>0.84306865373074602</v>
      </c>
      <c r="L58" s="15">
        <f t="shared" si="20"/>
        <v>0.84796963392678504</v>
      </c>
      <c r="M58" s="15">
        <f t="shared" si="20"/>
        <v>0.95889999999999997</v>
      </c>
      <c r="N58" s="15">
        <f t="shared" si="20"/>
        <v>0.88900000000000001</v>
      </c>
      <c r="O58" s="15">
        <f t="shared" si="20"/>
        <v>0.88900000000000001</v>
      </c>
      <c r="P58" s="15">
        <f t="shared" si="20"/>
        <v>0.90720000000000001</v>
      </c>
      <c r="Q58" s="15">
        <f t="shared" si="20"/>
        <v>0.89429999999999998</v>
      </c>
      <c r="R58" s="15">
        <f t="shared" si="20"/>
        <v>0.89670000000000005</v>
      </c>
      <c r="S58" s="15">
        <f t="shared" si="20"/>
        <v>0.9024514757378691</v>
      </c>
      <c r="T58" s="15">
        <f t="shared" si="20"/>
        <v>0.91790000000000005</v>
      </c>
      <c r="U58" s="15">
        <f t="shared" si="20"/>
        <v>0.92789999999999995</v>
      </c>
      <c r="V58" s="15">
        <f t="shared" si="20"/>
        <v>0.95609999999999995</v>
      </c>
      <c r="W58" s="15">
        <f t="shared" si="20"/>
        <v>0.90639999999999998</v>
      </c>
      <c r="X58" s="15">
        <f t="shared" si="20"/>
        <v>0.82762191967324694</v>
      </c>
      <c r="Y58" s="15">
        <f t="shared" si="20"/>
        <v>0.83399999999999996</v>
      </c>
      <c r="Z58" s="15">
        <f t="shared" si="20"/>
        <v>0.829664125255276</v>
      </c>
      <c r="AA58" s="15">
        <f t="shared" si="20"/>
        <v>0.82088394803479003</v>
      </c>
      <c r="AB58" s="15">
        <f t="shared" si="20"/>
        <v>0.82341615105141497</v>
      </c>
      <c r="AC58" s="15">
        <f t="shared" si="20"/>
        <v>0.84085735821967</v>
      </c>
      <c r="AD58" s="15">
        <f t="shared" si="20"/>
        <v>0.84119999999999995</v>
      </c>
      <c r="AE58" s="15">
        <f t="shared" si="20"/>
        <v>0.84809999999999997</v>
      </c>
      <c r="AF58" s="23">
        <f t="shared" si="20"/>
        <v>0.9526</v>
      </c>
    </row>
    <row r="59" spans="1:32" x14ac:dyDescent="0.3">
      <c r="A59" s="51"/>
      <c r="B59" t="s">
        <v>56</v>
      </c>
      <c r="C59">
        <v>20</v>
      </c>
      <c r="D59">
        <v>0.95</v>
      </c>
      <c r="E59" s="15">
        <f t="shared" ref="E59:AF59" si="21">E23-E5/10000</f>
        <v>0.87036342624065299</v>
      </c>
      <c r="F59" s="15">
        <f t="shared" si="21"/>
        <v>0.87180000000000002</v>
      </c>
      <c r="G59" s="15">
        <f t="shared" si="21"/>
        <v>0.86345202809879895</v>
      </c>
      <c r="H59" s="15">
        <f t="shared" si="21"/>
        <v>0.86114103237095396</v>
      </c>
      <c r="I59" s="15">
        <f t="shared" si="21"/>
        <v>0.86485931758530199</v>
      </c>
      <c r="J59" s="15">
        <f t="shared" si="21"/>
        <v>0.90156305269533599</v>
      </c>
      <c r="K59" s="15">
        <f t="shared" si="21"/>
        <v>0.87618762876287604</v>
      </c>
      <c r="L59" s="15">
        <f t="shared" si="21"/>
        <v>0.87778778877887798</v>
      </c>
      <c r="M59" s="15">
        <f t="shared" si="21"/>
        <v>0.95709999999999995</v>
      </c>
      <c r="N59" s="15">
        <f t="shared" si="21"/>
        <v>0.95640000000000003</v>
      </c>
      <c r="O59" s="15">
        <f t="shared" si="21"/>
        <v>0.95640000000000003</v>
      </c>
      <c r="P59" s="15">
        <f t="shared" si="21"/>
        <v>0.94930000000000003</v>
      </c>
      <c r="Q59" s="15">
        <f t="shared" si="21"/>
        <v>0.95140000000000002</v>
      </c>
      <c r="R59" s="15">
        <f t="shared" si="21"/>
        <v>0.95199999999999996</v>
      </c>
      <c r="S59" s="15">
        <f t="shared" si="21"/>
        <v>0.95025977933801398</v>
      </c>
      <c r="T59" s="15">
        <f t="shared" si="21"/>
        <v>0.95760000000000001</v>
      </c>
      <c r="U59" s="15">
        <f t="shared" si="21"/>
        <v>0.9587</v>
      </c>
      <c r="V59" s="15">
        <f t="shared" si="21"/>
        <v>0.95640000000000003</v>
      </c>
      <c r="W59" s="15">
        <f t="shared" si="21"/>
        <v>0.91539999999999999</v>
      </c>
      <c r="X59" s="15">
        <f t="shared" si="21"/>
        <v>0.86341854976627497</v>
      </c>
      <c r="Y59" s="15">
        <f t="shared" si="21"/>
        <v>0.86509999999999998</v>
      </c>
      <c r="Z59" s="15">
        <f t="shared" si="21"/>
        <v>0.85475363128491599</v>
      </c>
      <c r="AA59" s="15">
        <f t="shared" si="21"/>
        <v>0.86079946838592902</v>
      </c>
      <c r="AB59" s="15">
        <f t="shared" si="21"/>
        <v>0.86204367153036998</v>
      </c>
      <c r="AC59" s="15">
        <f t="shared" si="21"/>
        <v>0.85238176672955301</v>
      </c>
      <c r="AD59" s="15">
        <f t="shared" si="21"/>
        <v>0.865733116558279</v>
      </c>
      <c r="AE59" s="15">
        <f t="shared" si="21"/>
        <v>0.86623336668334205</v>
      </c>
      <c r="AF59" s="23">
        <f t="shared" si="21"/>
        <v>0.95409999999999995</v>
      </c>
    </row>
    <row r="60" spans="1:32" x14ac:dyDescent="0.3">
      <c r="A60" s="51"/>
      <c r="B60" t="s">
        <v>56</v>
      </c>
      <c r="C60">
        <v>20</v>
      </c>
      <c r="D60">
        <v>0.9</v>
      </c>
      <c r="E60" s="15">
        <f t="shared" ref="E60:AF60" si="22">E24-E6/10000</f>
        <v>0.83399360978925907</v>
      </c>
      <c r="F60" s="15">
        <f t="shared" si="22"/>
        <v>0.8397</v>
      </c>
      <c r="G60" s="15">
        <f t="shared" si="22"/>
        <v>0.83614634035803292</v>
      </c>
      <c r="H60" s="15">
        <f t="shared" si="22"/>
        <v>0.82559860017497799</v>
      </c>
      <c r="I60" s="15">
        <f t="shared" si="22"/>
        <v>0.83008241469816302</v>
      </c>
      <c r="J60" s="15">
        <f t="shared" si="22"/>
        <v>0.85411706036745405</v>
      </c>
      <c r="K60" s="15">
        <f t="shared" si="22"/>
        <v>0.84898490849084907</v>
      </c>
      <c r="L60" s="15">
        <f t="shared" si="22"/>
        <v>0.853185328532853</v>
      </c>
      <c r="M60" s="15">
        <f t="shared" si="22"/>
        <v>0.95709999999999995</v>
      </c>
      <c r="N60" s="15">
        <f t="shared" si="22"/>
        <v>0.87880000000000003</v>
      </c>
      <c r="O60" s="15">
        <f t="shared" si="22"/>
        <v>0.87880000000000003</v>
      </c>
      <c r="P60" s="15">
        <f t="shared" si="22"/>
        <v>0.89870000000000005</v>
      </c>
      <c r="Q60" s="15">
        <f t="shared" si="22"/>
        <v>0.88139999999999996</v>
      </c>
      <c r="R60" s="15">
        <f t="shared" si="22"/>
        <v>0.88360000000000005</v>
      </c>
      <c r="S60" s="15">
        <f t="shared" si="22"/>
        <v>0.88215546639919795</v>
      </c>
      <c r="T60" s="15">
        <f t="shared" si="22"/>
        <v>0.90139999999999998</v>
      </c>
      <c r="U60" s="15">
        <f t="shared" si="22"/>
        <v>0.91410000000000002</v>
      </c>
      <c r="V60" s="15">
        <f t="shared" si="22"/>
        <v>0.95640000000000003</v>
      </c>
      <c r="W60" s="15">
        <f t="shared" si="22"/>
        <v>0.8448</v>
      </c>
      <c r="X60" s="15">
        <f t="shared" si="22"/>
        <v>0.82476845285600298</v>
      </c>
      <c r="Y60" s="15">
        <f t="shared" si="22"/>
        <v>0.83120000000000005</v>
      </c>
      <c r="Z60" s="15">
        <f t="shared" si="22"/>
        <v>0.82670665830577994</v>
      </c>
      <c r="AA60" s="15">
        <f t="shared" si="22"/>
        <v>0.82200295215473396</v>
      </c>
      <c r="AB60" s="15">
        <f t="shared" si="22"/>
        <v>0.822794717792105</v>
      </c>
      <c r="AC60" s="15">
        <f t="shared" si="22"/>
        <v>0.80987816002663404</v>
      </c>
      <c r="AD60" s="15">
        <f t="shared" si="22"/>
        <v>0.83301675837919009</v>
      </c>
      <c r="AE60" s="15">
        <f t="shared" si="22"/>
        <v>0.834317408704352</v>
      </c>
      <c r="AF60" s="23">
        <f t="shared" si="22"/>
        <v>0.95409999999999995</v>
      </c>
    </row>
    <row r="61" spans="1:32" x14ac:dyDescent="0.3">
      <c r="A61" s="51"/>
      <c r="B61" t="s">
        <v>57</v>
      </c>
      <c r="C61">
        <v>20</v>
      </c>
      <c r="D61">
        <v>0.95</v>
      </c>
      <c r="E61" s="15">
        <f t="shared" ref="E61:AF61" si="23">E25-E7/10000</f>
        <v>0.86601702610669695</v>
      </c>
      <c r="F61" s="15">
        <f t="shared" si="23"/>
        <v>0.86780000000000002</v>
      </c>
      <c r="G61" s="15">
        <f t="shared" si="23"/>
        <v>0.861136208853575</v>
      </c>
      <c r="H61" s="15">
        <f t="shared" si="23"/>
        <v>0.87187800601722198</v>
      </c>
      <c r="I61" s="15">
        <f t="shared" si="23"/>
        <v>0.87799897292250195</v>
      </c>
      <c r="J61" s="15">
        <f t="shared" si="23"/>
        <v>0.97099999999999997</v>
      </c>
      <c r="K61" s="15">
        <f t="shared" si="23"/>
        <v>0.89400000000000002</v>
      </c>
      <c r="L61" s="15">
        <f t="shared" si="23"/>
        <v>0.89680000000000004</v>
      </c>
      <c r="M61" s="15">
        <f t="shared" si="23"/>
        <v>0.95669999999999999</v>
      </c>
      <c r="N61" s="15">
        <f t="shared" si="23"/>
        <v>0.96020000000000005</v>
      </c>
      <c r="O61" s="15">
        <f t="shared" si="23"/>
        <v>0.96020000000000005</v>
      </c>
      <c r="P61" s="15">
        <f t="shared" si="23"/>
        <v>0.95340000000000003</v>
      </c>
      <c r="Q61" s="15">
        <f t="shared" si="23"/>
        <v>0.94979999999999998</v>
      </c>
      <c r="R61" s="15">
        <f t="shared" si="23"/>
        <v>0.95169999999999999</v>
      </c>
      <c r="S61" s="15">
        <f t="shared" si="23"/>
        <v>0.95669999999999999</v>
      </c>
      <c r="T61" s="15">
        <f t="shared" si="23"/>
        <v>0.96340000000000003</v>
      </c>
      <c r="U61" s="15">
        <f t="shared" si="23"/>
        <v>0.96460000000000001</v>
      </c>
      <c r="V61" s="15">
        <f t="shared" si="23"/>
        <v>0.96020000000000005</v>
      </c>
      <c r="W61" s="15">
        <f t="shared" si="23"/>
        <v>0.90149999999999997</v>
      </c>
      <c r="X61" s="15">
        <f t="shared" si="23"/>
        <v>0.86433257403189101</v>
      </c>
      <c r="Y61" s="15">
        <f t="shared" si="23"/>
        <v>0.86599999999999999</v>
      </c>
      <c r="Z61" s="15">
        <f t="shared" si="23"/>
        <v>0.85544874715261998</v>
      </c>
      <c r="AA61" s="15">
        <f t="shared" si="23"/>
        <v>0.85751916797137095</v>
      </c>
      <c r="AB61" s="15">
        <f t="shared" si="23"/>
        <v>0.859532140460747</v>
      </c>
      <c r="AC61" s="15">
        <f t="shared" si="23"/>
        <v>0.86547082228116701</v>
      </c>
      <c r="AD61" s="15">
        <f t="shared" si="23"/>
        <v>0.86647333466693299</v>
      </c>
      <c r="AE61" s="15">
        <f t="shared" si="23"/>
        <v>0.867473534706941</v>
      </c>
      <c r="AF61" s="23">
        <f t="shared" si="23"/>
        <v>0.95409999999999995</v>
      </c>
    </row>
    <row r="62" spans="1:32" x14ac:dyDescent="0.3">
      <c r="A62" s="51"/>
      <c r="B62" t="s">
        <v>57</v>
      </c>
      <c r="C62">
        <v>20</v>
      </c>
      <c r="D62">
        <v>0.9</v>
      </c>
      <c r="E62" s="15">
        <f t="shared" ref="E62:AF62" si="24">E26-E8/10000</f>
        <v>0.83185130533484697</v>
      </c>
      <c r="F62" s="15">
        <f t="shared" si="24"/>
        <v>0.8377</v>
      </c>
      <c r="G62" s="15">
        <f t="shared" si="24"/>
        <v>0.83389443813847897</v>
      </c>
      <c r="H62" s="15">
        <f t="shared" si="24"/>
        <v>0.83618965660338196</v>
      </c>
      <c r="I62" s="15">
        <f t="shared" si="24"/>
        <v>0.84324433032472201</v>
      </c>
      <c r="J62" s="15">
        <f t="shared" si="24"/>
        <v>0.92520000000000002</v>
      </c>
      <c r="K62" s="15">
        <f t="shared" si="24"/>
        <v>0.86209999999999998</v>
      </c>
      <c r="L62" s="15">
        <f t="shared" si="24"/>
        <v>0.86709999999999998</v>
      </c>
      <c r="M62" s="15">
        <f t="shared" si="24"/>
        <v>0.95669999999999999</v>
      </c>
      <c r="N62" s="15">
        <f t="shared" si="24"/>
        <v>0.88839999999999997</v>
      </c>
      <c r="O62" s="15">
        <f t="shared" si="24"/>
        <v>0.88839999999999997</v>
      </c>
      <c r="P62" s="15">
        <f t="shared" si="24"/>
        <v>0.90569999999999995</v>
      </c>
      <c r="Q62" s="15">
        <f t="shared" si="24"/>
        <v>0.89380000000000004</v>
      </c>
      <c r="R62" s="15">
        <f t="shared" si="24"/>
        <v>0.89629999999999999</v>
      </c>
      <c r="S62" s="15">
        <f t="shared" si="24"/>
        <v>0.90439999999999998</v>
      </c>
      <c r="T62" s="15">
        <f t="shared" si="24"/>
        <v>0.92259999999999998</v>
      </c>
      <c r="U62" s="15">
        <f t="shared" si="24"/>
        <v>0.93259999999999998</v>
      </c>
      <c r="V62" s="15">
        <f t="shared" si="24"/>
        <v>0.96020000000000005</v>
      </c>
      <c r="W62" s="15">
        <f t="shared" si="24"/>
        <v>0.82289999999999996</v>
      </c>
      <c r="X62" s="15">
        <f t="shared" si="24"/>
        <v>0.82572209567198196</v>
      </c>
      <c r="Y62" s="15">
        <f t="shared" si="24"/>
        <v>0.83209999999999995</v>
      </c>
      <c r="Z62" s="15">
        <f t="shared" si="24"/>
        <v>0.82754441913439603</v>
      </c>
      <c r="AA62" s="15">
        <f t="shared" si="24"/>
        <v>0.82005551330798498</v>
      </c>
      <c r="AB62" s="15">
        <f t="shared" si="24"/>
        <v>0.82184482218743005</v>
      </c>
      <c r="AC62" s="15">
        <f t="shared" si="24"/>
        <v>0.81846816976127301</v>
      </c>
      <c r="AD62" s="15">
        <f t="shared" si="24"/>
        <v>0.836867413482697</v>
      </c>
      <c r="AE62" s="15">
        <f t="shared" si="24"/>
        <v>0.84016807361472301</v>
      </c>
      <c r="AF62" s="23">
        <f t="shared" si="24"/>
        <v>0.95409999999999995</v>
      </c>
    </row>
    <row r="63" spans="1:32" x14ac:dyDescent="0.3">
      <c r="A63" s="51"/>
      <c r="B63" t="s">
        <v>31</v>
      </c>
      <c r="C63">
        <v>50</v>
      </c>
      <c r="D63">
        <v>0.95</v>
      </c>
      <c r="E63" s="15">
        <f t="shared" ref="E63:AF63" si="25">E27-E9/10000</f>
        <v>0.938989702333065</v>
      </c>
      <c r="F63" s="15">
        <f t="shared" si="25"/>
        <v>0.93930000000000002</v>
      </c>
      <c r="G63" s="15">
        <f t="shared" si="25"/>
        <v>0.95065502815768299</v>
      </c>
      <c r="H63" s="15">
        <f t="shared" si="25"/>
        <v>0.93794098442993501</v>
      </c>
      <c r="I63" s="15">
        <f t="shared" si="25"/>
        <v>0.9405527373179311</v>
      </c>
      <c r="J63" s="15">
        <f t="shared" si="25"/>
        <v>0.92992165115337899</v>
      </c>
      <c r="K63" s="15">
        <f t="shared" si="25"/>
        <v>0.94330000000000003</v>
      </c>
      <c r="L63" s="15">
        <f t="shared" si="25"/>
        <v>0.9476</v>
      </c>
      <c r="M63" s="15">
        <f t="shared" si="25"/>
        <v>0.97030000000000005</v>
      </c>
      <c r="N63" s="15">
        <f t="shared" si="25"/>
        <v>0.93489999999999995</v>
      </c>
      <c r="O63" s="15">
        <f t="shared" si="25"/>
        <v>0.96509999999999996</v>
      </c>
      <c r="P63" s="15">
        <f t="shared" si="25"/>
        <v>0.95150000000000001</v>
      </c>
      <c r="Q63" s="15">
        <f t="shared" si="25"/>
        <v>0.94410000000000005</v>
      </c>
      <c r="R63" s="15">
        <f t="shared" si="25"/>
        <v>0.9456</v>
      </c>
      <c r="S63" s="15">
        <f t="shared" si="25"/>
        <v>0.946394649464946</v>
      </c>
      <c r="T63" s="15">
        <f t="shared" si="25"/>
        <v>0.95809999999999995</v>
      </c>
      <c r="U63" s="15">
        <f t="shared" si="25"/>
        <v>0.95889999999999997</v>
      </c>
      <c r="V63" s="15">
        <f t="shared" si="25"/>
        <v>0.96509999999999996</v>
      </c>
      <c r="W63" s="15">
        <f t="shared" si="25"/>
        <v>0.95020000000000004</v>
      </c>
      <c r="X63" s="15">
        <f t="shared" si="25"/>
        <v>0.94298795180722894</v>
      </c>
      <c r="Y63" s="15">
        <f t="shared" si="25"/>
        <v>0.94320000000000004</v>
      </c>
      <c r="Z63" s="15">
        <f t="shared" si="25"/>
        <v>0.95312851405622501</v>
      </c>
      <c r="AA63" s="15">
        <f t="shared" si="25"/>
        <v>0.94181372667068008</v>
      </c>
      <c r="AB63" s="15">
        <f t="shared" si="25"/>
        <v>0.94372020870961304</v>
      </c>
      <c r="AC63" s="15">
        <f t="shared" si="25"/>
        <v>0.93764679306171805</v>
      </c>
      <c r="AD63" s="15">
        <f t="shared" si="25"/>
        <v>0.94718947789557906</v>
      </c>
      <c r="AE63" s="15">
        <f t="shared" si="25"/>
        <v>0.94958995799159807</v>
      </c>
      <c r="AF63" s="23">
        <f t="shared" si="25"/>
        <v>0.97089999999999999</v>
      </c>
    </row>
    <row r="64" spans="1:32" x14ac:dyDescent="0.3">
      <c r="A64" s="51"/>
      <c r="B64" t="s">
        <v>31</v>
      </c>
      <c r="C64">
        <v>50</v>
      </c>
      <c r="D64">
        <v>0.9</v>
      </c>
      <c r="E64" s="15">
        <f t="shared" ref="E64:AF64" si="26">E28-E10/10000</f>
        <v>0.9038931617055509</v>
      </c>
      <c r="F64" s="15">
        <f t="shared" si="26"/>
        <v>0.93930000000000002</v>
      </c>
      <c r="G64" s="15">
        <f t="shared" si="26"/>
        <v>0.90087626709573598</v>
      </c>
      <c r="H64" s="15">
        <f t="shared" si="26"/>
        <v>0.90177825213460605</v>
      </c>
      <c r="I64" s="15">
        <f t="shared" si="26"/>
        <v>0.90479181315921609</v>
      </c>
      <c r="J64" s="15">
        <f t="shared" si="26"/>
        <v>0.89329680291379998</v>
      </c>
      <c r="K64" s="15">
        <f t="shared" si="26"/>
        <v>0.9254</v>
      </c>
      <c r="L64" s="15">
        <f t="shared" si="26"/>
        <v>0.92859999999999998</v>
      </c>
      <c r="M64" s="15">
        <f t="shared" si="26"/>
        <v>0.90439999999999998</v>
      </c>
      <c r="N64" s="15">
        <f t="shared" si="26"/>
        <v>0.88149999999999995</v>
      </c>
      <c r="O64" s="15">
        <f t="shared" si="26"/>
        <v>0.93489999999999995</v>
      </c>
      <c r="P64" s="15">
        <f t="shared" si="26"/>
        <v>0.90239999999999998</v>
      </c>
      <c r="Q64" s="15">
        <f t="shared" si="26"/>
        <v>0.89219999999999999</v>
      </c>
      <c r="R64" s="15">
        <f t="shared" si="26"/>
        <v>0.89359999999999995</v>
      </c>
      <c r="S64" s="15">
        <f t="shared" si="26"/>
        <v>0.89578958895889604</v>
      </c>
      <c r="T64" s="15">
        <f t="shared" si="26"/>
        <v>0.91890000000000005</v>
      </c>
      <c r="U64" s="15">
        <f t="shared" si="26"/>
        <v>0.92020000000000002</v>
      </c>
      <c r="V64" s="15">
        <f t="shared" si="26"/>
        <v>0.93489999999999995</v>
      </c>
      <c r="W64" s="15">
        <f t="shared" si="26"/>
        <v>0.90090000000000003</v>
      </c>
      <c r="X64" s="15">
        <f t="shared" si="26"/>
        <v>0.90855020080321303</v>
      </c>
      <c r="Y64" s="15">
        <f t="shared" si="26"/>
        <v>0.94320000000000004</v>
      </c>
      <c r="Z64" s="15">
        <f t="shared" si="26"/>
        <v>0.90885140562249001</v>
      </c>
      <c r="AA64" s="15">
        <f t="shared" si="26"/>
        <v>0.908400120409392</v>
      </c>
      <c r="AB64" s="15">
        <f t="shared" si="26"/>
        <v>0.91120967288781907</v>
      </c>
      <c r="AC64" s="15">
        <f t="shared" si="26"/>
        <v>0.90356046793061706</v>
      </c>
      <c r="AD64" s="15">
        <f t="shared" si="26"/>
        <v>0.92898583716743399</v>
      </c>
      <c r="AE64" s="15">
        <f t="shared" si="26"/>
        <v>0.931586357271454</v>
      </c>
      <c r="AF64" s="23">
        <f t="shared" si="26"/>
        <v>0.90890000000000004</v>
      </c>
    </row>
    <row r="65" spans="1:32" x14ac:dyDescent="0.3">
      <c r="A65" s="51"/>
      <c r="B65" t="s">
        <v>56</v>
      </c>
      <c r="C65">
        <v>50</v>
      </c>
      <c r="D65">
        <v>0.95</v>
      </c>
      <c r="E65" s="15">
        <f t="shared" ref="E65:AF65" si="27">E29-E11/10000</f>
        <v>0.93946311128999804</v>
      </c>
      <c r="F65" s="15">
        <f t="shared" si="27"/>
        <v>0.93979999999999997</v>
      </c>
      <c r="G65" s="15">
        <f t="shared" si="27"/>
        <v>0.94992799356007207</v>
      </c>
      <c r="H65" s="15">
        <f t="shared" si="27"/>
        <v>0.93885556894647004</v>
      </c>
      <c r="I65" s="15">
        <f t="shared" si="27"/>
        <v>0.94287284322587106</v>
      </c>
      <c r="J65" s="15">
        <f t="shared" si="27"/>
        <v>0.936878033051189</v>
      </c>
      <c r="K65" s="15">
        <f t="shared" si="27"/>
        <v>0.94619462946294597</v>
      </c>
      <c r="L65" s="15">
        <f t="shared" si="27"/>
        <v>0.95039504950495002</v>
      </c>
      <c r="M65" s="15">
        <f t="shared" si="27"/>
        <v>0.96740000000000004</v>
      </c>
      <c r="N65" s="15">
        <f t="shared" si="27"/>
        <v>0.93789999999999996</v>
      </c>
      <c r="O65" s="15">
        <f t="shared" si="27"/>
        <v>0.97060000000000002</v>
      </c>
      <c r="P65" s="15">
        <f t="shared" si="27"/>
        <v>0.95499999999999996</v>
      </c>
      <c r="Q65" s="15">
        <f t="shared" si="27"/>
        <v>0.94510000000000005</v>
      </c>
      <c r="R65" s="15">
        <f t="shared" si="27"/>
        <v>0.94550000000000001</v>
      </c>
      <c r="S65" s="15">
        <f t="shared" si="27"/>
        <v>0.94412905777510803</v>
      </c>
      <c r="T65" s="15">
        <f t="shared" si="27"/>
        <v>0.96730000000000005</v>
      </c>
      <c r="U65" s="15">
        <f t="shared" si="27"/>
        <v>0.96750000000000003</v>
      </c>
      <c r="V65" s="15">
        <f t="shared" si="27"/>
        <v>0.97060000000000002</v>
      </c>
      <c r="W65" s="15">
        <f t="shared" si="27"/>
        <v>0.84970000000000001</v>
      </c>
      <c r="X65" s="15">
        <f t="shared" si="27"/>
        <v>0.93823177936300595</v>
      </c>
      <c r="Y65" s="15">
        <f t="shared" si="27"/>
        <v>0.9385</v>
      </c>
      <c r="Z65" s="15">
        <f t="shared" si="27"/>
        <v>0.95249883452225492</v>
      </c>
      <c r="AA65" s="15">
        <f t="shared" si="27"/>
        <v>0.93815254594757502</v>
      </c>
      <c r="AB65" s="15">
        <f t="shared" si="27"/>
        <v>0.93835340966154501</v>
      </c>
      <c r="AC65" s="15">
        <f t="shared" si="27"/>
        <v>0.92835604618189205</v>
      </c>
      <c r="AD65" s="15">
        <f t="shared" si="27"/>
        <v>0.94009401940194004</v>
      </c>
      <c r="AE65" s="15">
        <f t="shared" si="27"/>
        <v>0.94119412941294101</v>
      </c>
      <c r="AF65" s="23">
        <f t="shared" si="27"/>
        <v>0.97060000000000002</v>
      </c>
    </row>
    <row r="66" spans="1:32" x14ac:dyDescent="0.3">
      <c r="A66" s="51"/>
      <c r="B66" t="s">
        <v>56</v>
      </c>
      <c r="C66">
        <v>50</v>
      </c>
      <c r="D66">
        <v>0.9</v>
      </c>
      <c r="E66" s="15">
        <f t="shared" ref="E66:AF66" si="28">E30-E12/10000</f>
        <v>0.90665973032803404</v>
      </c>
      <c r="F66" s="15">
        <f t="shared" si="28"/>
        <v>0.93979999999999997</v>
      </c>
      <c r="G66" s="15">
        <f t="shared" si="28"/>
        <v>0.90676035419601497</v>
      </c>
      <c r="H66" s="15">
        <f t="shared" si="28"/>
        <v>0.90521089685648304</v>
      </c>
      <c r="I66" s="15">
        <f t="shared" si="28"/>
        <v>0.90842471628000399</v>
      </c>
      <c r="J66" s="15">
        <f t="shared" si="28"/>
        <v>0.90120693268843199</v>
      </c>
      <c r="K66" s="15">
        <f t="shared" si="28"/>
        <v>0.925492559255926</v>
      </c>
      <c r="L66" s="15">
        <f t="shared" si="28"/>
        <v>0.92789279927992796</v>
      </c>
      <c r="M66" s="15">
        <f t="shared" si="28"/>
        <v>0.90720000000000001</v>
      </c>
      <c r="N66" s="15">
        <f t="shared" si="28"/>
        <v>0.88549999999999995</v>
      </c>
      <c r="O66" s="15">
        <f t="shared" si="28"/>
        <v>0.93789999999999996</v>
      </c>
      <c r="P66" s="15">
        <f t="shared" si="28"/>
        <v>0.90390000000000004</v>
      </c>
      <c r="Q66" s="15">
        <f t="shared" si="28"/>
        <v>0.89180000000000004</v>
      </c>
      <c r="R66" s="15">
        <f t="shared" si="28"/>
        <v>0.89259999999999995</v>
      </c>
      <c r="S66" s="15">
        <f t="shared" si="28"/>
        <v>0.89196123961149498</v>
      </c>
      <c r="T66" s="15">
        <f t="shared" si="28"/>
        <v>0.92620000000000002</v>
      </c>
      <c r="U66" s="15">
        <f t="shared" si="28"/>
        <v>0.92730000000000001</v>
      </c>
      <c r="V66" s="15">
        <f t="shared" si="28"/>
        <v>0.93789999999999996</v>
      </c>
      <c r="W66" s="15">
        <f t="shared" si="28"/>
        <v>0.75139999999999996</v>
      </c>
      <c r="X66" s="15">
        <f t="shared" si="28"/>
        <v>0.90618114136441297</v>
      </c>
      <c r="Y66" s="15">
        <f t="shared" si="28"/>
        <v>0.9385</v>
      </c>
      <c r="Z66" s="15">
        <f t="shared" si="28"/>
        <v>0.90698491911986301</v>
      </c>
      <c r="AA66" s="15">
        <f t="shared" si="28"/>
        <v>0.90661694285427308</v>
      </c>
      <c r="AB66" s="15">
        <f t="shared" si="28"/>
        <v>0.907119102139199</v>
      </c>
      <c r="AC66" s="15">
        <f t="shared" si="28"/>
        <v>0.89665663358314807</v>
      </c>
      <c r="AD66" s="15">
        <f t="shared" si="28"/>
        <v>0.93459346934693499</v>
      </c>
      <c r="AE66" s="15">
        <f t="shared" si="28"/>
        <v>0.93549355935593603</v>
      </c>
      <c r="AF66" s="23">
        <f t="shared" si="28"/>
        <v>0.90659999999999996</v>
      </c>
    </row>
    <row r="67" spans="1:32" x14ac:dyDescent="0.3">
      <c r="A67" s="51"/>
      <c r="B67" t="s">
        <v>57</v>
      </c>
      <c r="C67">
        <v>50</v>
      </c>
      <c r="D67">
        <v>0.95</v>
      </c>
      <c r="E67" s="15">
        <f t="shared" ref="E67:AF67" si="29">E31-E13/10000</f>
        <v>0.94034675507333698</v>
      </c>
      <c r="F67" s="15">
        <f t="shared" si="29"/>
        <v>0.94059999999999999</v>
      </c>
      <c r="G67" s="15">
        <f t="shared" si="29"/>
        <v>0.94999111914808099</v>
      </c>
      <c r="H67" s="15">
        <f t="shared" si="29"/>
        <v>0.943038552407648</v>
      </c>
      <c r="I67" s="15">
        <f t="shared" si="29"/>
        <v>0.947243177495245</v>
      </c>
      <c r="J67" s="15">
        <f t="shared" si="29"/>
        <v>0.95689999999999997</v>
      </c>
      <c r="K67" s="15">
        <f t="shared" si="29"/>
        <v>0.95069999999999999</v>
      </c>
      <c r="L67" s="15">
        <f t="shared" si="29"/>
        <v>0.95669999999999999</v>
      </c>
      <c r="M67" s="15">
        <f t="shared" si="29"/>
        <v>0.9677</v>
      </c>
      <c r="N67" s="15">
        <f t="shared" si="29"/>
        <v>0.93559999999999999</v>
      </c>
      <c r="O67" s="15">
        <f t="shared" si="29"/>
        <v>0.96599999999999997</v>
      </c>
      <c r="P67" s="15">
        <f t="shared" si="29"/>
        <v>0.95189999999999997</v>
      </c>
      <c r="Q67" s="15">
        <f t="shared" si="29"/>
        <v>0.94650000000000001</v>
      </c>
      <c r="R67" s="15">
        <f t="shared" si="29"/>
        <v>0.94750000000000001</v>
      </c>
      <c r="S67" s="15">
        <f t="shared" si="29"/>
        <v>0.94849485948594903</v>
      </c>
      <c r="T67" s="15">
        <f t="shared" si="29"/>
        <v>0.96</v>
      </c>
      <c r="U67" s="15">
        <f t="shared" si="29"/>
        <v>0.96099999999999997</v>
      </c>
      <c r="V67" s="15">
        <f t="shared" si="29"/>
        <v>0.96599999999999997</v>
      </c>
      <c r="W67" s="15">
        <f t="shared" si="29"/>
        <v>0.78920000000000001</v>
      </c>
      <c r="X67" s="15">
        <f t="shared" si="29"/>
        <v>0.94009589702333096</v>
      </c>
      <c r="Y67" s="15">
        <f t="shared" si="29"/>
        <v>0.94040000000000001</v>
      </c>
      <c r="Z67" s="15">
        <f t="shared" si="29"/>
        <v>0.95266629123089297</v>
      </c>
      <c r="AA67" s="15">
        <f t="shared" si="29"/>
        <v>0.94014583082177994</v>
      </c>
      <c r="AB67" s="15">
        <f t="shared" si="29"/>
        <v>0.94185368696001592</v>
      </c>
      <c r="AC67" s="15">
        <f t="shared" si="29"/>
        <v>0.92906507968734098</v>
      </c>
      <c r="AD67" s="15">
        <f t="shared" si="29"/>
        <v>0.94408885777155405</v>
      </c>
      <c r="AE67" s="15">
        <f t="shared" si="29"/>
        <v>0.94618927785557105</v>
      </c>
      <c r="AF67" s="23">
        <f t="shared" si="29"/>
        <v>0.96950000000000003</v>
      </c>
    </row>
    <row r="68" spans="1:32" x14ac:dyDescent="0.3">
      <c r="A68" s="51"/>
      <c r="B68" t="s">
        <v>57</v>
      </c>
      <c r="C68">
        <v>50</v>
      </c>
      <c r="D68">
        <v>0.9</v>
      </c>
      <c r="E68" s="15">
        <f t="shared" ref="E68:AF68" si="30">E32-E14/10000</f>
        <v>0.90468270042194099</v>
      </c>
      <c r="F68" s="15">
        <f t="shared" si="30"/>
        <v>0.94059999999999999</v>
      </c>
      <c r="G68" s="15">
        <f t="shared" si="30"/>
        <v>0.90558685955394791</v>
      </c>
      <c r="H68" s="15">
        <f t="shared" si="30"/>
        <v>0.896086905596156</v>
      </c>
      <c r="I68" s="15">
        <f t="shared" si="30"/>
        <v>0.90419582540794896</v>
      </c>
      <c r="J68" s="15">
        <f t="shared" si="30"/>
        <v>0.91869999999999996</v>
      </c>
      <c r="K68" s="15">
        <f t="shared" si="30"/>
        <v>0.91039999999999999</v>
      </c>
      <c r="L68" s="15">
        <f t="shared" si="30"/>
        <v>0.91839999999999999</v>
      </c>
      <c r="M68" s="15">
        <f t="shared" si="30"/>
        <v>0.90510000000000002</v>
      </c>
      <c r="N68" s="15">
        <f t="shared" si="30"/>
        <v>0.88029999999999997</v>
      </c>
      <c r="O68" s="15">
        <f t="shared" si="30"/>
        <v>0.93559999999999999</v>
      </c>
      <c r="P68" s="15">
        <f t="shared" si="30"/>
        <v>0.90010000000000001</v>
      </c>
      <c r="Q68" s="15">
        <f t="shared" si="30"/>
        <v>0.89219999999999999</v>
      </c>
      <c r="R68" s="15">
        <f t="shared" si="30"/>
        <v>0.89349999999999996</v>
      </c>
      <c r="S68" s="15">
        <f t="shared" si="30"/>
        <v>0.89598960896089597</v>
      </c>
      <c r="T68" s="15">
        <f t="shared" si="30"/>
        <v>0.91649999999999998</v>
      </c>
      <c r="U68" s="15">
        <f t="shared" si="30"/>
        <v>0.91859999999999997</v>
      </c>
      <c r="V68" s="15">
        <f t="shared" si="30"/>
        <v>0.93559999999999999</v>
      </c>
      <c r="W68" s="15">
        <f t="shared" si="30"/>
        <v>0.6774</v>
      </c>
      <c r="X68" s="15">
        <f t="shared" si="30"/>
        <v>0.90620611423974295</v>
      </c>
      <c r="Y68" s="15">
        <f t="shared" si="30"/>
        <v>0.94040000000000001</v>
      </c>
      <c r="Z68" s="15">
        <f t="shared" si="30"/>
        <v>0.90610555108608193</v>
      </c>
      <c r="AA68" s="15">
        <f t="shared" si="30"/>
        <v>0.90568732167972699</v>
      </c>
      <c r="AB68" s="15">
        <f t="shared" si="30"/>
        <v>0.90789748844685592</v>
      </c>
      <c r="AC68" s="15">
        <f t="shared" si="30"/>
        <v>0.89394174195513099</v>
      </c>
      <c r="AD68" s="15">
        <f t="shared" si="30"/>
        <v>0.931886417283457</v>
      </c>
      <c r="AE68" s="15">
        <f t="shared" si="30"/>
        <v>0.93308665733146601</v>
      </c>
      <c r="AF68" s="23">
        <f t="shared" si="30"/>
        <v>0.90669999999999995</v>
      </c>
    </row>
    <row r="69" spans="1:32" x14ac:dyDescent="0.3">
      <c r="A69" s="51"/>
      <c r="B69" t="s">
        <v>31</v>
      </c>
      <c r="C69">
        <v>100</v>
      </c>
      <c r="D69">
        <v>0.95</v>
      </c>
      <c r="E69" s="15">
        <f t="shared" ref="E69:AF69" si="31">E33-E15/10000</f>
        <v>0.95320000000000005</v>
      </c>
      <c r="F69" s="15">
        <f t="shared" si="31"/>
        <v>0.95320000000000005</v>
      </c>
      <c r="G69" s="15">
        <f t="shared" si="31"/>
        <v>0.94879999999999998</v>
      </c>
      <c r="H69" s="15">
        <f t="shared" si="31"/>
        <v>0.95099999999999996</v>
      </c>
      <c r="I69" s="15">
        <f t="shared" si="31"/>
        <v>0.95120000000000005</v>
      </c>
      <c r="J69" s="15">
        <f t="shared" si="31"/>
        <v>0.94121212121212094</v>
      </c>
      <c r="K69" s="15">
        <f t="shared" si="31"/>
        <v>0.95219522952295199</v>
      </c>
      <c r="L69" s="15">
        <f t="shared" si="31"/>
        <v>0.95259526952695306</v>
      </c>
      <c r="M69" s="15">
        <f t="shared" si="31"/>
        <v>0.95320000000000005</v>
      </c>
      <c r="N69" s="15">
        <f t="shared" si="31"/>
        <v>0.94610000000000005</v>
      </c>
      <c r="O69" s="15">
        <f t="shared" si="31"/>
        <v>0.96619999999999995</v>
      </c>
      <c r="P69" s="15">
        <f t="shared" si="31"/>
        <v>0.95409999999999995</v>
      </c>
      <c r="Q69" s="15">
        <f t="shared" si="31"/>
        <v>0.95020000000000004</v>
      </c>
      <c r="R69" s="15">
        <f t="shared" si="31"/>
        <v>0.95079999999999998</v>
      </c>
      <c r="S69" s="15">
        <f t="shared" si="31"/>
        <v>0.95118544563369001</v>
      </c>
      <c r="T69" s="15">
        <f t="shared" si="31"/>
        <v>0.95930000000000004</v>
      </c>
      <c r="U69" s="15">
        <f t="shared" si="31"/>
        <v>0.96050000000000002</v>
      </c>
      <c r="V69" s="15">
        <f t="shared" si="31"/>
        <v>0.96619999999999995</v>
      </c>
      <c r="W69" s="15">
        <f t="shared" si="31"/>
        <v>0.94779999999999998</v>
      </c>
      <c r="X69" s="15">
        <f t="shared" si="31"/>
        <v>0.95609999999999995</v>
      </c>
      <c r="Y69" s="15">
        <f t="shared" si="31"/>
        <v>0.95609999999999995</v>
      </c>
      <c r="Z69" s="15">
        <f t="shared" si="31"/>
        <v>0.95179999999999998</v>
      </c>
      <c r="AA69" s="15">
        <f t="shared" si="31"/>
        <v>0.9526</v>
      </c>
      <c r="AB69" s="15">
        <f t="shared" si="31"/>
        <v>0.9536</v>
      </c>
      <c r="AC69" s="15">
        <f t="shared" si="31"/>
        <v>0.94875649944706908</v>
      </c>
      <c r="AD69" s="15">
        <f t="shared" si="31"/>
        <v>0.9546</v>
      </c>
      <c r="AE69" s="15">
        <f t="shared" si="31"/>
        <v>0.95520000000000005</v>
      </c>
      <c r="AF69" s="23">
        <f t="shared" si="31"/>
        <v>0.95609999999999995</v>
      </c>
    </row>
    <row r="70" spans="1:32" x14ac:dyDescent="0.3">
      <c r="A70" s="51"/>
      <c r="B70" t="s">
        <v>31</v>
      </c>
      <c r="C70">
        <v>100</v>
      </c>
      <c r="D70">
        <v>0.9</v>
      </c>
      <c r="E70" s="15">
        <f t="shared" ref="E70:AF70" si="32">E34-E16/10000</f>
        <v>0.89649999999999996</v>
      </c>
      <c r="F70" s="15">
        <f t="shared" si="32"/>
        <v>0.89649999999999996</v>
      </c>
      <c r="G70" s="15">
        <f t="shared" si="32"/>
        <v>0.89429999999999998</v>
      </c>
      <c r="H70" s="15">
        <f t="shared" si="32"/>
        <v>0.89239999999999997</v>
      </c>
      <c r="I70" s="15">
        <f t="shared" si="32"/>
        <v>0.8931</v>
      </c>
      <c r="J70" s="15">
        <f t="shared" si="32"/>
        <v>0.88252525252525205</v>
      </c>
      <c r="K70" s="15">
        <f t="shared" si="32"/>
        <v>0.89508951895189504</v>
      </c>
      <c r="L70" s="15">
        <f t="shared" si="32"/>
        <v>0.89628963896389602</v>
      </c>
      <c r="M70" s="15">
        <f t="shared" si="32"/>
        <v>0.90090000000000003</v>
      </c>
      <c r="N70" s="15">
        <f t="shared" si="32"/>
        <v>0.91549999999999998</v>
      </c>
      <c r="O70" s="15">
        <f t="shared" si="32"/>
        <v>0.91549999999999998</v>
      </c>
      <c r="P70" s="15">
        <f t="shared" si="32"/>
        <v>0.90500000000000003</v>
      </c>
      <c r="Q70" s="15">
        <f t="shared" si="32"/>
        <v>0.90669999999999995</v>
      </c>
      <c r="R70" s="15">
        <f t="shared" si="32"/>
        <v>0.9073</v>
      </c>
      <c r="S70" s="15">
        <f t="shared" si="32"/>
        <v>0.90837260178053403</v>
      </c>
      <c r="T70" s="15">
        <f t="shared" si="32"/>
        <v>0.91200000000000003</v>
      </c>
      <c r="U70" s="15">
        <f t="shared" si="32"/>
        <v>0.91249999999999998</v>
      </c>
      <c r="V70" s="15">
        <f t="shared" si="32"/>
        <v>0.91549999999999998</v>
      </c>
      <c r="W70" s="15">
        <f t="shared" si="32"/>
        <v>0.90010000000000001</v>
      </c>
      <c r="X70" s="15">
        <f t="shared" si="32"/>
        <v>0.90469999999999995</v>
      </c>
      <c r="Y70" s="15">
        <f t="shared" si="32"/>
        <v>0.90469999999999995</v>
      </c>
      <c r="Z70" s="15">
        <f t="shared" si="32"/>
        <v>0.90369999999999995</v>
      </c>
      <c r="AA70" s="15">
        <f t="shared" si="32"/>
        <v>0.90129999999999999</v>
      </c>
      <c r="AB70" s="15">
        <f t="shared" si="32"/>
        <v>0.90300000000000002</v>
      </c>
      <c r="AC70" s="15">
        <f t="shared" si="32"/>
        <v>0.89818848899165604</v>
      </c>
      <c r="AD70" s="15">
        <f t="shared" si="32"/>
        <v>0.90490000000000004</v>
      </c>
      <c r="AE70" s="15">
        <f t="shared" si="32"/>
        <v>0.90590000000000004</v>
      </c>
      <c r="AF70" s="23">
        <f t="shared" si="32"/>
        <v>0.91</v>
      </c>
    </row>
    <row r="71" spans="1:32" x14ac:dyDescent="0.3">
      <c r="A71" s="51"/>
      <c r="B71" t="s">
        <v>56</v>
      </c>
      <c r="C71">
        <v>100</v>
      </c>
      <c r="D71">
        <v>0.95</v>
      </c>
      <c r="E71" s="15">
        <f t="shared" ref="E71:AF71" si="33">E35-E17/10000</f>
        <v>0.95669999999999999</v>
      </c>
      <c r="F71" s="15">
        <f t="shared" si="33"/>
        <v>0.95669999999999999</v>
      </c>
      <c r="G71" s="15">
        <f t="shared" si="33"/>
        <v>0.95209999999999995</v>
      </c>
      <c r="H71" s="15">
        <f t="shared" si="33"/>
        <v>0.95249525952595304</v>
      </c>
      <c r="I71" s="15">
        <f t="shared" si="33"/>
        <v>0.95339534953495397</v>
      </c>
      <c r="J71" s="15">
        <f t="shared" si="33"/>
        <v>0.94706687821094004</v>
      </c>
      <c r="K71" s="15">
        <f t="shared" si="33"/>
        <v>0.95569999999999999</v>
      </c>
      <c r="L71" s="15">
        <f t="shared" si="33"/>
        <v>0.95640000000000003</v>
      </c>
      <c r="M71" s="15">
        <f t="shared" si="33"/>
        <v>0.95669999999999999</v>
      </c>
      <c r="N71" s="15">
        <f t="shared" si="33"/>
        <v>0.94399999999999995</v>
      </c>
      <c r="O71" s="15">
        <f t="shared" si="33"/>
        <v>0.96509999999999996</v>
      </c>
      <c r="P71" s="15">
        <f t="shared" si="33"/>
        <v>0.9506</v>
      </c>
      <c r="Q71" s="15">
        <f t="shared" si="33"/>
        <v>0.94689999999999996</v>
      </c>
      <c r="R71" s="15">
        <f t="shared" si="33"/>
        <v>0.94730000000000003</v>
      </c>
      <c r="S71" s="15">
        <f t="shared" si="33"/>
        <v>0.94623692430917106</v>
      </c>
      <c r="T71" s="15">
        <f t="shared" si="33"/>
        <v>0.95779999999999998</v>
      </c>
      <c r="U71" s="15">
        <f t="shared" si="33"/>
        <v>0.95889999999999997</v>
      </c>
      <c r="V71" s="15">
        <f t="shared" si="33"/>
        <v>0.96509999999999996</v>
      </c>
      <c r="W71" s="15">
        <f t="shared" si="33"/>
        <v>0.73270000000000002</v>
      </c>
      <c r="X71" s="15">
        <f t="shared" si="33"/>
        <v>0.95520000000000005</v>
      </c>
      <c r="Y71" s="15">
        <f t="shared" si="33"/>
        <v>0.95520000000000005</v>
      </c>
      <c r="Z71" s="15">
        <f t="shared" si="33"/>
        <v>0.95009999999999994</v>
      </c>
      <c r="AA71" s="15">
        <f t="shared" si="33"/>
        <v>0.95459095819163797</v>
      </c>
      <c r="AB71" s="15">
        <f t="shared" si="33"/>
        <v>0.95479099819963997</v>
      </c>
      <c r="AC71" s="15">
        <f t="shared" si="33"/>
        <v>0.94506839979808199</v>
      </c>
      <c r="AD71" s="15">
        <f t="shared" si="33"/>
        <v>0.95499550955095502</v>
      </c>
      <c r="AE71" s="15">
        <f t="shared" si="33"/>
        <v>0.95509551955195504</v>
      </c>
      <c r="AF71" s="23">
        <f t="shared" si="33"/>
        <v>0.95520000000000005</v>
      </c>
    </row>
    <row r="72" spans="1:32" x14ac:dyDescent="0.3">
      <c r="A72" s="51"/>
      <c r="B72" t="s">
        <v>56</v>
      </c>
      <c r="C72">
        <v>100</v>
      </c>
      <c r="D72">
        <v>0.9</v>
      </c>
      <c r="E72" s="15">
        <f t="shared" ref="E72:AF72" si="34">E36-E18/10000</f>
        <v>0.9022</v>
      </c>
      <c r="F72" s="15">
        <f t="shared" si="34"/>
        <v>0.9022</v>
      </c>
      <c r="G72" s="15">
        <f t="shared" si="34"/>
        <v>0.9</v>
      </c>
      <c r="H72" s="15">
        <f t="shared" si="34"/>
        <v>0.89778978897889805</v>
      </c>
      <c r="I72" s="15">
        <f t="shared" si="34"/>
        <v>0.89938994899489999</v>
      </c>
      <c r="J72" s="15">
        <f t="shared" si="34"/>
        <v>0.89277051475773106</v>
      </c>
      <c r="K72" s="15">
        <f t="shared" si="34"/>
        <v>0.90159999999999996</v>
      </c>
      <c r="L72" s="15">
        <f t="shared" si="34"/>
        <v>0.90329999999999999</v>
      </c>
      <c r="M72" s="15">
        <f t="shared" si="34"/>
        <v>0.90459999999999996</v>
      </c>
      <c r="N72" s="15">
        <f t="shared" si="34"/>
        <v>0.91300000000000003</v>
      </c>
      <c r="O72" s="15">
        <f t="shared" si="34"/>
        <v>0.91300000000000003</v>
      </c>
      <c r="P72" s="15">
        <f t="shared" si="34"/>
        <v>0.90280000000000005</v>
      </c>
      <c r="Q72" s="15">
        <f t="shared" si="34"/>
        <v>0.90810000000000002</v>
      </c>
      <c r="R72" s="15">
        <f t="shared" si="34"/>
        <v>0.90839999999999999</v>
      </c>
      <c r="S72" s="15">
        <f t="shared" si="34"/>
        <v>0.907190068081698</v>
      </c>
      <c r="T72" s="15">
        <f t="shared" si="34"/>
        <v>0.91100000000000003</v>
      </c>
      <c r="U72" s="15">
        <f t="shared" si="34"/>
        <v>0.91120000000000001</v>
      </c>
      <c r="V72" s="15">
        <f t="shared" si="34"/>
        <v>0.91300000000000003</v>
      </c>
      <c r="W72" s="15">
        <f t="shared" si="34"/>
        <v>0.61680000000000001</v>
      </c>
      <c r="X72" s="15">
        <f t="shared" si="34"/>
        <v>0.90059999999999996</v>
      </c>
      <c r="Y72" s="15">
        <f t="shared" si="34"/>
        <v>0.90059999999999996</v>
      </c>
      <c r="Z72" s="15">
        <f t="shared" si="34"/>
        <v>0.89949999999999997</v>
      </c>
      <c r="AA72" s="15">
        <f t="shared" si="34"/>
        <v>0.899079855971194</v>
      </c>
      <c r="AB72" s="15">
        <f t="shared" si="34"/>
        <v>0.899579955991198</v>
      </c>
      <c r="AC72" s="15">
        <f t="shared" si="34"/>
        <v>0.88954088844018209</v>
      </c>
      <c r="AD72" s="15">
        <f t="shared" si="34"/>
        <v>0.90029003900390003</v>
      </c>
      <c r="AE72" s="15">
        <f t="shared" si="34"/>
        <v>0.90049005900590096</v>
      </c>
      <c r="AF72" s="23">
        <f t="shared" si="34"/>
        <v>0.90129999999999999</v>
      </c>
    </row>
    <row r="73" spans="1:32" x14ac:dyDescent="0.3">
      <c r="A73" s="51"/>
      <c r="B73" t="s">
        <v>57</v>
      </c>
      <c r="C73">
        <v>100</v>
      </c>
      <c r="D73">
        <v>0.95</v>
      </c>
      <c r="E73" s="15">
        <f t="shared" ref="E73:AF73" si="35">E37-E19/10000</f>
        <v>0.95389999999999997</v>
      </c>
      <c r="F73" s="15">
        <f t="shared" si="35"/>
        <v>0.95389999999999997</v>
      </c>
      <c r="G73" s="15">
        <f t="shared" si="35"/>
        <v>0.95020000000000004</v>
      </c>
      <c r="H73" s="15">
        <f t="shared" si="35"/>
        <v>0.94820000000000004</v>
      </c>
      <c r="I73" s="15">
        <f t="shared" si="35"/>
        <v>0.9506</v>
      </c>
      <c r="J73" s="15">
        <f t="shared" si="35"/>
        <v>0.95420000000000005</v>
      </c>
      <c r="K73" s="15">
        <f t="shared" si="35"/>
        <v>0.95199999999999996</v>
      </c>
      <c r="L73" s="15">
        <f t="shared" si="35"/>
        <v>0.95399999999999996</v>
      </c>
      <c r="M73" s="15">
        <f t="shared" si="35"/>
        <v>0.95389999999999997</v>
      </c>
      <c r="N73" s="15">
        <f t="shared" si="35"/>
        <v>0.94550000000000001</v>
      </c>
      <c r="O73" s="15">
        <f t="shared" si="35"/>
        <v>0.96279999999999999</v>
      </c>
      <c r="P73" s="15">
        <f t="shared" si="35"/>
        <v>0.95109999999999995</v>
      </c>
      <c r="Q73" s="15">
        <f t="shared" si="35"/>
        <v>0.94879999999999998</v>
      </c>
      <c r="R73" s="15">
        <f t="shared" si="35"/>
        <v>0.94940000000000002</v>
      </c>
      <c r="S73" s="15">
        <f t="shared" si="35"/>
        <v>0.94989999999999997</v>
      </c>
      <c r="T73" s="15">
        <f t="shared" si="35"/>
        <v>0.95620000000000005</v>
      </c>
      <c r="U73" s="15">
        <f t="shared" si="35"/>
        <v>0.95689999999999997</v>
      </c>
      <c r="V73" s="15">
        <f t="shared" si="35"/>
        <v>0.96279999999999999</v>
      </c>
      <c r="W73" s="15">
        <f t="shared" si="35"/>
        <v>0.61809999999999998</v>
      </c>
      <c r="X73" s="15">
        <f t="shared" si="35"/>
        <v>0.95950000000000002</v>
      </c>
      <c r="Y73" s="15">
        <f t="shared" si="35"/>
        <v>0.95950000000000002</v>
      </c>
      <c r="Z73" s="15">
        <f t="shared" si="35"/>
        <v>0.95569999999999999</v>
      </c>
      <c r="AA73" s="15">
        <f t="shared" si="35"/>
        <v>0.95789579957995796</v>
      </c>
      <c r="AB73" s="15">
        <f t="shared" si="35"/>
        <v>0.95829583958395803</v>
      </c>
      <c r="AC73" s="15">
        <f t="shared" si="35"/>
        <v>0.95016192156467405</v>
      </c>
      <c r="AD73" s="15">
        <f t="shared" si="35"/>
        <v>0.95889181836367299</v>
      </c>
      <c r="AE73" s="15">
        <f t="shared" si="35"/>
        <v>0.95909185837167399</v>
      </c>
      <c r="AF73" s="23">
        <f t="shared" si="35"/>
        <v>0.95950000000000002</v>
      </c>
    </row>
    <row r="74" spans="1:32" ht="15" thickBot="1" x14ac:dyDescent="0.35">
      <c r="A74" s="52"/>
      <c r="B74" s="38" t="s">
        <v>57</v>
      </c>
      <c r="C74" s="38">
        <v>100</v>
      </c>
      <c r="D74" s="38">
        <v>0.9</v>
      </c>
      <c r="E74" s="25">
        <f t="shared" ref="E74:AF74" si="36">E38-E20/10000</f>
        <v>0.89929999999999999</v>
      </c>
      <c r="F74" s="25">
        <f t="shared" si="36"/>
        <v>0.89929999999999999</v>
      </c>
      <c r="G74" s="25">
        <f t="shared" si="36"/>
        <v>0.89749999999999996</v>
      </c>
      <c r="H74" s="25">
        <f t="shared" si="36"/>
        <v>0.89100000000000001</v>
      </c>
      <c r="I74" s="25">
        <f t="shared" si="36"/>
        <v>0.89419999999999999</v>
      </c>
      <c r="J74" s="25">
        <f t="shared" si="36"/>
        <v>0.90190000000000003</v>
      </c>
      <c r="K74" s="25">
        <f t="shared" si="36"/>
        <v>0.89790000000000003</v>
      </c>
      <c r="L74" s="25">
        <f t="shared" si="36"/>
        <v>0.9022</v>
      </c>
      <c r="M74" s="25">
        <f t="shared" si="36"/>
        <v>0.90110000000000001</v>
      </c>
      <c r="N74" s="25">
        <f t="shared" si="36"/>
        <v>0.91379999999999995</v>
      </c>
      <c r="O74" s="25">
        <f t="shared" si="36"/>
        <v>0.91379999999999995</v>
      </c>
      <c r="P74" s="25">
        <f t="shared" si="36"/>
        <v>0.90339999999999998</v>
      </c>
      <c r="Q74" s="25">
        <f t="shared" si="36"/>
        <v>0.90490000000000004</v>
      </c>
      <c r="R74" s="25">
        <f t="shared" si="36"/>
        <v>0.90539999999999998</v>
      </c>
      <c r="S74" s="25">
        <f t="shared" si="36"/>
        <v>0.90720000000000001</v>
      </c>
      <c r="T74" s="25">
        <f t="shared" si="36"/>
        <v>0.91069999999999995</v>
      </c>
      <c r="U74" s="25">
        <f t="shared" si="36"/>
        <v>0.9113</v>
      </c>
      <c r="V74" s="25">
        <f t="shared" si="36"/>
        <v>0.91379999999999995</v>
      </c>
      <c r="W74" s="25">
        <f t="shared" si="36"/>
        <v>0.49230000000000002</v>
      </c>
      <c r="X74" s="25">
        <f t="shared" si="36"/>
        <v>0.90449999999999997</v>
      </c>
      <c r="Y74" s="25">
        <f t="shared" si="36"/>
        <v>0.90449999999999997</v>
      </c>
      <c r="Z74" s="25">
        <f t="shared" si="36"/>
        <v>0.9042</v>
      </c>
      <c r="AA74" s="25">
        <f t="shared" si="36"/>
        <v>0.90199020902090199</v>
      </c>
      <c r="AB74" s="25">
        <f t="shared" si="36"/>
        <v>0.902690279027903</v>
      </c>
      <c r="AC74" s="25">
        <f t="shared" si="36"/>
        <v>0.894309517088416</v>
      </c>
      <c r="AD74" s="25">
        <f t="shared" si="36"/>
        <v>0.90398083616723302</v>
      </c>
      <c r="AE74" s="25">
        <f t="shared" si="36"/>
        <v>0.90498103620724102</v>
      </c>
      <c r="AF74" s="26">
        <f t="shared" si="36"/>
        <v>0.90800000000000003</v>
      </c>
    </row>
    <row r="75" spans="1:32" x14ac:dyDescent="0.3">
      <c r="A75" s="54" t="s">
        <v>190</v>
      </c>
      <c r="B75" s="39" t="s">
        <v>31</v>
      </c>
      <c r="C75" s="16">
        <v>20</v>
      </c>
      <c r="D75" s="16">
        <v>0.95</v>
      </c>
      <c r="E75" s="17">
        <f t="shared" ref="E75:E92" si="37">E57-$D75</f>
        <v>-8.4161694605997983E-2</v>
      </c>
      <c r="F75" s="17">
        <f t="shared" ref="F75:AF75" si="38">F57-$D75</f>
        <v>-8.2799999999999985E-2</v>
      </c>
      <c r="G75" s="17">
        <f t="shared" si="38"/>
        <v>-9.2600513171398946E-2</v>
      </c>
      <c r="H75" s="17">
        <f t="shared" si="38"/>
        <v>-9.1829361043554991E-2</v>
      </c>
      <c r="I75" s="17">
        <f t="shared" si="38"/>
        <v>-8.9286800795931986E-2</v>
      </c>
      <c r="J75" s="17">
        <f t="shared" si="38"/>
        <v>-6.8347172694854907E-2</v>
      </c>
      <c r="K75" s="17">
        <f t="shared" si="38"/>
        <v>-8.0125985197038951E-2</v>
      </c>
      <c r="L75" s="17">
        <f t="shared" si="38"/>
        <v>-7.8725705141027946E-2</v>
      </c>
      <c r="M75" s="17">
        <f t="shared" si="38"/>
        <v>8.900000000000019E-3</v>
      </c>
      <c r="N75" s="17">
        <f t="shared" si="38"/>
        <v>6.0999999999999943E-3</v>
      </c>
      <c r="O75" s="17">
        <f t="shared" si="38"/>
        <v>6.0999999999999943E-3</v>
      </c>
      <c r="P75" s="17">
        <f t="shared" si="38"/>
        <v>-2.9999999999996696E-4</v>
      </c>
      <c r="Q75" s="17">
        <f t="shared" si="38"/>
        <v>-1.1999999999999789E-3</v>
      </c>
      <c r="R75" s="17">
        <f t="shared" si="38"/>
        <v>-1.9999999999997797E-4</v>
      </c>
      <c r="S75" s="17">
        <f t="shared" si="38"/>
        <v>2.9767383691851057E-3</v>
      </c>
      <c r="T75" s="17">
        <f t="shared" si="38"/>
        <v>9.200000000000097E-3</v>
      </c>
      <c r="U75" s="17">
        <f t="shared" si="38"/>
        <v>1.0800000000000032E-2</v>
      </c>
      <c r="V75" s="17">
        <f t="shared" si="38"/>
        <v>6.0999999999999943E-3</v>
      </c>
      <c r="W75" s="17">
        <f t="shared" si="38"/>
        <v>4.3000000000000815E-3</v>
      </c>
      <c r="X75" s="17">
        <f t="shared" si="38"/>
        <v>-8.210124801452201E-2</v>
      </c>
      <c r="Y75" s="17">
        <f t="shared" si="38"/>
        <v>-8.0499999999999905E-2</v>
      </c>
      <c r="Z75" s="17">
        <f t="shared" si="38"/>
        <v>-8.9702791014295014E-2</v>
      </c>
      <c r="AA75" s="17">
        <f t="shared" si="38"/>
        <v>-9.1133006715843012E-2</v>
      </c>
      <c r="AB75" s="17">
        <f t="shared" si="38"/>
        <v>-8.8600803699217967E-2</v>
      </c>
      <c r="AC75" s="17">
        <f t="shared" si="38"/>
        <v>-6.0019474925648963E-2</v>
      </c>
      <c r="AD75" s="17">
        <f t="shared" si="38"/>
        <v>-7.8799999999999981E-2</v>
      </c>
      <c r="AE75" s="17">
        <f t="shared" si="38"/>
        <v>-7.7199999999999935E-2</v>
      </c>
      <c r="AF75" s="21">
        <f t="shared" si="38"/>
        <v>2.6000000000000467E-3</v>
      </c>
    </row>
    <row r="76" spans="1:32" x14ac:dyDescent="0.3">
      <c r="A76" s="51"/>
      <c r="B76" s="18" t="s">
        <v>31</v>
      </c>
      <c r="C76">
        <v>20</v>
      </c>
      <c r="D76">
        <v>0.9</v>
      </c>
      <c r="E76" s="15">
        <f t="shared" si="37"/>
        <v>-6.9969654464591025E-2</v>
      </c>
      <c r="F76" s="15">
        <f t="shared" ref="F76:AF76" si="39">F58-$D76</f>
        <v>-6.4200000000000035E-2</v>
      </c>
      <c r="G76" s="15">
        <f t="shared" si="39"/>
        <v>-6.7574854601436973E-2</v>
      </c>
      <c r="H76" s="15">
        <f t="shared" si="39"/>
        <v>-7.9304488171568099E-2</v>
      </c>
      <c r="I76" s="15">
        <f t="shared" si="39"/>
        <v>-7.5877559142162099E-2</v>
      </c>
      <c r="J76" s="15">
        <f t="shared" si="39"/>
        <v>-6.5723637289861969E-2</v>
      </c>
      <c r="K76" s="15">
        <f t="shared" si="39"/>
        <v>-5.6931346269254002E-2</v>
      </c>
      <c r="L76" s="15">
        <f t="shared" si="39"/>
        <v>-5.2030366073214984E-2</v>
      </c>
      <c r="M76" s="15">
        <f t="shared" si="39"/>
        <v>5.8899999999999952E-2</v>
      </c>
      <c r="N76" s="15">
        <f t="shared" si="39"/>
        <v>-1.100000000000001E-2</v>
      </c>
      <c r="O76" s="15">
        <f t="shared" si="39"/>
        <v>-1.100000000000001E-2</v>
      </c>
      <c r="P76" s="15">
        <f t="shared" si="39"/>
        <v>7.1999999999999842E-3</v>
      </c>
      <c r="Q76" s="15">
        <f t="shared" si="39"/>
        <v>-5.7000000000000384E-3</v>
      </c>
      <c r="R76" s="15">
        <f t="shared" si="39"/>
        <v>-3.2999999999999696E-3</v>
      </c>
      <c r="S76" s="15">
        <f t="shared" si="39"/>
        <v>2.4514757378690799E-3</v>
      </c>
      <c r="T76" s="15">
        <f t="shared" si="39"/>
        <v>1.7900000000000027E-2</v>
      </c>
      <c r="U76" s="15">
        <f t="shared" si="39"/>
        <v>2.7899999999999925E-2</v>
      </c>
      <c r="V76" s="15">
        <f t="shared" si="39"/>
        <v>5.6099999999999928E-2</v>
      </c>
      <c r="W76" s="15">
        <f t="shared" si="39"/>
        <v>6.3999999999999613E-3</v>
      </c>
      <c r="X76" s="15">
        <f t="shared" si="39"/>
        <v>-7.237808032675308E-2</v>
      </c>
      <c r="Y76" s="15">
        <f t="shared" si="39"/>
        <v>-6.6000000000000059E-2</v>
      </c>
      <c r="Z76" s="15">
        <f t="shared" si="39"/>
        <v>-7.0335874744724025E-2</v>
      </c>
      <c r="AA76" s="15">
        <f t="shared" si="39"/>
        <v>-7.9116051965209988E-2</v>
      </c>
      <c r="AB76" s="15">
        <f t="shared" si="39"/>
        <v>-7.6583848948585054E-2</v>
      </c>
      <c r="AC76" s="15">
        <f t="shared" si="39"/>
        <v>-5.9142641780330019E-2</v>
      </c>
      <c r="AD76" s="15">
        <f t="shared" si="39"/>
        <v>-5.8800000000000074E-2</v>
      </c>
      <c r="AE76" s="15">
        <f t="shared" si="39"/>
        <v>-5.1900000000000057E-2</v>
      </c>
      <c r="AF76" s="23">
        <f t="shared" si="39"/>
        <v>5.259999999999998E-2</v>
      </c>
    </row>
    <row r="77" spans="1:32" x14ac:dyDescent="0.3">
      <c r="A77" s="51"/>
      <c r="B77" s="18" t="s">
        <v>56</v>
      </c>
      <c r="C77">
        <v>20</v>
      </c>
      <c r="D77">
        <v>0.95</v>
      </c>
      <c r="E77" s="15">
        <f t="shared" si="37"/>
        <v>-7.9636573759346962E-2</v>
      </c>
      <c r="F77" s="15">
        <f t="shared" ref="F77:AF77" si="40">F59-$D77</f>
        <v>-7.8199999999999936E-2</v>
      </c>
      <c r="G77" s="15">
        <f t="shared" si="40"/>
        <v>-8.6547971901201004E-2</v>
      </c>
      <c r="H77" s="15">
        <f t="shared" si="40"/>
        <v>-8.8858967629045993E-2</v>
      </c>
      <c r="I77" s="15">
        <f t="shared" si="40"/>
        <v>-8.5140682414697966E-2</v>
      </c>
      <c r="J77" s="15">
        <f t="shared" si="40"/>
        <v>-4.8436947304663969E-2</v>
      </c>
      <c r="K77" s="15">
        <f t="shared" si="40"/>
        <v>-7.3812371237123919E-2</v>
      </c>
      <c r="L77" s="15">
        <f t="shared" si="40"/>
        <v>-7.221221122112198E-2</v>
      </c>
      <c r="M77" s="15">
        <f t="shared" si="40"/>
        <v>7.0999999999999952E-3</v>
      </c>
      <c r="N77" s="15">
        <f t="shared" si="40"/>
        <v>6.4000000000000723E-3</v>
      </c>
      <c r="O77" s="15">
        <f t="shared" si="40"/>
        <v>6.4000000000000723E-3</v>
      </c>
      <c r="P77" s="15">
        <f t="shared" si="40"/>
        <v>-6.9999999999992291E-4</v>
      </c>
      <c r="Q77" s="15">
        <f t="shared" si="40"/>
        <v>1.4000000000000679E-3</v>
      </c>
      <c r="R77" s="15">
        <f t="shared" si="40"/>
        <v>2.0000000000000018E-3</v>
      </c>
      <c r="S77" s="15">
        <f t="shared" si="40"/>
        <v>2.597793380140212E-4</v>
      </c>
      <c r="T77" s="15">
        <f t="shared" si="40"/>
        <v>7.6000000000000512E-3</v>
      </c>
      <c r="U77" s="15">
        <f t="shared" si="40"/>
        <v>8.700000000000041E-3</v>
      </c>
      <c r="V77" s="15">
        <f t="shared" si="40"/>
        <v>6.4000000000000723E-3</v>
      </c>
      <c r="W77" s="15">
        <f t="shared" si="40"/>
        <v>-3.4599999999999964E-2</v>
      </c>
      <c r="X77" s="15">
        <f t="shared" si="40"/>
        <v>-8.6581450233724988E-2</v>
      </c>
      <c r="Y77" s="15">
        <f t="shared" si="40"/>
        <v>-8.4899999999999975E-2</v>
      </c>
      <c r="Z77" s="15">
        <f t="shared" si="40"/>
        <v>-9.5246368715083962E-2</v>
      </c>
      <c r="AA77" s="15">
        <f t="shared" si="40"/>
        <v>-8.9200531614070933E-2</v>
      </c>
      <c r="AB77" s="15">
        <f t="shared" si="40"/>
        <v>-8.7956328469629974E-2</v>
      </c>
      <c r="AC77" s="15">
        <f t="shared" si="40"/>
        <v>-9.7618233270446941E-2</v>
      </c>
      <c r="AD77" s="15">
        <f t="shared" si="40"/>
        <v>-8.4266883441720952E-2</v>
      </c>
      <c r="AE77" s="15">
        <f t="shared" si="40"/>
        <v>-8.3766633316657901E-2</v>
      </c>
      <c r="AF77" s="23">
        <f t="shared" si="40"/>
        <v>4.0999999999999925E-3</v>
      </c>
    </row>
    <row r="78" spans="1:32" x14ac:dyDescent="0.3">
      <c r="A78" s="51"/>
      <c r="B78" s="18" t="s">
        <v>56</v>
      </c>
      <c r="C78">
        <v>20</v>
      </c>
      <c r="D78">
        <v>0.9</v>
      </c>
      <c r="E78" s="15">
        <f t="shared" si="37"/>
        <v>-6.6006390210740951E-2</v>
      </c>
      <c r="F78" s="15">
        <f t="shared" ref="F78:AF78" si="41">F60-$D78</f>
        <v>-6.030000000000002E-2</v>
      </c>
      <c r="G78" s="15">
        <f t="shared" si="41"/>
        <v>-6.3853659641967098E-2</v>
      </c>
      <c r="H78" s="15">
        <f t="shared" si="41"/>
        <v>-7.440139982502203E-2</v>
      </c>
      <c r="I78" s="15">
        <f t="shared" si="41"/>
        <v>-6.9917585301837004E-2</v>
      </c>
      <c r="J78" s="15">
        <f t="shared" si="41"/>
        <v>-4.5882939632545972E-2</v>
      </c>
      <c r="K78" s="15">
        <f t="shared" si="41"/>
        <v>-5.1015091509150956E-2</v>
      </c>
      <c r="L78" s="15">
        <f t="shared" si="41"/>
        <v>-4.6814671467147018E-2</v>
      </c>
      <c r="M78" s="15">
        <f t="shared" si="41"/>
        <v>5.7099999999999929E-2</v>
      </c>
      <c r="N78" s="15">
        <f t="shared" si="41"/>
        <v>-2.1199999999999997E-2</v>
      </c>
      <c r="O78" s="15">
        <f t="shared" si="41"/>
        <v>-2.1199999999999997E-2</v>
      </c>
      <c r="P78" s="15">
        <f t="shared" si="41"/>
        <v>-1.2999999999999678E-3</v>
      </c>
      <c r="Q78" s="15">
        <f t="shared" si="41"/>
        <v>-1.8600000000000061E-2</v>
      </c>
      <c r="R78" s="15">
        <f t="shared" si="41"/>
        <v>-1.639999999999997E-2</v>
      </c>
      <c r="S78" s="15">
        <f t="shared" si="41"/>
        <v>-1.7844533600802071E-2</v>
      </c>
      <c r="T78" s="15">
        <f t="shared" si="41"/>
        <v>1.3999999999999568E-3</v>
      </c>
      <c r="U78" s="15">
        <f t="shared" si="41"/>
        <v>1.4100000000000001E-2</v>
      </c>
      <c r="V78" s="15">
        <f t="shared" si="41"/>
        <v>5.6400000000000006E-2</v>
      </c>
      <c r="W78" s="15">
        <f t="shared" si="41"/>
        <v>-5.5200000000000027E-2</v>
      </c>
      <c r="X78" s="15">
        <f t="shared" si="41"/>
        <v>-7.5231547143997046E-2</v>
      </c>
      <c r="Y78" s="15">
        <f t="shared" si="41"/>
        <v>-6.8799999999999972E-2</v>
      </c>
      <c r="Z78" s="15">
        <f t="shared" si="41"/>
        <v>-7.3293341694220082E-2</v>
      </c>
      <c r="AA78" s="15">
        <f t="shared" si="41"/>
        <v>-7.7997047845266065E-2</v>
      </c>
      <c r="AB78" s="15">
        <f t="shared" si="41"/>
        <v>-7.7205282207895021E-2</v>
      </c>
      <c r="AC78" s="15">
        <f t="shared" si="41"/>
        <v>-9.012183997336598E-2</v>
      </c>
      <c r="AD78" s="15">
        <f t="shared" si="41"/>
        <v>-6.698324162080993E-2</v>
      </c>
      <c r="AE78" s="15">
        <f t="shared" si="41"/>
        <v>-6.5682591295648018E-2</v>
      </c>
      <c r="AF78" s="23">
        <f t="shared" si="41"/>
        <v>5.4099999999999926E-2</v>
      </c>
    </row>
    <row r="79" spans="1:32" x14ac:dyDescent="0.3">
      <c r="A79" s="51"/>
      <c r="B79" s="18" t="s">
        <v>57</v>
      </c>
      <c r="C79">
        <v>20</v>
      </c>
      <c r="D79">
        <v>0.95</v>
      </c>
      <c r="E79" s="15">
        <f t="shared" si="37"/>
        <v>-8.3982973893303003E-2</v>
      </c>
      <c r="F79" s="15">
        <f t="shared" ref="F79:AF79" si="42">F61-$D79</f>
        <v>-8.219999999999994E-2</v>
      </c>
      <c r="G79" s="15">
        <f t="shared" si="42"/>
        <v>-8.8863791146424953E-2</v>
      </c>
      <c r="H79" s="15">
        <f t="shared" si="42"/>
        <v>-7.8121993982777971E-2</v>
      </c>
      <c r="I79" s="15">
        <f t="shared" si="42"/>
        <v>-7.2001027077498003E-2</v>
      </c>
      <c r="J79" s="15">
        <f t="shared" si="42"/>
        <v>2.1000000000000019E-2</v>
      </c>
      <c r="K79" s="15">
        <f t="shared" si="42"/>
        <v>-5.5999999999999939E-2</v>
      </c>
      <c r="L79" s="15">
        <f t="shared" si="42"/>
        <v>-5.3199999999999914E-2</v>
      </c>
      <c r="M79" s="15">
        <f t="shared" si="42"/>
        <v>6.7000000000000393E-3</v>
      </c>
      <c r="N79" s="15">
        <f t="shared" si="42"/>
        <v>1.0200000000000098E-2</v>
      </c>
      <c r="O79" s="15">
        <f t="shared" si="42"/>
        <v>1.0200000000000098E-2</v>
      </c>
      <c r="P79" s="15">
        <f t="shared" si="42"/>
        <v>3.4000000000000696E-3</v>
      </c>
      <c r="Q79" s="15">
        <f t="shared" si="42"/>
        <v>-1.9999999999997797E-4</v>
      </c>
      <c r="R79" s="15">
        <f t="shared" si="42"/>
        <v>1.7000000000000348E-3</v>
      </c>
      <c r="S79" s="15">
        <f t="shared" si="42"/>
        <v>6.7000000000000393E-3</v>
      </c>
      <c r="T79" s="15">
        <f t="shared" si="42"/>
        <v>1.3400000000000079E-2</v>
      </c>
      <c r="U79" s="15">
        <f t="shared" si="42"/>
        <v>1.4600000000000057E-2</v>
      </c>
      <c r="V79" s="15">
        <f t="shared" si="42"/>
        <v>1.0200000000000098E-2</v>
      </c>
      <c r="W79" s="15">
        <f t="shared" si="42"/>
        <v>-4.8499999999999988E-2</v>
      </c>
      <c r="X79" s="15">
        <f t="shared" si="42"/>
        <v>-8.5667425968108946E-2</v>
      </c>
      <c r="Y79" s="15">
        <f t="shared" si="42"/>
        <v>-8.3999999999999964E-2</v>
      </c>
      <c r="Z79" s="15">
        <f t="shared" si="42"/>
        <v>-9.4551252847379974E-2</v>
      </c>
      <c r="AA79" s="15">
        <f t="shared" si="42"/>
        <v>-9.2480832028629001E-2</v>
      </c>
      <c r="AB79" s="15">
        <f t="shared" si="42"/>
        <v>-9.0467859539252959E-2</v>
      </c>
      <c r="AC79" s="15">
        <f t="shared" si="42"/>
        <v>-8.4529177718832949E-2</v>
      </c>
      <c r="AD79" s="15">
        <f t="shared" si="42"/>
        <v>-8.3526665333066963E-2</v>
      </c>
      <c r="AE79" s="15">
        <f t="shared" si="42"/>
        <v>-8.2526465293058959E-2</v>
      </c>
      <c r="AF79" s="23">
        <f t="shared" si="42"/>
        <v>4.0999999999999925E-3</v>
      </c>
    </row>
    <row r="80" spans="1:32" ht="15" thickBot="1" x14ac:dyDescent="0.35">
      <c r="A80" s="51"/>
      <c r="B80" s="40" t="s">
        <v>57</v>
      </c>
      <c r="C80" s="38">
        <v>20</v>
      </c>
      <c r="D80" s="38">
        <v>0.9</v>
      </c>
      <c r="E80" s="25">
        <f t="shared" si="37"/>
        <v>-6.8148694665153053E-2</v>
      </c>
      <c r="F80" s="25">
        <f t="shared" ref="F80:AF80" si="43">F62-$D80</f>
        <v>-6.2300000000000022E-2</v>
      </c>
      <c r="G80" s="25">
        <f t="shared" si="43"/>
        <v>-6.6105561861521056E-2</v>
      </c>
      <c r="H80" s="25">
        <f t="shared" si="43"/>
        <v>-6.3810343396618063E-2</v>
      </c>
      <c r="I80" s="25">
        <f t="shared" si="43"/>
        <v>-5.6755669675278009E-2</v>
      </c>
      <c r="J80" s="25">
        <f t="shared" si="43"/>
        <v>2.52E-2</v>
      </c>
      <c r="K80" s="25">
        <f t="shared" si="43"/>
        <v>-3.7900000000000045E-2</v>
      </c>
      <c r="L80" s="25">
        <f t="shared" si="43"/>
        <v>-3.290000000000004E-2</v>
      </c>
      <c r="M80" s="25">
        <f t="shared" si="43"/>
        <v>5.6699999999999973E-2</v>
      </c>
      <c r="N80" s="25">
        <f t="shared" si="43"/>
        <v>-1.1600000000000055E-2</v>
      </c>
      <c r="O80" s="25">
        <f t="shared" si="43"/>
        <v>-1.1600000000000055E-2</v>
      </c>
      <c r="P80" s="25">
        <f t="shared" si="43"/>
        <v>5.6999999999999273E-3</v>
      </c>
      <c r="Q80" s="25">
        <f t="shared" si="43"/>
        <v>-6.1999999999999833E-3</v>
      </c>
      <c r="R80" s="25">
        <f t="shared" si="43"/>
        <v>-3.7000000000000366E-3</v>
      </c>
      <c r="S80" s="25">
        <f t="shared" si="43"/>
        <v>4.3999999999999595E-3</v>
      </c>
      <c r="T80" s="25">
        <f t="shared" si="43"/>
        <v>2.2599999999999953E-2</v>
      </c>
      <c r="U80" s="25">
        <f t="shared" si="43"/>
        <v>3.2599999999999962E-2</v>
      </c>
      <c r="V80" s="25">
        <f t="shared" si="43"/>
        <v>6.0200000000000031E-2</v>
      </c>
      <c r="W80" s="25">
        <f t="shared" si="43"/>
        <v>-7.7100000000000057E-2</v>
      </c>
      <c r="X80" s="25">
        <f t="shared" si="43"/>
        <v>-7.4277904328018063E-2</v>
      </c>
      <c r="Y80" s="25">
        <f t="shared" si="43"/>
        <v>-6.7900000000000071E-2</v>
      </c>
      <c r="Z80" s="25">
        <f t="shared" si="43"/>
        <v>-7.2455580865603997E-2</v>
      </c>
      <c r="AA80" s="25">
        <f t="shared" si="43"/>
        <v>-7.9944486692015038E-2</v>
      </c>
      <c r="AB80" s="25">
        <f t="shared" si="43"/>
        <v>-7.8155177812569976E-2</v>
      </c>
      <c r="AC80" s="25">
        <f t="shared" si="43"/>
        <v>-8.153183023872701E-2</v>
      </c>
      <c r="AD80" s="25">
        <f t="shared" si="43"/>
        <v>-6.3132586517303024E-2</v>
      </c>
      <c r="AE80" s="25">
        <f t="shared" si="43"/>
        <v>-5.9831926385277012E-2</v>
      </c>
      <c r="AF80" s="26">
        <f t="shared" si="43"/>
        <v>5.4099999999999926E-2</v>
      </c>
    </row>
    <row r="81" spans="1:32" x14ac:dyDescent="0.3">
      <c r="A81" s="51"/>
      <c r="B81" s="18" t="s">
        <v>31</v>
      </c>
      <c r="C81">
        <v>50</v>
      </c>
      <c r="D81">
        <v>0.95</v>
      </c>
      <c r="E81" s="15">
        <f t="shared" si="37"/>
        <v>-1.1010297666934954E-2</v>
      </c>
      <c r="F81" s="15">
        <f t="shared" ref="F81:AF81" si="44">F63-$D81</f>
        <v>-1.0699999999999932E-2</v>
      </c>
      <c r="G81" s="15">
        <f t="shared" si="44"/>
        <v>6.5502815768303524E-4</v>
      </c>
      <c r="H81" s="15">
        <f t="shared" si="44"/>
        <v>-1.2059015570064946E-2</v>
      </c>
      <c r="I81" s="15">
        <f t="shared" si="44"/>
        <v>-9.4472626820688577E-3</v>
      </c>
      <c r="J81" s="15">
        <f t="shared" si="44"/>
        <v>-2.0078348846620964E-2</v>
      </c>
      <c r="K81" s="15">
        <f t="shared" si="44"/>
        <v>-6.6999999999999282E-3</v>
      </c>
      <c r="L81" s="15">
        <f t="shared" si="44"/>
        <v>-2.3999999999999577E-3</v>
      </c>
      <c r="M81" s="15">
        <f t="shared" si="44"/>
        <v>2.0300000000000096E-2</v>
      </c>
      <c r="N81" s="15">
        <f t="shared" si="44"/>
        <v>-1.5100000000000002E-2</v>
      </c>
      <c r="O81" s="15">
        <f t="shared" si="44"/>
        <v>1.5100000000000002E-2</v>
      </c>
      <c r="P81" s="15">
        <f t="shared" si="44"/>
        <v>1.5000000000000568E-3</v>
      </c>
      <c r="Q81" s="15">
        <f t="shared" si="44"/>
        <v>-5.8999999999999053E-3</v>
      </c>
      <c r="R81" s="15">
        <f t="shared" si="44"/>
        <v>-4.3999999999999595E-3</v>
      </c>
      <c r="S81" s="15">
        <f t="shared" si="44"/>
        <v>-3.6053505350539528E-3</v>
      </c>
      <c r="T81" s="15">
        <f t="shared" si="44"/>
        <v>8.0999999999999961E-3</v>
      </c>
      <c r="U81" s="15">
        <f t="shared" si="44"/>
        <v>8.900000000000019E-3</v>
      </c>
      <c r="V81" s="15">
        <f t="shared" si="44"/>
        <v>1.5100000000000002E-2</v>
      </c>
      <c r="W81" s="15">
        <f t="shared" si="44"/>
        <v>2.00000000000089E-4</v>
      </c>
      <c r="X81" s="15">
        <f t="shared" si="44"/>
        <v>-7.0120481927710143E-3</v>
      </c>
      <c r="Y81" s="15">
        <f t="shared" si="44"/>
        <v>-6.7999999999999172E-3</v>
      </c>
      <c r="Z81" s="15">
        <f t="shared" si="44"/>
        <v>3.1285140562250513E-3</v>
      </c>
      <c r="AA81" s="15">
        <f t="shared" si="44"/>
        <v>-8.1862733293198708E-3</v>
      </c>
      <c r="AB81" s="15">
        <f t="shared" si="44"/>
        <v>-6.2797912903869157E-3</v>
      </c>
      <c r="AC81" s="15">
        <f t="shared" si="44"/>
        <v>-1.2353206938281902E-2</v>
      </c>
      <c r="AD81" s="15">
        <f t="shared" si="44"/>
        <v>-2.8105221044208983E-3</v>
      </c>
      <c r="AE81" s="15">
        <f t="shared" si="44"/>
        <v>-4.1004200840188965E-4</v>
      </c>
      <c r="AF81" s="23">
        <f t="shared" si="44"/>
        <v>2.090000000000003E-2</v>
      </c>
    </row>
    <row r="82" spans="1:32" x14ac:dyDescent="0.3">
      <c r="A82" s="51"/>
      <c r="B82" s="18" t="s">
        <v>31</v>
      </c>
      <c r="C82">
        <v>50</v>
      </c>
      <c r="D82">
        <v>0.9</v>
      </c>
      <c r="E82" s="15">
        <f t="shared" si="37"/>
        <v>3.8931617055508738E-3</v>
      </c>
      <c r="F82" s="15">
        <f t="shared" ref="F82:AF82" si="45">F64-$D82</f>
        <v>3.9300000000000002E-2</v>
      </c>
      <c r="G82" s="15">
        <f t="shared" si="45"/>
        <v>8.7626709573596084E-4</v>
      </c>
      <c r="H82" s="15">
        <f t="shared" si="45"/>
        <v>1.7782521346060287E-3</v>
      </c>
      <c r="I82" s="15">
        <f t="shared" si="45"/>
        <v>4.7918131592160629E-3</v>
      </c>
      <c r="J82" s="15">
        <f t="shared" si="45"/>
        <v>-6.7031970862000412E-3</v>
      </c>
      <c r="K82" s="15">
        <f t="shared" si="45"/>
        <v>2.5399999999999978E-2</v>
      </c>
      <c r="L82" s="15">
        <f t="shared" si="45"/>
        <v>2.8599999999999959E-2</v>
      </c>
      <c r="M82" s="15">
        <f t="shared" si="45"/>
        <v>4.3999999999999595E-3</v>
      </c>
      <c r="N82" s="15">
        <f t="shared" si="45"/>
        <v>-1.8500000000000072E-2</v>
      </c>
      <c r="O82" s="15">
        <f t="shared" si="45"/>
        <v>3.4899999999999931E-2</v>
      </c>
      <c r="P82" s="15">
        <f t="shared" si="45"/>
        <v>2.3999999999999577E-3</v>
      </c>
      <c r="Q82" s="15">
        <f t="shared" si="45"/>
        <v>-7.8000000000000291E-3</v>
      </c>
      <c r="R82" s="15">
        <f t="shared" si="45"/>
        <v>-6.4000000000000723E-3</v>
      </c>
      <c r="S82" s="15">
        <f t="shared" si="45"/>
        <v>-4.2104110411039786E-3</v>
      </c>
      <c r="T82" s="15">
        <f t="shared" si="45"/>
        <v>1.8900000000000028E-2</v>
      </c>
      <c r="U82" s="15">
        <f t="shared" si="45"/>
        <v>2.0199999999999996E-2</v>
      </c>
      <c r="V82" s="15">
        <f t="shared" si="45"/>
        <v>3.4899999999999931E-2</v>
      </c>
      <c r="W82" s="15">
        <f t="shared" si="45"/>
        <v>9.000000000000119E-4</v>
      </c>
      <c r="X82" s="15">
        <f t="shared" si="45"/>
        <v>8.5502008032130039E-3</v>
      </c>
      <c r="Y82" s="15">
        <f t="shared" si="45"/>
        <v>4.3200000000000016E-2</v>
      </c>
      <c r="Z82" s="15">
        <f t="shared" si="45"/>
        <v>8.8514056224899829E-3</v>
      </c>
      <c r="AA82" s="15">
        <f t="shared" si="45"/>
        <v>8.4001204093919757E-3</v>
      </c>
      <c r="AB82" s="15">
        <f t="shared" si="45"/>
        <v>1.1209672887819044E-2</v>
      </c>
      <c r="AC82" s="15">
        <f t="shared" si="45"/>
        <v>3.5604679306170395E-3</v>
      </c>
      <c r="AD82" s="15">
        <f t="shared" si="45"/>
        <v>2.898583716743397E-2</v>
      </c>
      <c r="AE82" s="15">
        <f t="shared" si="45"/>
        <v>3.158635727145398E-2</v>
      </c>
      <c r="AF82" s="23">
        <f t="shared" si="45"/>
        <v>8.900000000000019E-3</v>
      </c>
    </row>
    <row r="83" spans="1:32" x14ac:dyDescent="0.3">
      <c r="A83" s="51"/>
      <c r="B83" s="18" t="s">
        <v>56</v>
      </c>
      <c r="C83">
        <v>50</v>
      </c>
      <c r="D83">
        <v>0.95</v>
      </c>
      <c r="E83" s="15">
        <f t="shared" si="37"/>
        <v>-1.0536888710001913E-2</v>
      </c>
      <c r="F83" s="15">
        <f t="shared" ref="F83:AF83" si="46">F65-$D83</f>
        <v>-1.0199999999999987E-2</v>
      </c>
      <c r="G83" s="15">
        <f t="shared" si="46"/>
        <v>-7.2006439927885246E-5</v>
      </c>
      <c r="H83" s="15">
        <f t="shared" si="46"/>
        <v>-1.1144431053529913E-2</v>
      </c>
      <c r="I83" s="15">
        <f t="shared" si="46"/>
        <v>-7.1271567741288955E-3</v>
      </c>
      <c r="J83" s="15">
        <f t="shared" si="46"/>
        <v>-1.3121966948810959E-2</v>
      </c>
      <c r="K83" s="15">
        <f t="shared" si="46"/>
        <v>-3.805370537053987E-3</v>
      </c>
      <c r="L83" s="15">
        <f t="shared" si="46"/>
        <v>3.9504950495006241E-4</v>
      </c>
      <c r="M83" s="15">
        <f t="shared" si="46"/>
        <v>1.7400000000000082E-2</v>
      </c>
      <c r="N83" s="15">
        <f t="shared" si="46"/>
        <v>-1.21E-2</v>
      </c>
      <c r="O83" s="15">
        <f t="shared" si="46"/>
        <v>2.0600000000000063E-2</v>
      </c>
      <c r="P83" s="15">
        <f t="shared" si="46"/>
        <v>5.0000000000000044E-3</v>
      </c>
      <c r="Q83" s="15">
        <f t="shared" si="46"/>
        <v>-4.8999999999999044E-3</v>
      </c>
      <c r="R83" s="15">
        <f t="shared" si="46"/>
        <v>-4.4999999999999485E-3</v>
      </c>
      <c r="S83" s="15">
        <f t="shared" si="46"/>
        <v>-5.8709422248919285E-3</v>
      </c>
      <c r="T83" s="15">
        <f t="shared" si="46"/>
        <v>1.7300000000000093E-2</v>
      </c>
      <c r="U83" s="15">
        <f t="shared" si="46"/>
        <v>1.7500000000000071E-2</v>
      </c>
      <c r="V83" s="15">
        <f t="shared" si="46"/>
        <v>2.0600000000000063E-2</v>
      </c>
      <c r="W83" s="15">
        <f t="shared" si="46"/>
        <v>-0.10029999999999994</v>
      </c>
      <c r="X83" s="15">
        <f t="shared" si="46"/>
        <v>-1.1768220636994009E-2</v>
      </c>
      <c r="Y83" s="15">
        <f t="shared" si="46"/>
        <v>-1.1499999999999955E-2</v>
      </c>
      <c r="Z83" s="15">
        <f t="shared" si="46"/>
        <v>2.4988345222549668E-3</v>
      </c>
      <c r="AA83" s="15">
        <f t="shared" si="46"/>
        <v>-1.1847454052424933E-2</v>
      </c>
      <c r="AB83" s="15">
        <f t="shared" si="46"/>
        <v>-1.1646590338454943E-2</v>
      </c>
      <c r="AC83" s="15">
        <f t="shared" si="46"/>
        <v>-2.1643953818107908E-2</v>
      </c>
      <c r="AD83" s="15">
        <f t="shared" si="46"/>
        <v>-9.9059805980599158E-3</v>
      </c>
      <c r="AE83" s="15">
        <f t="shared" si="46"/>
        <v>-8.8058705870589504E-3</v>
      </c>
      <c r="AF83" s="23">
        <f t="shared" si="46"/>
        <v>2.0600000000000063E-2</v>
      </c>
    </row>
    <row r="84" spans="1:32" x14ac:dyDescent="0.3">
      <c r="A84" s="51"/>
      <c r="B84" s="18" t="s">
        <v>56</v>
      </c>
      <c r="C84">
        <v>50</v>
      </c>
      <c r="D84">
        <v>0.9</v>
      </c>
      <c r="E84" s="15">
        <f t="shared" si="37"/>
        <v>6.6597303280340192E-3</v>
      </c>
      <c r="F84" s="15">
        <f t="shared" ref="F84:AF84" si="47">F66-$D84</f>
        <v>3.9799999999999947E-2</v>
      </c>
      <c r="G84" s="15">
        <f t="shared" si="47"/>
        <v>6.7603541960149505E-3</v>
      </c>
      <c r="H84" s="15">
        <f t="shared" si="47"/>
        <v>5.210896856483016E-3</v>
      </c>
      <c r="I84" s="15">
        <f t="shared" si="47"/>
        <v>8.4247162800039632E-3</v>
      </c>
      <c r="J84" s="15">
        <f t="shared" si="47"/>
        <v>1.206932688431972E-3</v>
      </c>
      <c r="K84" s="15">
        <f t="shared" si="47"/>
        <v>2.5492559255925973E-2</v>
      </c>
      <c r="L84" s="15">
        <f t="shared" si="47"/>
        <v>2.7892799279927938E-2</v>
      </c>
      <c r="M84" s="15">
        <f t="shared" si="47"/>
        <v>7.1999999999999842E-3</v>
      </c>
      <c r="N84" s="15">
        <f t="shared" si="47"/>
        <v>-1.4500000000000068E-2</v>
      </c>
      <c r="O84" s="15">
        <f t="shared" si="47"/>
        <v>3.7899999999999934E-2</v>
      </c>
      <c r="P84" s="15">
        <f t="shared" si="47"/>
        <v>3.9000000000000146E-3</v>
      </c>
      <c r="Q84" s="15">
        <f t="shared" si="47"/>
        <v>-8.1999999999999851E-3</v>
      </c>
      <c r="R84" s="15">
        <f t="shared" si="47"/>
        <v>-7.4000000000000732E-3</v>
      </c>
      <c r="S84" s="15">
        <f t="shared" si="47"/>
        <v>-8.0387603885050396E-3</v>
      </c>
      <c r="T84" s="15">
        <f t="shared" si="47"/>
        <v>2.6200000000000001E-2</v>
      </c>
      <c r="U84" s="15">
        <f t="shared" si="47"/>
        <v>2.7299999999999991E-2</v>
      </c>
      <c r="V84" s="15">
        <f t="shared" si="47"/>
        <v>3.7899999999999934E-2</v>
      </c>
      <c r="W84" s="15">
        <f t="shared" si="47"/>
        <v>-0.14860000000000007</v>
      </c>
      <c r="X84" s="15">
        <f t="shared" si="47"/>
        <v>6.1811413644129454E-3</v>
      </c>
      <c r="Y84" s="15">
        <f t="shared" si="47"/>
        <v>3.8499999999999979E-2</v>
      </c>
      <c r="Z84" s="15">
        <f t="shared" si="47"/>
        <v>6.9849191198629867E-3</v>
      </c>
      <c r="AA84" s="15">
        <f t="shared" si="47"/>
        <v>6.6169428542730557E-3</v>
      </c>
      <c r="AB84" s="15">
        <f t="shared" si="47"/>
        <v>7.1191021391989739E-3</v>
      </c>
      <c r="AC84" s="15">
        <f t="shared" si="47"/>
        <v>-3.3433664168519561E-3</v>
      </c>
      <c r="AD84" s="15">
        <f t="shared" si="47"/>
        <v>3.4593469346934969E-2</v>
      </c>
      <c r="AE84" s="15">
        <f t="shared" si="47"/>
        <v>3.5493559355936011E-2</v>
      </c>
      <c r="AF84" s="23">
        <f t="shared" si="47"/>
        <v>6.5999999999999392E-3</v>
      </c>
    </row>
    <row r="85" spans="1:32" x14ac:dyDescent="0.3">
      <c r="A85" s="51"/>
      <c r="B85" s="18" t="s">
        <v>57</v>
      </c>
      <c r="C85">
        <v>50</v>
      </c>
      <c r="D85">
        <v>0.95</v>
      </c>
      <c r="E85" s="15">
        <f t="shared" si="37"/>
        <v>-9.6532449266629738E-3</v>
      </c>
      <c r="F85" s="15">
        <f t="shared" ref="F85:AF85" si="48">F67-$D85</f>
        <v>-9.3999999999999639E-3</v>
      </c>
      <c r="G85" s="15">
        <f t="shared" si="48"/>
        <v>-8.8808519189687019E-6</v>
      </c>
      <c r="H85" s="15">
        <f t="shared" si="48"/>
        <v>-6.9614475923519548E-3</v>
      </c>
      <c r="I85" s="15">
        <f t="shared" si="48"/>
        <v>-2.7568225047549522E-3</v>
      </c>
      <c r="J85" s="15">
        <f t="shared" si="48"/>
        <v>6.9000000000000172E-3</v>
      </c>
      <c r="K85" s="15">
        <f t="shared" si="48"/>
        <v>7.0000000000003393E-4</v>
      </c>
      <c r="L85" s="15">
        <f t="shared" si="48"/>
        <v>6.7000000000000393E-3</v>
      </c>
      <c r="M85" s="15">
        <f t="shared" si="48"/>
        <v>1.7700000000000049E-2</v>
      </c>
      <c r="N85" s="15">
        <f t="shared" si="48"/>
        <v>-1.4399999999999968E-2</v>
      </c>
      <c r="O85" s="15">
        <f t="shared" si="48"/>
        <v>1.6000000000000014E-2</v>
      </c>
      <c r="P85" s="15">
        <f t="shared" si="48"/>
        <v>1.9000000000000128E-3</v>
      </c>
      <c r="Q85" s="15">
        <f t="shared" si="48"/>
        <v>-3.4999999999999476E-3</v>
      </c>
      <c r="R85" s="15">
        <f t="shared" si="48"/>
        <v>-2.4999999999999467E-3</v>
      </c>
      <c r="S85" s="15">
        <f t="shared" si="48"/>
        <v>-1.5051405140509289E-3</v>
      </c>
      <c r="T85" s="15">
        <f t="shared" si="48"/>
        <v>1.0000000000000009E-2</v>
      </c>
      <c r="U85" s="15">
        <f t="shared" si="48"/>
        <v>1.100000000000001E-2</v>
      </c>
      <c r="V85" s="15">
        <f t="shared" si="48"/>
        <v>1.6000000000000014E-2</v>
      </c>
      <c r="W85" s="15">
        <f t="shared" si="48"/>
        <v>-0.16079999999999994</v>
      </c>
      <c r="X85" s="15">
        <f t="shared" si="48"/>
        <v>-9.9041029766689936E-3</v>
      </c>
      <c r="Y85" s="15">
        <f t="shared" si="48"/>
        <v>-9.5999999999999419E-3</v>
      </c>
      <c r="Z85" s="15">
        <f t="shared" si="48"/>
        <v>2.6662912308930142E-3</v>
      </c>
      <c r="AA85" s="15">
        <f t="shared" si="48"/>
        <v>-9.854169178220018E-3</v>
      </c>
      <c r="AB85" s="15">
        <f t="shared" si="48"/>
        <v>-8.1463130399840322E-3</v>
      </c>
      <c r="AC85" s="15">
        <f t="shared" si="48"/>
        <v>-2.0934920312658978E-2</v>
      </c>
      <c r="AD85" s="15">
        <f t="shared" si="48"/>
        <v>-5.9111422284459092E-3</v>
      </c>
      <c r="AE85" s="15">
        <f t="shared" si="48"/>
        <v>-3.8107221444289019E-3</v>
      </c>
      <c r="AF85" s="23">
        <f t="shared" si="48"/>
        <v>1.9500000000000073E-2</v>
      </c>
    </row>
    <row r="86" spans="1:32" ht="15" thickBot="1" x14ac:dyDescent="0.35">
      <c r="A86" s="51"/>
      <c r="B86" s="40" t="s">
        <v>57</v>
      </c>
      <c r="C86" s="38">
        <v>50</v>
      </c>
      <c r="D86" s="38">
        <v>0.9</v>
      </c>
      <c r="E86" s="25">
        <f t="shared" si="37"/>
        <v>4.6827004219409663E-3</v>
      </c>
      <c r="F86" s="25">
        <f t="shared" ref="F86:AF86" si="49">F68-$D86</f>
        <v>4.0599999999999969E-2</v>
      </c>
      <c r="G86" s="25">
        <f t="shared" si="49"/>
        <v>5.5868595539478871E-3</v>
      </c>
      <c r="H86" s="25">
        <f t="shared" si="49"/>
        <v>-3.9130944038440196E-3</v>
      </c>
      <c r="I86" s="25">
        <f t="shared" si="49"/>
        <v>4.1958254079489388E-3</v>
      </c>
      <c r="J86" s="25">
        <f t="shared" si="49"/>
        <v>1.8699999999999939E-2</v>
      </c>
      <c r="K86" s="25">
        <f t="shared" si="49"/>
        <v>1.0399999999999965E-2</v>
      </c>
      <c r="L86" s="25">
        <f t="shared" si="49"/>
        <v>1.8399999999999972E-2</v>
      </c>
      <c r="M86" s="25">
        <f t="shared" si="49"/>
        <v>5.0999999999999934E-3</v>
      </c>
      <c r="N86" s="25">
        <f t="shared" si="49"/>
        <v>-1.9700000000000051E-2</v>
      </c>
      <c r="O86" s="25">
        <f t="shared" si="49"/>
        <v>3.5599999999999965E-2</v>
      </c>
      <c r="P86" s="25">
        <f t="shared" si="49"/>
        <v>9.9999999999988987E-5</v>
      </c>
      <c r="Q86" s="25">
        <f t="shared" si="49"/>
        <v>-7.8000000000000291E-3</v>
      </c>
      <c r="R86" s="25">
        <f t="shared" si="49"/>
        <v>-6.5000000000000613E-3</v>
      </c>
      <c r="S86" s="25">
        <f t="shared" si="49"/>
        <v>-4.0103910391040554E-3</v>
      </c>
      <c r="T86" s="25">
        <f t="shared" si="49"/>
        <v>1.6499999999999959E-2</v>
      </c>
      <c r="U86" s="25">
        <f t="shared" si="49"/>
        <v>1.859999999999995E-2</v>
      </c>
      <c r="V86" s="25">
        <f t="shared" si="49"/>
        <v>3.5599999999999965E-2</v>
      </c>
      <c r="W86" s="25">
        <f t="shared" si="49"/>
        <v>-0.22260000000000002</v>
      </c>
      <c r="X86" s="25">
        <f t="shared" si="49"/>
        <v>6.2061142397429325E-3</v>
      </c>
      <c r="Y86" s="25">
        <f t="shared" si="49"/>
        <v>4.0399999999999991E-2</v>
      </c>
      <c r="Z86" s="25">
        <f t="shared" si="49"/>
        <v>6.1055510860819062E-3</v>
      </c>
      <c r="AA86" s="25">
        <f t="shared" si="49"/>
        <v>5.6873216797269643E-3</v>
      </c>
      <c r="AB86" s="25">
        <f t="shared" si="49"/>
        <v>7.8974884468558937E-3</v>
      </c>
      <c r="AC86" s="25">
        <f t="shared" si="49"/>
        <v>-6.058258044869036E-3</v>
      </c>
      <c r="AD86" s="25">
        <f t="shared" si="49"/>
        <v>3.188641728345698E-2</v>
      </c>
      <c r="AE86" s="25">
        <f t="shared" si="49"/>
        <v>3.3086657331465985E-2</v>
      </c>
      <c r="AF86" s="26">
        <f t="shared" si="49"/>
        <v>6.6999999999999282E-3</v>
      </c>
    </row>
    <row r="87" spans="1:32" x14ac:dyDescent="0.3">
      <c r="A87" s="51"/>
      <c r="B87" s="18" t="s">
        <v>31</v>
      </c>
      <c r="C87">
        <v>100</v>
      </c>
      <c r="D87">
        <v>0.95</v>
      </c>
      <c r="E87" s="15">
        <f t="shared" si="37"/>
        <v>3.2000000000000917E-3</v>
      </c>
      <c r="F87" s="15">
        <f t="shared" ref="F87:AF87" si="50">F69-$D87</f>
        <v>3.2000000000000917E-3</v>
      </c>
      <c r="G87" s="15">
        <f t="shared" si="50"/>
        <v>-1.1999999999999789E-3</v>
      </c>
      <c r="H87" s="15">
        <f t="shared" si="50"/>
        <v>1.0000000000000009E-3</v>
      </c>
      <c r="I87" s="15">
        <f t="shared" si="50"/>
        <v>1.2000000000000899E-3</v>
      </c>
      <c r="J87" s="15">
        <f t="shared" si="50"/>
        <v>-8.787878787879011E-3</v>
      </c>
      <c r="K87" s="15">
        <f t="shared" si="50"/>
        <v>2.1952295229520358E-3</v>
      </c>
      <c r="L87" s="15">
        <f t="shared" si="50"/>
        <v>2.5952695269531034E-3</v>
      </c>
      <c r="M87" s="15">
        <f t="shared" si="50"/>
        <v>3.2000000000000917E-3</v>
      </c>
      <c r="N87" s="15">
        <f t="shared" si="50"/>
        <v>-3.8999999999999035E-3</v>
      </c>
      <c r="O87" s="15">
        <f t="shared" si="50"/>
        <v>1.6199999999999992E-2</v>
      </c>
      <c r="P87" s="15">
        <f t="shared" si="50"/>
        <v>4.0999999999999925E-3</v>
      </c>
      <c r="Q87" s="15">
        <f t="shared" si="50"/>
        <v>2.00000000000089E-4</v>
      </c>
      <c r="R87" s="15">
        <f t="shared" si="50"/>
        <v>8.0000000000002292E-4</v>
      </c>
      <c r="S87" s="15">
        <f t="shared" si="50"/>
        <v>1.1854456336900521E-3</v>
      </c>
      <c r="T87" s="15">
        <f t="shared" si="50"/>
        <v>9.300000000000086E-3</v>
      </c>
      <c r="U87" s="15">
        <f t="shared" si="50"/>
        <v>1.0500000000000065E-2</v>
      </c>
      <c r="V87" s="15">
        <f t="shared" si="50"/>
        <v>1.6199999999999992E-2</v>
      </c>
      <c r="W87" s="15">
        <f t="shared" si="50"/>
        <v>-2.1999999999999797E-3</v>
      </c>
      <c r="X87" s="15">
        <f t="shared" si="50"/>
        <v>6.0999999999999943E-3</v>
      </c>
      <c r="Y87" s="15">
        <f t="shared" si="50"/>
        <v>6.0999999999999943E-3</v>
      </c>
      <c r="Z87" s="15">
        <f t="shared" si="50"/>
        <v>1.8000000000000238E-3</v>
      </c>
      <c r="AA87" s="15">
        <f t="shared" si="50"/>
        <v>2.6000000000000467E-3</v>
      </c>
      <c r="AB87" s="15">
        <f t="shared" si="50"/>
        <v>3.6000000000000476E-3</v>
      </c>
      <c r="AC87" s="15">
        <f t="shared" si="50"/>
        <v>-1.2435005529308762E-3</v>
      </c>
      <c r="AD87" s="15">
        <f t="shared" si="50"/>
        <v>4.6000000000000485E-3</v>
      </c>
      <c r="AE87" s="15">
        <f t="shared" si="50"/>
        <v>5.2000000000000934E-3</v>
      </c>
      <c r="AF87" s="23">
        <f t="shared" si="50"/>
        <v>6.0999999999999943E-3</v>
      </c>
    </row>
    <row r="88" spans="1:32" x14ac:dyDescent="0.3">
      <c r="A88" s="51"/>
      <c r="B88" s="18" t="s">
        <v>31</v>
      </c>
      <c r="C88">
        <v>100</v>
      </c>
      <c r="D88">
        <v>0.9</v>
      </c>
      <c r="E88" s="15">
        <f t="shared" si="37"/>
        <v>-3.5000000000000586E-3</v>
      </c>
      <c r="F88" s="15">
        <f t="shared" ref="F88:AF88" si="51">F70-$D88</f>
        <v>-3.5000000000000586E-3</v>
      </c>
      <c r="G88" s="15">
        <f t="shared" si="51"/>
        <v>-5.7000000000000384E-3</v>
      </c>
      <c r="H88" s="15">
        <f t="shared" si="51"/>
        <v>-7.6000000000000512E-3</v>
      </c>
      <c r="I88" s="15">
        <f t="shared" si="51"/>
        <v>-6.9000000000000172E-3</v>
      </c>
      <c r="J88" s="15">
        <f t="shared" si="51"/>
        <v>-1.7474747474747976E-2</v>
      </c>
      <c r="K88" s="15">
        <f t="shared" si="51"/>
        <v>-4.9104810481049865E-3</v>
      </c>
      <c r="L88" s="15">
        <f t="shared" si="51"/>
        <v>-3.710361036104004E-3</v>
      </c>
      <c r="M88" s="15">
        <f t="shared" si="51"/>
        <v>9.000000000000119E-4</v>
      </c>
      <c r="N88" s="15">
        <f t="shared" si="51"/>
        <v>1.5499999999999958E-2</v>
      </c>
      <c r="O88" s="15">
        <f t="shared" si="51"/>
        <v>1.5499999999999958E-2</v>
      </c>
      <c r="P88" s="15">
        <f t="shared" si="51"/>
        <v>5.0000000000000044E-3</v>
      </c>
      <c r="Q88" s="15">
        <f t="shared" si="51"/>
        <v>6.6999999999999282E-3</v>
      </c>
      <c r="R88" s="15">
        <f t="shared" si="51"/>
        <v>7.2999999999999732E-3</v>
      </c>
      <c r="S88" s="15">
        <f t="shared" si="51"/>
        <v>8.3726017805340058E-3</v>
      </c>
      <c r="T88" s="15">
        <f t="shared" si="51"/>
        <v>1.2000000000000011E-2</v>
      </c>
      <c r="U88" s="15">
        <f t="shared" si="51"/>
        <v>1.2499999999999956E-2</v>
      </c>
      <c r="V88" s="15">
        <f t="shared" si="51"/>
        <v>1.5499999999999958E-2</v>
      </c>
      <c r="W88" s="15">
        <f t="shared" si="51"/>
        <v>9.9999999999988987E-5</v>
      </c>
      <c r="X88" s="15">
        <f t="shared" si="51"/>
        <v>4.6999999999999265E-3</v>
      </c>
      <c r="Y88" s="15">
        <f t="shared" si="51"/>
        <v>4.6999999999999265E-3</v>
      </c>
      <c r="Z88" s="15">
        <f t="shared" si="51"/>
        <v>3.6999999999999256E-3</v>
      </c>
      <c r="AA88" s="15">
        <f t="shared" si="51"/>
        <v>1.2999999999999678E-3</v>
      </c>
      <c r="AB88" s="15">
        <f t="shared" si="51"/>
        <v>3.0000000000000027E-3</v>
      </c>
      <c r="AC88" s="15">
        <f t="shared" si="51"/>
        <v>-1.81151100834398E-3</v>
      </c>
      <c r="AD88" s="15">
        <f t="shared" si="51"/>
        <v>4.9000000000000155E-3</v>
      </c>
      <c r="AE88" s="15">
        <f t="shared" si="51"/>
        <v>5.9000000000000163E-3</v>
      </c>
      <c r="AF88" s="23">
        <f t="shared" si="51"/>
        <v>1.0000000000000009E-2</v>
      </c>
    </row>
    <row r="89" spans="1:32" x14ac:dyDescent="0.3">
      <c r="A89" s="51"/>
      <c r="B89" s="18" t="s">
        <v>56</v>
      </c>
      <c r="C89">
        <v>100</v>
      </c>
      <c r="D89">
        <v>0.95</v>
      </c>
      <c r="E89" s="15">
        <f t="shared" si="37"/>
        <v>6.7000000000000393E-3</v>
      </c>
      <c r="F89" s="15">
        <f t="shared" ref="F89:AF89" si="52">F71-$D89</f>
        <v>6.7000000000000393E-3</v>
      </c>
      <c r="G89" s="15">
        <f t="shared" si="52"/>
        <v>2.0999999999999908E-3</v>
      </c>
      <c r="H89" s="15">
        <f t="shared" si="52"/>
        <v>2.4952595259530863E-3</v>
      </c>
      <c r="I89" s="15">
        <f t="shared" si="52"/>
        <v>3.3953495349540175E-3</v>
      </c>
      <c r="J89" s="15">
        <f t="shared" si="52"/>
        <v>-2.9331217890599115E-3</v>
      </c>
      <c r="K89" s="15">
        <f t="shared" si="52"/>
        <v>5.7000000000000384E-3</v>
      </c>
      <c r="L89" s="15">
        <f t="shared" si="52"/>
        <v>6.4000000000000723E-3</v>
      </c>
      <c r="M89" s="15">
        <f t="shared" si="52"/>
        <v>6.7000000000000393E-3</v>
      </c>
      <c r="N89" s="15">
        <f t="shared" si="52"/>
        <v>-6.0000000000000053E-3</v>
      </c>
      <c r="O89" s="15">
        <f t="shared" si="52"/>
        <v>1.5100000000000002E-2</v>
      </c>
      <c r="P89" s="15">
        <f t="shared" si="52"/>
        <v>6.0000000000004494E-4</v>
      </c>
      <c r="Q89" s="15">
        <f t="shared" si="52"/>
        <v>-3.0999999999999917E-3</v>
      </c>
      <c r="R89" s="15">
        <f t="shared" si="52"/>
        <v>-2.6999999999999247E-3</v>
      </c>
      <c r="S89" s="15">
        <f t="shared" si="52"/>
        <v>-3.7630756908288987E-3</v>
      </c>
      <c r="T89" s="15">
        <f t="shared" si="52"/>
        <v>7.8000000000000291E-3</v>
      </c>
      <c r="U89" s="15">
        <f t="shared" si="52"/>
        <v>8.900000000000019E-3</v>
      </c>
      <c r="V89" s="15">
        <f t="shared" si="52"/>
        <v>1.5100000000000002E-2</v>
      </c>
      <c r="W89" s="15">
        <f t="shared" si="52"/>
        <v>-0.21729999999999994</v>
      </c>
      <c r="X89" s="15">
        <f t="shared" si="52"/>
        <v>5.2000000000000934E-3</v>
      </c>
      <c r="Y89" s="15">
        <f t="shared" si="52"/>
        <v>5.2000000000000934E-3</v>
      </c>
      <c r="Z89" s="15">
        <f t="shared" si="52"/>
        <v>9.9999999999988987E-5</v>
      </c>
      <c r="AA89" s="15">
        <f t="shared" si="52"/>
        <v>4.5909581916380171E-3</v>
      </c>
      <c r="AB89" s="15">
        <f t="shared" si="52"/>
        <v>4.7909981996400175E-3</v>
      </c>
      <c r="AC89" s="15">
        <f t="shared" si="52"/>
        <v>-4.9316002019179628E-3</v>
      </c>
      <c r="AD89" s="15">
        <f t="shared" si="52"/>
        <v>4.9955095509550684E-3</v>
      </c>
      <c r="AE89" s="15">
        <f t="shared" si="52"/>
        <v>5.0955195519550855E-3</v>
      </c>
      <c r="AF89" s="23">
        <f t="shared" si="52"/>
        <v>5.2000000000000934E-3</v>
      </c>
    </row>
    <row r="90" spans="1:32" x14ac:dyDescent="0.3">
      <c r="A90" s="51"/>
      <c r="B90" s="18" t="s">
        <v>56</v>
      </c>
      <c r="C90">
        <v>100</v>
      </c>
      <c r="D90">
        <v>0.9</v>
      </c>
      <c r="E90" s="15">
        <f t="shared" si="37"/>
        <v>2.1999999999999797E-3</v>
      </c>
      <c r="F90" s="15">
        <f t="shared" ref="F90:AF90" si="53">F72-$D90</f>
        <v>2.1999999999999797E-3</v>
      </c>
      <c r="G90" s="15">
        <f t="shared" si="53"/>
        <v>0</v>
      </c>
      <c r="H90" s="15">
        <f t="shared" si="53"/>
        <v>-2.210211021101971E-3</v>
      </c>
      <c r="I90" s="15">
        <f t="shared" si="53"/>
        <v>-6.1005100510003185E-4</v>
      </c>
      <c r="J90" s="15">
        <f t="shared" si="53"/>
        <v>-7.2294852422689626E-3</v>
      </c>
      <c r="K90" s="15">
        <f t="shared" si="53"/>
        <v>1.5999999999999348E-3</v>
      </c>
      <c r="L90" s="15">
        <f t="shared" si="53"/>
        <v>3.2999999999999696E-3</v>
      </c>
      <c r="M90" s="15">
        <f t="shared" si="53"/>
        <v>4.5999999999999375E-3</v>
      </c>
      <c r="N90" s="15">
        <f t="shared" si="53"/>
        <v>1.3000000000000012E-2</v>
      </c>
      <c r="O90" s="15">
        <f t="shared" si="53"/>
        <v>1.3000000000000012E-2</v>
      </c>
      <c r="P90" s="15">
        <f t="shared" si="53"/>
        <v>2.8000000000000247E-3</v>
      </c>
      <c r="Q90" s="15">
        <f t="shared" si="53"/>
        <v>8.0999999999999961E-3</v>
      </c>
      <c r="R90" s="15">
        <f t="shared" si="53"/>
        <v>8.3999999999999631E-3</v>
      </c>
      <c r="S90" s="15">
        <f t="shared" si="53"/>
        <v>7.1900680816979756E-3</v>
      </c>
      <c r="T90" s="15">
        <f t="shared" si="53"/>
        <v>1.100000000000001E-2</v>
      </c>
      <c r="U90" s="15">
        <f t="shared" si="53"/>
        <v>1.1199999999999988E-2</v>
      </c>
      <c r="V90" s="15">
        <f t="shared" si="53"/>
        <v>1.3000000000000012E-2</v>
      </c>
      <c r="W90" s="15">
        <f t="shared" si="53"/>
        <v>-0.28320000000000001</v>
      </c>
      <c r="X90" s="15">
        <f t="shared" si="53"/>
        <v>5.9999999999993392E-4</v>
      </c>
      <c r="Y90" s="15">
        <f t="shared" si="53"/>
        <v>5.9999999999993392E-4</v>
      </c>
      <c r="Z90" s="15">
        <f t="shared" si="53"/>
        <v>-5.0000000000005596E-4</v>
      </c>
      <c r="AA90" s="15">
        <f t="shared" si="53"/>
        <v>-9.2014402880602475E-4</v>
      </c>
      <c r="AB90" s="15">
        <f t="shared" si="53"/>
        <v>-4.2004400880202297E-4</v>
      </c>
      <c r="AC90" s="15">
        <f t="shared" si="53"/>
        <v>-1.0459111559817935E-2</v>
      </c>
      <c r="AD90" s="15">
        <f t="shared" si="53"/>
        <v>2.9003900390001114E-4</v>
      </c>
      <c r="AE90" s="15">
        <f t="shared" si="53"/>
        <v>4.9005900590093354E-4</v>
      </c>
      <c r="AF90" s="23">
        <f t="shared" si="53"/>
        <v>1.2999999999999678E-3</v>
      </c>
    </row>
    <row r="91" spans="1:32" x14ac:dyDescent="0.3">
      <c r="A91" s="51"/>
      <c r="B91" s="18" t="s">
        <v>57</v>
      </c>
      <c r="C91">
        <v>100</v>
      </c>
      <c r="D91">
        <v>0.95</v>
      </c>
      <c r="E91" s="15">
        <f t="shared" si="37"/>
        <v>3.9000000000000146E-3</v>
      </c>
      <c r="F91" s="15">
        <f t="shared" ref="F91:AF91" si="54">F73-$D91</f>
        <v>3.9000000000000146E-3</v>
      </c>
      <c r="G91" s="15">
        <f t="shared" si="54"/>
        <v>2.00000000000089E-4</v>
      </c>
      <c r="H91" s="15">
        <f t="shared" si="54"/>
        <v>-1.7999999999999128E-3</v>
      </c>
      <c r="I91" s="15">
        <f t="shared" si="54"/>
        <v>6.0000000000004494E-4</v>
      </c>
      <c r="J91" s="15">
        <f t="shared" si="54"/>
        <v>4.2000000000000925E-3</v>
      </c>
      <c r="K91" s="15">
        <f t="shared" si="54"/>
        <v>2.0000000000000018E-3</v>
      </c>
      <c r="L91" s="15">
        <f t="shared" si="54"/>
        <v>4.0000000000000036E-3</v>
      </c>
      <c r="M91" s="15">
        <f t="shared" si="54"/>
        <v>3.9000000000000146E-3</v>
      </c>
      <c r="N91" s="15">
        <f t="shared" si="54"/>
        <v>-4.4999999999999485E-3</v>
      </c>
      <c r="O91" s="15">
        <f t="shared" si="54"/>
        <v>1.2800000000000034E-2</v>
      </c>
      <c r="P91" s="15">
        <f t="shared" si="54"/>
        <v>1.0999999999999899E-3</v>
      </c>
      <c r="Q91" s="15">
        <f t="shared" si="54"/>
        <v>-1.1999999999999789E-3</v>
      </c>
      <c r="R91" s="15">
        <f t="shared" si="54"/>
        <v>-5.9999999999993392E-4</v>
      </c>
      <c r="S91" s="15">
        <f t="shared" si="54"/>
        <v>-9.9999999999988987E-5</v>
      </c>
      <c r="T91" s="15">
        <f t="shared" si="54"/>
        <v>6.2000000000000943E-3</v>
      </c>
      <c r="U91" s="15">
        <f t="shared" si="54"/>
        <v>6.9000000000000172E-3</v>
      </c>
      <c r="V91" s="15">
        <f t="shared" si="54"/>
        <v>1.2800000000000034E-2</v>
      </c>
      <c r="W91" s="15">
        <f t="shared" si="54"/>
        <v>-0.33189999999999997</v>
      </c>
      <c r="X91" s="15">
        <f t="shared" si="54"/>
        <v>9.5000000000000639E-3</v>
      </c>
      <c r="Y91" s="15">
        <f t="shared" si="54"/>
        <v>9.5000000000000639E-3</v>
      </c>
      <c r="Z91" s="15">
        <f t="shared" si="54"/>
        <v>5.7000000000000384E-3</v>
      </c>
      <c r="AA91" s="15">
        <f t="shared" si="54"/>
        <v>7.8957995799580072E-3</v>
      </c>
      <c r="AB91" s="15">
        <f t="shared" si="54"/>
        <v>8.2958395839580756E-3</v>
      </c>
      <c r="AC91" s="15">
        <f t="shared" si="54"/>
        <v>1.6192156467409458E-4</v>
      </c>
      <c r="AD91" s="15">
        <f t="shared" si="54"/>
        <v>8.8918183636730319E-3</v>
      </c>
      <c r="AE91" s="15">
        <f t="shared" si="54"/>
        <v>9.0918583716740331E-3</v>
      </c>
      <c r="AF91" s="23">
        <f t="shared" si="54"/>
        <v>9.5000000000000639E-3</v>
      </c>
    </row>
    <row r="92" spans="1:32" ht="15" thickBot="1" x14ac:dyDescent="0.35">
      <c r="A92" s="52"/>
      <c r="B92" s="40" t="s">
        <v>57</v>
      </c>
      <c r="C92" s="38">
        <v>100</v>
      </c>
      <c r="D92" s="38">
        <v>0.9</v>
      </c>
      <c r="E92" s="25">
        <f t="shared" si="37"/>
        <v>-7.0000000000003393E-4</v>
      </c>
      <c r="F92" s="25">
        <f t="shared" ref="F92:AF92" si="55">F74-$D92</f>
        <v>-7.0000000000003393E-4</v>
      </c>
      <c r="G92" s="25">
        <f t="shared" si="55"/>
        <v>-2.5000000000000577E-3</v>
      </c>
      <c r="H92" s="25">
        <f t="shared" si="55"/>
        <v>-9.000000000000008E-3</v>
      </c>
      <c r="I92" s="25">
        <f t="shared" si="55"/>
        <v>-5.8000000000000274E-3</v>
      </c>
      <c r="J92" s="25">
        <f t="shared" si="55"/>
        <v>1.9000000000000128E-3</v>
      </c>
      <c r="K92" s="25">
        <f t="shared" si="55"/>
        <v>-2.0999999999999908E-3</v>
      </c>
      <c r="L92" s="25">
        <f t="shared" si="55"/>
        <v>2.1999999999999797E-3</v>
      </c>
      <c r="M92" s="25">
        <f t="shared" si="55"/>
        <v>1.0999999999999899E-3</v>
      </c>
      <c r="N92" s="25">
        <f t="shared" si="55"/>
        <v>1.3799999999999923E-2</v>
      </c>
      <c r="O92" s="25">
        <f t="shared" si="55"/>
        <v>1.3799999999999923E-2</v>
      </c>
      <c r="P92" s="25">
        <f t="shared" si="55"/>
        <v>3.3999999999999586E-3</v>
      </c>
      <c r="Q92" s="25">
        <f t="shared" si="55"/>
        <v>4.9000000000000155E-3</v>
      </c>
      <c r="R92" s="25">
        <f t="shared" si="55"/>
        <v>5.3999999999999604E-3</v>
      </c>
      <c r="S92" s="25">
        <f t="shared" si="55"/>
        <v>7.1999999999999842E-3</v>
      </c>
      <c r="T92" s="25">
        <f t="shared" si="55"/>
        <v>1.0699999999999932E-2</v>
      </c>
      <c r="U92" s="25">
        <f t="shared" si="55"/>
        <v>1.1299999999999977E-2</v>
      </c>
      <c r="V92" s="25">
        <f t="shared" si="55"/>
        <v>1.3799999999999923E-2</v>
      </c>
      <c r="W92" s="25">
        <f t="shared" si="55"/>
        <v>-0.40770000000000001</v>
      </c>
      <c r="X92" s="25">
        <f t="shared" si="55"/>
        <v>4.4999999999999485E-3</v>
      </c>
      <c r="Y92" s="25">
        <f t="shared" si="55"/>
        <v>4.4999999999999485E-3</v>
      </c>
      <c r="Z92" s="25">
        <f t="shared" si="55"/>
        <v>4.1999999999999815E-3</v>
      </c>
      <c r="AA92" s="25">
        <f t="shared" si="55"/>
        <v>1.9902090209019674E-3</v>
      </c>
      <c r="AB92" s="25">
        <f t="shared" si="55"/>
        <v>2.6902790279029754E-3</v>
      </c>
      <c r="AC92" s="25">
        <f t="shared" si="55"/>
        <v>-5.6904829115840272E-3</v>
      </c>
      <c r="AD92" s="25">
        <f t="shared" si="55"/>
        <v>3.9808361672329928E-3</v>
      </c>
      <c r="AE92" s="25">
        <f t="shared" si="55"/>
        <v>4.9810362072409964E-3</v>
      </c>
      <c r="AF92" s="26">
        <f t="shared" si="55"/>
        <v>8.0000000000000071E-3</v>
      </c>
    </row>
  </sheetData>
  <sortState xmlns:xlrd2="http://schemas.microsoft.com/office/spreadsheetml/2017/richdata2" ref="B3:S60">
    <sortCondition ref="D3:D60"/>
    <sortCondition ref="B3:B60"/>
  </sortState>
  <mergeCells count="8">
    <mergeCell ref="E1:M1"/>
    <mergeCell ref="N1:W1"/>
    <mergeCell ref="X1:AF1"/>
    <mergeCell ref="A3:A20"/>
    <mergeCell ref="A21:A38"/>
    <mergeCell ref="A39:A56"/>
    <mergeCell ref="A57:A74"/>
    <mergeCell ref="A75:A92"/>
  </mergeCells>
  <conditionalFormatting sqref="E39:AF5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75:AF9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1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88AF6-A9CD-484C-8766-C4052CD4E27C}">
  <sheetPr>
    <tabColor theme="6"/>
  </sheetPr>
  <dimension ref="A2:Y21"/>
  <sheetViews>
    <sheetView workbookViewId="0">
      <selection activeCell="A2" sqref="A2"/>
    </sheetView>
  </sheetViews>
  <sheetFormatPr defaultRowHeight="14.4" x14ac:dyDescent="0.3"/>
  <sheetData>
    <row r="2" spans="1:25" x14ac:dyDescent="0.3">
      <c r="C2" t="s">
        <v>184</v>
      </c>
      <c r="D2" s="45" t="s">
        <v>95</v>
      </c>
      <c r="E2" s="45"/>
      <c r="F2" s="45"/>
      <c r="G2" s="45"/>
      <c r="H2" s="45"/>
      <c r="I2" s="45"/>
      <c r="J2" s="45"/>
      <c r="K2" s="45" t="s">
        <v>97</v>
      </c>
      <c r="L2" s="45"/>
      <c r="M2" s="45"/>
      <c r="N2" s="45"/>
      <c r="O2" s="45"/>
      <c r="P2" s="45"/>
      <c r="Q2" s="45"/>
      <c r="R2" s="45"/>
      <c r="S2" s="45" t="s">
        <v>99</v>
      </c>
      <c r="T2" s="45"/>
      <c r="U2" s="45"/>
      <c r="V2" s="45"/>
      <c r="W2" s="45"/>
      <c r="X2" s="45"/>
      <c r="Y2" s="45"/>
    </row>
    <row r="3" spans="1:25" x14ac:dyDescent="0.3">
      <c r="A3" t="s">
        <v>0</v>
      </c>
      <c r="B3" t="s">
        <v>1</v>
      </c>
      <c r="C3" t="s">
        <v>61</v>
      </c>
      <c r="D3" t="s">
        <v>149</v>
      </c>
      <c r="E3" t="s">
        <v>123</v>
      </c>
      <c r="F3" t="s">
        <v>122</v>
      </c>
      <c r="G3" t="s">
        <v>125</v>
      </c>
      <c r="H3" t="s">
        <v>124</v>
      </c>
      <c r="I3" t="s">
        <v>130</v>
      </c>
      <c r="J3" t="s">
        <v>126</v>
      </c>
      <c r="K3" t="s">
        <v>149</v>
      </c>
      <c r="L3" t="s">
        <v>123</v>
      </c>
      <c r="M3" t="s">
        <v>122</v>
      </c>
      <c r="N3" t="s">
        <v>125</v>
      </c>
      <c r="O3" t="s">
        <v>124</v>
      </c>
      <c r="P3" t="s">
        <v>130</v>
      </c>
      <c r="Q3" t="s">
        <v>126</v>
      </c>
      <c r="R3" t="s">
        <v>155</v>
      </c>
      <c r="S3" t="s">
        <v>149</v>
      </c>
      <c r="T3" t="s">
        <v>123</v>
      </c>
      <c r="U3" t="s">
        <v>122</v>
      </c>
      <c r="V3" t="s">
        <v>125</v>
      </c>
      <c r="W3" t="s">
        <v>124</v>
      </c>
      <c r="X3" t="s">
        <v>130</v>
      </c>
      <c r="Y3" t="s">
        <v>126</v>
      </c>
    </row>
    <row r="4" spans="1:25" x14ac:dyDescent="0.3">
      <c r="A4" t="s">
        <v>31</v>
      </c>
      <c r="B4">
        <v>20</v>
      </c>
      <c r="C4">
        <v>0.95</v>
      </c>
      <c r="D4" s="15">
        <v>0.86583830539400197</v>
      </c>
      <c r="E4" s="15">
        <v>0.86719999999999997</v>
      </c>
      <c r="F4" s="15">
        <v>0.85739948682860101</v>
      </c>
      <c r="G4" s="15">
        <v>0.85817063895644496</v>
      </c>
      <c r="H4" s="15">
        <v>0.86071319920406797</v>
      </c>
      <c r="I4" s="15">
        <v>0.88165282730514505</v>
      </c>
      <c r="J4" s="15">
        <v>0.95889999999999997</v>
      </c>
      <c r="K4" s="15">
        <v>0.95609999999999995</v>
      </c>
      <c r="L4" s="15">
        <v>0.95609999999999995</v>
      </c>
      <c r="M4" s="15">
        <v>0.94969999999999999</v>
      </c>
      <c r="N4" s="15">
        <v>0.94879999999999998</v>
      </c>
      <c r="O4" s="15">
        <v>0.94979999999999998</v>
      </c>
      <c r="P4" s="15">
        <v>0.95297673836918506</v>
      </c>
      <c r="Q4" s="15">
        <v>0.95609999999999995</v>
      </c>
      <c r="R4" s="15">
        <v>0.95430000000000004</v>
      </c>
      <c r="S4" s="15">
        <v>0.86789875198547795</v>
      </c>
      <c r="T4" s="15">
        <v>0.86950000000000005</v>
      </c>
      <c r="U4" s="15">
        <v>0.86029720898570494</v>
      </c>
      <c r="V4" s="15">
        <v>0.85886699328415694</v>
      </c>
      <c r="W4" s="15">
        <v>0.86139919630078199</v>
      </c>
      <c r="X4" s="15">
        <v>0.88998052507435099</v>
      </c>
      <c r="Y4" s="15">
        <v>0.9526</v>
      </c>
    </row>
    <row r="5" spans="1:25" x14ac:dyDescent="0.3">
      <c r="A5" t="s">
        <v>31</v>
      </c>
      <c r="B5">
        <v>20</v>
      </c>
      <c r="C5">
        <v>0.9</v>
      </c>
      <c r="D5" s="15">
        <v>0.830030345535409</v>
      </c>
      <c r="E5" s="15">
        <v>0.83579999999999999</v>
      </c>
      <c r="F5" s="15">
        <v>0.83242514539856305</v>
      </c>
      <c r="G5" s="15">
        <v>0.82069551182843192</v>
      </c>
      <c r="H5" s="15">
        <v>0.82412244085783792</v>
      </c>
      <c r="I5" s="15">
        <v>0.83427636271013805</v>
      </c>
      <c r="J5" s="15">
        <v>0.95889999999999997</v>
      </c>
      <c r="K5" s="15">
        <v>0.88900000000000001</v>
      </c>
      <c r="L5" s="15">
        <v>0.88900000000000001</v>
      </c>
      <c r="M5" s="15">
        <v>0.90720000000000001</v>
      </c>
      <c r="N5" s="15">
        <v>0.89429999999999998</v>
      </c>
      <c r="O5" s="15">
        <v>0.89670000000000005</v>
      </c>
      <c r="P5" s="15">
        <v>0.9024514757378691</v>
      </c>
      <c r="Q5" s="15">
        <v>0.95609999999999995</v>
      </c>
      <c r="R5" s="15">
        <v>0.90639999999999998</v>
      </c>
      <c r="S5" s="15">
        <v>0.82762191967324694</v>
      </c>
      <c r="T5" s="15">
        <v>0.83399999999999996</v>
      </c>
      <c r="U5" s="15">
        <v>0.829664125255276</v>
      </c>
      <c r="V5" s="15">
        <v>0.82088394803479003</v>
      </c>
      <c r="W5" s="15">
        <v>0.82341615105141497</v>
      </c>
      <c r="X5" s="15">
        <v>0.84085735821967</v>
      </c>
      <c r="Y5" s="15">
        <v>0.9526</v>
      </c>
    </row>
    <row r="6" spans="1:25" x14ac:dyDescent="0.3">
      <c r="A6" t="s">
        <v>56</v>
      </c>
      <c r="B6">
        <v>20</v>
      </c>
      <c r="C6">
        <v>0.95</v>
      </c>
      <c r="D6" s="15">
        <v>0.87036342624065299</v>
      </c>
      <c r="E6" s="15">
        <v>0.87180000000000002</v>
      </c>
      <c r="F6" s="15">
        <v>0.86345202809879895</v>
      </c>
      <c r="G6" s="15">
        <v>0.86114103237095396</v>
      </c>
      <c r="H6" s="15">
        <v>0.86485931758530199</v>
      </c>
      <c r="I6" s="15">
        <v>0.90156305269533599</v>
      </c>
      <c r="J6" s="15">
        <v>0.95709999999999995</v>
      </c>
      <c r="K6" s="15">
        <v>0.95640000000000003</v>
      </c>
      <c r="L6" s="15">
        <v>0.95640000000000003</v>
      </c>
      <c r="M6" s="15">
        <v>0.94930000000000003</v>
      </c>
      <c r="N6" s="15">
        <v>0.95140000000000002</v>
      </c>
      <c r="O6" s="15">
        <v>0.95199999999999996</v>
      </c>
      <c r="P6" s="15">
        <v>0.95025977933801398</v>
      </c>
      <c r="Q6" s="15">
        <v>0.95640000000000003</v>
      </c>
      <c r="R6" s="15">
        <v>0.91539999999999999</v>
      </c>
      <c r="S6" s="15">
        <v>0.86341854976627497</v>
      </c>
      <c r="T6" s="15">
        <v>0.86509999999999998</v>
      </c>
      <c r="U6" s="15">
        <v>0.85475363128491599</v>
      </c>
      <c r="V6" s="15">
        <v>0.86079946838592902</v>
      </c>
      <c r="W6" s="15">
        <v>0.86204367153036998</v>
      </c>
      <c r="X6" s="15">
        <v>0.85238176672955301</v>
      </c>
      <c r="Y6" s="15">
        <v>0.95409999999999995</v>
      </c>
    </row>
    <row r="7" spans="1:25" x14ac:dyDescent="0.3">
      <c r="A7" t="s">
        <v>56</v>
      </c>
      <c r="B7">
        <v>20</v>
      </c>
      <c r="C7">
        <v>0.9</v>
      </c>
      <c r="D7" s="15">
        <v>0.83399360978925907</v>
      </c>
      <c r="E7" s="15">
        <v>0.8397</v>
      </c>
      <c r="F7" s="15">
        <v>0.83614634035803292</v>
      </c>
      <c r="G7" s="15">
        <v>0.82559860017497799</v>
      </c>
      <c r="H7" s="15">
        <v>0.83008241469816302</v>
      </c>
      <c r="I7" s="15">
        <v>0.85411706036745405</v>
      </c>
      <c r="J7" s="15">
        <v>0.95709999999999995</v>
      </c>
      <c r="K7" s="15">
        <v>0.87880000000000003</v>
      </c>
      <c r="L7" s="15">
        <v>0.87880000000000003</v>
      </c>
      <c r="M7" s="15">
        <v>0.89870000000000005</v>
      </c>
      <c r="N7" s="15">
        <v>0.88139999999999996</v>
      </c>
      <c r="O7" s="15">
        <v>0.88360000000000005</v>
      </c>
      <c r="P7" s="15">
        <v>0.88215546639919795</v>
      </c>
      <c r="Q7" s="15">
        <v>0.95640000000000003</v>
      </c>
      <c r="R7" s="15">
        <v>0.8448</v>
      </c>
      <c r="S7" s="15">
        <v>0.82476845285600298</v>
      </c>
      <c r="T7" s="15">
        <v>0.83120000000000005</v>
      </c>
      <c r="U7" s="15">
        <v>0.82670665830577994</v>
      </c>
      <c r="V7" s="15">
        <v>0.82200295215473396</v>
      </c>
      <c r="W7" s="15">
        <v>0.822794717792105</v>
      </c>
      <c r="X7" s="15">
        <v>0.80987816002663404</v>
      </c>
      <c r="Y7" s="15">
        <v>0.95409999999999995</v>
      </c>
    </row>
    <row r="8" spans="1:25" x14ac:dyDescent="0.3">
      <c r="A8" t="s">
        <v>57</v>
      </c>
      <c r="B8">
        <v>20</v>
      </c>
      <c r="C8">
        <v>0.95</v>
      </c>
      <c r="D8" s="15">
        <v>0.86601702610669695</v>
      </c>
      <c r="E8" s="15">
        <v>0.86780000000000002</v>
      </c>
      <c r="F8" s="15">
        <v>0.861136208853575</v>
      </c>
      <c r="G8" s="15">
        <v>0.87187800601722198</v>
      </c>
      <c r="H8" s="15">
        <v>0.87799897292250195</v>
      </c>
      <c r="I8" s="15">
        <v>0.97099999999999997</v>
      </c>
      <c r="J8" s="15">
        <v>0.95669999999999999</v>
      </c>
      <c r="K8" s="15">
        <v>0.96020000000000005</v>
      </c>
      <c r="L8" s="15">
        <v>0.96020000000000005</v>
      </c>
      <c r="M8" s="15">
        <v>0.95340000000000003</v>
      </c>
      <c r="N8" s="15">
        <v>0.94979999999999998</v>
      </c>
      <c r="O8" s="15">
        <v>0.95169999999999999</v>
      </c>
      <c r="P8" s="15">
        <v>0.95669999999999999</v>
      </c>
      <c r="Q8" s="15">
        <v>0.96020000000000005</v>
      </c>
      <c r="R8" s="15">
        <v>0.90149999999999997</v>
      </c>
      <c r="S8" s="15">
        <v>0.86433257403189101</v>
      </c>
      <c r="T8" s="15">
        <v>0.86599999999999999</v>
      </c>
      <c r="U8" s="15">
        <v>0.85544874715261998</v>
      </c>
      <c r="V8" s="15">
        <v>0.85751916797137095</v>
      </c>
      <c r="W8" s="15">
        <v>0.859532140460747</v>
      </c>
      <c r="X8" s="15">
        <v>0.86547082228116701</v>
      </c>
      <c r="Y8" s="15">
        <v>0.95409999999999995</v>
      </c>
    </row>
    <row r="9" spans="1:25" x14ac:dyDescent="0.3">
      <c r="A9" t="s">
        <v>57</v>
      </c>
      <c r="B9">
        <v>20</v>
      </c>
      <c r="C9">
        <v>0.9</v>
      </c>
      <c r="D9" s="15">
        <v>0.83185130533484697</v>
      </c>
      <c r="E9" s="15">
        <v>0.8377</v>
      </c>
      <c r="F9" s="15">
        <v>0.83389443813847897</v>
      </c>
      <c r="G9" s="15">
        <v>0.83618965660338196</v>
      </c>
      <c r="H9" s="15">
        <v>0.84324433032472201</v>
      </c>
      <c r="I9" s="15">
        <v>0.92520000000000002</v>
      </c>
      <c r="J9" s="15">
        <v>0.95669999999999999</v>
      </c>
      <c r="K9" s="15">
        <v>0.88839999999999997</v>
      </c>
      <c r="L9" s="15">
        <v>0.88839999999999997</v>
      </c>
      <c r="M9" s="15">
        <v>0.90569999999999995</v>
      </c>
      <c r="N9" s="15">
        <v>0.89380000000000004</v>
      </c>
      <c r="O9" s="15">
        <v>0.89629999999999999</v>
      </c>
      <c r="P9" s="15">
        <v>0.90439999999999998</v>
      </c>
      <c r="Q9" s="15">
        <v>0.96020000000000005</v>
      </c>
      <c r="R9" s="15">
        <v>0.82289999999999996</v>
      </c>
      <c r="S9" s="15">
        <v>0.82572209567198196</v>
      </c>
      <c r="T9" s="15">
        <v>0.83209999999999995</v>
      </c>
      <c r="U9" s="15">
        <v>0.82754441913439603</v>
      </c>
      <c r="V9" s="15">
        <v>0.82005551330798498</v>
      </c>
      <c r="W9" s="15">
        <v>0.82184482218743005</v>
      </c>
      <c r="X9" s="15">
        <v>0.81846816976127301</v>
      </c>
      <c r="Y9" s="15">
        <v>0.95409999999999995</v>
      </c>
    </row>
    <row r="10" spans="1:25" x14ac:dyDescent="0.3">
      <c r="A10" t="s">
        <v>31</v>
      </c>
      <c r="B10">
        <v>50</v>
      </c>
      <c r="C10">
        <v>0.95</v>
      </c>
      <c r="D10" s="15">
        <v>0.938989702333065</v>
      </c>
      <c r="E10" s="15">
        <v>0.93930000000000002</v>
      </c>
      <c r="F10" s="15">
        <v>0.95065502815768299</v>
      </c>
      <c r="G10" s="15">
        <v>0.93794098442993501</v>
      </c>
      <c r="H10" s="15">
        <v>0.9405527373179311</v>
      </c>
      <c r="I10" s="15">
        <v>0.92992165115337899</v>
      </c>
      <c r="J10" s="15">
        <v>0.97030000000000005</v>
      </c>
      <c r="K10" s="15">
        <v>0.93489999999999995</v>
      </c>
      <c r="L10" s="15">
        <v>0.96509999999999996</v>
      </c>
      <c r="M10" s="15">
        <v>0.95150000000000001</v>
      </c>
      <c r="N10" s="15">
        <v>0.94410000000000005</v>
      </c>
      <c r="O10" s="15">
        <v>0.9456</v>
      </c>
      <c r="P10" s="15">
        <v>0.946394649464946</v>
      </c>
      <c r="Q10" s="15">
        <v>0.96509999999999996</v>
      </c>
      <c r="R10" s="15">
        <v>0.95020000000000004</v>
      </c>
      <c r="S10" s="15">
        <v>0.94298795180722894</v>
      </c>
      <c r="T10" s="15">
        <v>0.94320000000000004</v>
      </c>
      <c r="U10" s="15">
        <v>0.95312851405622501</v>
      </c>
      <c r="V10" s="15">
        <v>0.94181372667068008</v>
      </c>
      <c r="W10" s="15">
        <v>0.94372020870961304</v>
      </c>
      <c r="X10" s="15">
        <v>0.93764679306171805</v>
      </c>
      <c r="Y10" s="15">
        <v>0.97089999999999999</v>
      </c>
    </row>
    <row r="11" spans="1:25" x14ac:dyDescent="0.3">
      <c r="A11" t="s">
        <v>31</v>
      </c>
      <c r="B11">
        <v>50</v>
      </c>
      <c r="C11">
        <v>0.9</v>
      </c>
      <c r="D11" s="15">
        <v>0.9038931617055509</v>
      </c>
      <c r="E11" s="15">
        <v>0.93930000000000002</v>
      </c>
      <c r="F11" s="15">
        <v>0.90087626709573598</v>
      </c>
      <c r="G11" s="15">
        <v>0.90177825213460605</v>
      </c>
      <c r="H11" s="15">
        <v>0.90479181315921609</v>
      </c>
      <c r="I11" s="15">
        <v>0.89329680291379998</v>
      </c>
      <c r="J11" s="15">
        <v>0.90439999999999998</v>
      </c>
      <c r="K11" s="15">
        <v>0.88149999999999995</v>
      </c>
      <c r="L11" s="15">
        <v>0.93489999999999995</v>
      </c>
      <c r="M11" s="15">
        <v>0.90239999999999998</v>
      </c>
      <c r="N11" s="15">
        <v>0.89219999999999999</v>
      </c>
      <c r="O11" s="15">
        <v>0.89359999999999995</v>
      </c>
      <c r="P11" s="15">
        <v>0.89578958895889604</v>
      </c>
      <c r="Q11" s="15">
        <v>0.93489999999999995</v>
      </c>
      <c r="R11" s="15">
        <v>0.90090000000000003</v>
      </c>
      <c r="S11" s="15">
        <v>0.90855020080321303</v>
      </c>
      <c r="T11" s="15">
        <v>0.94320000000000004</v>
      </c>
      <c r="U11" s="15">
        <v>0.90885140562249001</v>
      </c>
      <c r="V11" s="15">
        <v>0.908400120409392</v>
      </c>
      <c r="W11" s="15">
        <v>0.91120967288781907</v>
      </c>
      <c r="X11" s="15">
        <v>0.90356046793061706</v>
      </c>
      <c r="Y11" s="15">
        <v>0.90890000000000004</v>
      </c>
    </row>
    <row r="12" spans="1:25" x14ac:dyDescent="0.3">
      <c r="A12" t="s">
        <v>56</v>
      </c>
      <c r="B12">
        <v>50</v>
      </c>
      <c r="C12">
        <v>0.95</v>
      </c>
      <c r="D12" s="15">
        <v>0.93946311128999804</v>
      </c>
      <c r="E12" s="15">
        <v>0.93979999999999997</v>
      </c>
      <c r="F12" s="15">
        <v>0.94992799356007207</v>
      </c>
      <c r="G12" s="15">
        <v>0.93885556894647004</v>
      </c>
      <c r="H12" s="15">
        <v>0.94287284322587106</v>
      </c>
      <c r="I12" s="15">
        <v>0.936878033051189</v>
      </c>
      <c r="J12" s="15">
        <v>0.96740000000000004</v>
      </c>
      <c r="K12" s="15">
        <v>0.93789999999999996</v>
      </c>
      <c r="L12" s="15">
        <v>0.97060000000000002</v>
      </c>
      <c r="M12" s="15">
        <v>0.95499999999999996</v>
      </c>
      <c r="N12" s="15">
        <v>0.94510000000000005</v>
      </c>
      <c r="O12" s="15">
        <v>0.94550000000000001</v>
      </c>
      <c r="P12" s="15">
        <v>0.94412905777510803</v>
      </c>
      <c r="Q12" s="15">
        <v>0.97060000000000002</v>
      </c>
      <c r="R12" s="15">
        <v>0.84970000000000001</v>
      </c>
      <c r="S12" s="15">
        <v>0.93823177936300595</v>
      </c>
      <c r="T12" s="15">
        <v>0.9385</v>
      </c>
      <c r="U12" s="15">
        <v>0.95249883452225492</v>
      </c>
      <c r="V12" s="15">
        <v>0.93815254594757502</v>
      </c>
      <c r="W12" s="15">
        <v>0.93835340966154501</v>
      </c>
      <c r="X12" s="15">
        <v>0.92835604618189205</v>
      </c>
      <c r="Y12" s="15">
        <v>0.97060000000000002</v>
      </c>
    </row>
    <row r="13" spans="1:25" x14ac:dyDescent="0.3">
      <c r="A13" t="s">
        <v>56</v>
      </c>
      <c r="B13">
        <v>50</v>
      </c>
      <c r="C13">
        <v>0.9</v>
      </c>
      <c r="D13" s="15">
        <v>0.90665973032803404</v>
      </c>
      <c r="E13" s="15">
        <v>0.93979999999999997</v>
      </c>
      <c r="F13" s="15">
        <v>0.90676035419601497</v>
      </c>
      <c r="G13" s="15">
        <v>0.90521089685648304</v>
      </c>
      <c r="H13" s="15">
        <v>0.90842471628000399</v>
      </c>
      <c r="I13" s="15">
        <v>0.90120693268843199</v>
      </c>
      <c r="J13" s="15">
        <v>0.90720000000000001</v>
      </c>
      <c r="K13" s="15">
        <v>0.88549999999999995</v>
      </c>
      <c r="L13" s="15">
        <v>0.93789999999999996</v>
      </c>
      <c r="M13" s="15">
        <v>0.90390000000000004</v>
      </c>
      <c r="N13" s="15">
        <v>0.89180000000000004</v>
      </c>
      <c r="O13" s="15">
        <v>0.89259999999999995</v>
      </c>
      <c r="P13" s="15">
        <v>0.89196123961149498</v>
      </c>
      <c r="Q13" s="15">
        <v>0.93789999999999996</v>
      </c>
      <c r="R13" s="15">
        <v>0.75139999999999996</v>
      </c>
      <c r="S13" s="15">
        <v>0.90618114136441297</v>
      </c>
      <c r="T13" s="15">
        <v>0.9385</v>
      </c>
      <c r="U13" s="15">
        <v>0.90698491911986301</v>
      </c>
      <c r="V13" s="15">
        <v>0.90661694285427308</v>
      </c>
      <c r="W13" s="15">
        <v>0.907119102139199</v>
      </c>
      <c r="X13" s="15">
        <v>0.89665663358314807</v>
      </c>
      <c r="Y13" s="15">
        <v>0.90659999999999996</v>
      </c>
    </row>
    <row r="14" spans="1:25" x14ac:dyDescent="0.3">
      <c r="A14" t="s">
        <v>57</v>
      </c>
      <c r="B14">
        <v>50</v>
      </c>
      <c r="C14">
        <v>0.95</v>
      </c>
      <c r="D14" s="15">
        <v>0.94034675507333698</v>
      </c>
      <c r="E14" s="15">
        <v>0.94059999999999999</v>
      </c>
      <c r="F14" s="15">
        <v>0.94999111914808099</v>
      </c>
      <c r="G14" s="15">
        <v>0.943038552407648</v>
      </c>
      <c r="H14" s="15">
        <v>0.947243177495245</v>
      </c>
      <c r="I14" s="15">
        <v>0.95689999999999997</v>
      </c>
      <c r="J14" s="15">
        <v>0.9677</v>
      </c>
      <c r="K14" s="15">
        <v>0.93559999999999999</v>
      </c>
      <c r="L14" s="15">
        <v>0.96599999999999997</v>
      </c>
      <c r="M14" s="15">
        <v>0.95189999999999997</v>
      </c>
      <c r="N14" s="15">
        <v>0.94650000000000001</v>
      </c>
      <c r="O14" s="15">
        <v>0.94750000000000001</v>
      </c>
      <c r="P14" s="15">
        <v>0.94849485948594903</v>
      </c>
      <c r="Q14" s="15">
        <v>0.96599999999999997</v>
      </c>
      <c r="R14" s="15">
        <v>0.78920000000000001</v>
      </c>
      <c r="S14" s="15">
        <v>0.94009589702333096</v>
      </c>
      <c r="T14" s="15">
        <v>0.94040000000000001</v>
      </c>
      <c r="U14" s="15">
        <v>0.95266629123089297</v>
      </c>
      <c r="V14" s="15">
        <v>0.94014583082177994</v>
      </c>
      <c r="W14" s="15">
        <v>0.94185368696001592</v>
      </c>
      <c r="X14" s="15">
        <v>0.92906507968734098</v>
      </c>
      <c r="Y14" s="15">
        <v>0.96950000000000003</v>
      </c>
    </row>
    <row r="15" spans="1:25" x14ac:dyDescent="0.3">
      <c r="A15" t="s">
        <v>57</v>
      </c>
      <c r="B15">
        <v>50</v>
      </c>
      <c r="C15">
        <v>0.9</v>
      </c>
      <c r="D15" s="15">
        <v>0.90468270042194099</v>
      </c>
      <c r="E15" s="15">
        <v>0.94059999999999999</v>
      </c>
      <c r="F15" s="15">
        <v>0.90558685955394791</v>
      </c>
      <c r="G15" s="15">
        <v>0.896086905596156</v>
      </c>
      <c r="H15" s="15">
        <v>0.90419582540794896</v>
      </c>
      <c r="I15" s="15">
        <v>0.91869999999999996</v>
      </c>
      <c r="J15" s="15">
        <v>0.90510000000000002</v>
      </c>
      <c r="K15" s="15">
        <v>0.88029999999999997</v>
      </c>
      <c r="L15" s="15">
        <v>0.93559999999999999</v>
      </c>
      <c r="M15" s="15">
        <v>0.90010000000000001</v>
      </c>
      <c r="N15" s="15">
        <v>0.89219999999999999</v>
      </c>
      <c r="O15" s="15">
        <v>0.89349999999999996</v>
      </c>
      <c r="P15" s="15">
        <v>0.89598960896089597</v>
      </c>
      <c r="Q15" s="15">
        <v>0.93559999999999999</v>
      </c>
      <c r="R15" s="15">
        <v>0.6774</v>
      </c>
      <c r="S15" s="15">
        <v>0.90620611423974295</v>
      </c>
      <c r="T15" s="15">
        <v>0.94040000000000001</v>
      </c>
      <c r="U15" s="15">
        <v>0.90610555108608193</v>
      </c>
      <c r="V15" s="15">
        <v>0.90568732167972699</v>
      </c>
      <c r="W15" s="15">
        <v>0.90789748844685592</v>
      </c>
      <c r="X15" s="15">
        <v>0.89394174195513099</v>
      </c>
      <c r="Y15" s="15">
        <v>0.90669999999999995</v>
      </c>
    </row>
    <row r="16" spans="1:25" x14ac:dyDescent="0.3">
      <c r="A16" t="s">
        <v>31</v>
      </c>
      <c r="B16">
        <v>100</v>
      </c>
      <c r="C16">
        <v>0.95</v>
      </c>
      <c r="D16" s="15">
        <v>0.95320000000000005</v>
      </c>
      <c r="E16" s="15">
        <v>0.95320000000000005</v>
      </c>
      <c r="F16" s="15">
        <v>0.94879999999999998</v>
      </c>
      <c r="G16" s="15">
        <v>0.95099999999999996</v>
      </c>
      <c r="H16" s="15">
        <v>0.95120000000000005</v>
      </c>
      <c r="I16" s="15">
        <v>0.94121212121212094</v>
      </c>
      <c r="J16" s="15">
        <v>0.95320000000000005</v>
      </c>
      <c r="K16" s="15">
        <v>0.94610000000000005</v>
      </c>
      <c r="L16" s="15">
        <v>0.96619999999999995</v>
      </c>
      <c r="M16" s="15">
        <v>0.95409999999999995</v>
      </c>
      <c r="N16" s="15">
        <v>0.95020000000000004</v>
      </c>
      <c r="O16" s="15">
        <v>0.95079999999999998</v>
      </c>
      <c r="P16" s="15">
        <v>0.95118544563369001</v>
      </c>
      <c r="Q16" s="15">
        <v>0.96619999999999995</v>
      </c>
      <c r="R16" s="15">
        <v>0.94779999999999998</v>
      </c>
      <c r="S16" s="15">
        <v>0.95609999999999995</v>
      </c>
      <c r="T16" s="15">
        <v>0.95609999999999995</v>
      </c>
      <c r="U16" s="15">
        <v>0.95179999999999998</v>
      </c>
      <c r="V16" s="15">
        <v>0.9526</v>
      </c>
      <c r="W16" s="15">
        <v>0.9536</v>
      </c>
      <c r="X16" s="15">
        <v>0.94875649944706908</v>
      </c>
      <c r="Y16" s="15">
        <v>0.95609999999999995</v>
      </c>
    </row>
    <row r="17" spans="1:25" x14ac:dyDescent="0.3">
      <c r="A17" t="s">
        <v>31</v>
      </c>
      <c r="B17">
        <v>100</v>
      </c>
      <c r="C17">
        <v>0.9</v>
      </c>
      <c r="D17" s="15">
        <v>0.89649999999999996</v>
      </c>
      <c r="E17" s="15">
        <v>0.89649999999999996</v>
      </c>
      <c r="F17" s="15">
        <v>0.89429999999999998</v>
      </c>
      <c r="G17" s="15">
        <v>0.89239999999999997</v>
      </c>
      <c r="H17" s="15">
        <v>0.8931</v>
      </c>
      <c r="I17" s="15">
        <v>0.88252525252525205</v>
      </c>
      <c r="J17" s="15">
        <v>0.90090000000000003</v>
      </c>
      <c r="K17" s="15">
        <v>0.91549999999999998</v>
      </c>
      <c r="L17" s="15">
        <v>0.91549999999999998</v>
      </c>
      <c r="M17" s="15">
        <v>0.90500000000000003</v>
      </c>
      <c r="N17" s="15">
        <v>0.90669999999999995</v>
      </c>
      <c r="O17" s="15">
        <v>0.9073</v>
      </c>
      <c r="P17" s="15">
        <v>0.90837260178053403</v>
      </c>
      <c r="Q17" s="15">
        <v>0.91549999999999998</v>
      </c>
      <c r="R17" s="15">
        <v>0.90010000000000001</v>
      </c>
      <c r="S17" s="15">
        <v>0.90469999999999995</v>
      </c>
      <c r="T17" s="15">
        <v>0.90469999999999995</v>
      </c>
      <c r="U17" s="15">
        <v>0.90369999999999995</v>
      </c>
      <c r="V17" s="15">
        <v>0.90129999999999999</v>
      </c>
      <c r="W17" s="15">
        <v>0.90300000000000002</v>
      </c>
      <c r="X17" s="15">
        <v>0.89818848899165604</v>
      </c>
      <c r="Y17" s="15">
        <v>0.91</v>
      </c>
    </row>
    <row r="18" spans="1:25" x14ac:dyDescent="0.3">
      <c r="A18" t="s">
        <v>56</v>
      </c>
      <c r="B18">
        <v>100</v>
      </c>
      <c r="C18">
        <v>0.95</v>
      </c>
      <c r="D18" s="15">
        <v>0.95669999999999999</v>
      </c>
      <c r="E18" s="15">
        <v>0.95669999999999999</v>
      </c>
      <c r="F18" s="15">
        <v>0.95209999999999995</v>
      </c>
      <c r="G18" s="15">
        <v>0.95249525952595304</v>
      </c>
      <c r="H18" s="15">
        <v>0.95339534953495397</v>
      </c>
      <c r="I18" s="15">
        <v>0.94706687821094004</v>
      </c>
      <c r="J18" s="15">
        <v>0.95669999999999999</v>
      </c>
      <c r="K18" s="15">
        <v>0.94399999999999995</v>
      </c>
      <c r="L18" s="15">
        <v>0.96509999999999996</v>
      </c>
      <c r="M18" s="15">
        <v>0.9506</v>
      </c>
      <c r="N18" s="15">
        <v>0.94689999999999996</v>
      </c>
      <c r="O18" s="15">
        <v>0.94730000000000003</v>
      </c>
      <c r="P18" s="15">
        <v>0.94623692430917106</v>
      </c>
      <c r="Q18" s="15">
        <v>0.96509999999999996</v>
      </c>
      <c r="R18" s="15">
        <v>0.73270000000000002</v>
      </c>
      <c r="S18" s="15">
        <v>0.95520000000000005</v>
      </c>
      <c r="T18" s="15">
        <v>0.95520000000000005</v>
      </c>
      <c r="U18" s="15">
        <v>0.95009999999999994</v>
      </c>
      <c r="V18" s="15">
        <v>0.95459095819163797</v>
      </c>
      <c r="W18" s="15">
        <v>0.95479099819963997</v>
      </c>
      <c r="X18" s="15">
        <v>0.94506839979808199</v>
      </c>
      <c r="Y18" s="15">
        <v>0.95520000000000005</v>
      </c>
    </row>
    <row r="19" spans="1:25" x14ac:dyDescent="0.3">
      <c r="A19" t="s">
        <v>56</v>
      </c>
      <c r="B19">
        <v>100</v>
      </c>
      <c r="C19">
        <v>0.9</v>
      </c>
      <c r="D19" s="15">
        <v>0.9022</v>
      </c>
      <c r="E19" s="15">
        <v>0.9022</v>
      </c>
      <c r="F19" s="15">
        <v>0.9</v>
      </c>
      <c r="G19" s="15">
        <v>0.89778978897889805</v>
      </c>
      <c r="H19" s="15">
        <v>0.89938994899489999</v>
      </c>
      <c r="I19" s="15">
        <v>0.89277051475773106</v>
      </c>
      <c r="J19" s="15">
        <v>0.90459999999999996</v>
      </c>
      <c r="K19" s="15">
        <v>0.91300000000000003</v>
      </c>
      <c r="L19" s="15">
        <v>0.91300000000000003</v>
      </c>
      <c r="M19" s="15">
        <v>0.90280000000000005</v>
      </c>
      <c r="N19" s="15">
        <v>0.90810000000000002</v>
      </c>
      <c r="O19" s="15">
        <v>0.90839999999999999</v>
      </c>
      <c r="P19" s="15">
        <v>0.907190068081698</v>
      </c>
      <c r="Q19" s="15">
        <v>0.91300000000000003</v>
      </c>
      <c r="R19" s="15">
        <v>0.61680000000000001</v>
      </c>
      <c r="S19" s="15">
        <v>0.90059999999999996</v>
      </c>
      <c r="T19" s="15">
        <v>0.90059999999999996</v>
      </c>
      <c r="U19" s="15">
        <v>0.89949999999999997</v>
      </c>
      <c r="V19" s="15">
        <v>0.899079855971194</v>
      </c>
      <c r="W19" s="15">
        <v>0.899579955991198</v>
      </c>
      <c r="X19" s="15">
        <v>0.88954088844018209</v>
      </c>
      <c r="Y19" s="15">
        <v>0.90129999999999999</v>
      </c>
    </row>
    <row r="20" spans="1:25" x14ac:dyDescent="0.3">
      <c r="A20" t="s">
        <v>57</v>
      </c>
      <c r="B20">
        <v>100</v>
      </c>
      <c r="C20">
        <v>0.95</v>
      </c>
      <c r="D20" s="15">
        <v>0.95389999999999997</v>
      </c>
      <c r="E20" s="15">
        <v>0.95389999999999997</v>
      </c>
      <c r="F20" s="15">
        <v>0.95020000000000004</v>
      </c>
      <c r="G20" s="15">
        <v>0.94820000000000004</v>
      </c>
      <c r="H20" s="15">
        <v>0.9506</v>
      </c>
      <c r="I20" s="15">
        <v>0.95420000000000005</v>
      </c>
      <c r="J20" s="15">
        <v>0.95389999999999997</v>
      </c>
      <c r="K20" s="15">
        <v>0.94550000000000001</v>
      </c>
      <c r="L20" s="15">
        <v>0.96279999999999999</v>
      </c>
      <c r="M20" s="15">
        <v>0.95109999999999995</v>
      </c>
      <c r="N20" s="15">
        <v>0.94879999999999998</v>
      </c>
      <c r="O20" s="15">
        <v>0.94940000000000002</v>
      </c>
      <c r="P20" s="15">
        <v>0.94989999999999997</v>
      </c>
      <c r="Q20" s="15">
        <v>0.96279999999999999</v>
      </c>
      <c r="R20" s="15">
        <v>0.61809999999999998</v>
      </c>
      <c r="S20" s="15">
        <v>0.95950000000000002</v>
      </c>
      <c r="T20" s="15">
        <v>0.95950000000000002</v>
      </c>
      <c r="U20" s="15">
        <v>0.95569999999999999</v>
      </c>
      <c r="V20" s="15">
        <v>0.95789579957995796</v>
      </c>
      <c r="W20" s="15">
        <v>0.95829583958395803</v>
      </c>
      <c r="X20" s="15">
        <v>0.95016192156467405</v>
      </c>
      <c r="Y20" s="15">
        <v>0.95950000000000002</v>
      </c>
    </row>
    <row r="21" spans="1:25" x14ac:dyDescent="0.3">
      <c r="A21" t="s">
        <v>57</v>
      </c>
      <c r="B21">
        <v>100</v>
      </c>
      <c r="C21">
        <v>0.9</v>
      </c>
      <c r="D21" s="15">
        <v>0.89929999999999999</v>
      </c>
      <c r="E21" s="15">
        <v>0.89929999999999999</v>
      </c>
      <c r="F21" s="15">
        <v>0.89749999999999996</v>
      </c>
      <c r="G21" s="15">
        <v>0.89100000000000001</v>
      </c>
      <c r="H21" s="15">
        <v>0.89419999999999999</v>
      </c>
      <c r="I21" s="15">
        <v>0.90190000000000003</v>
      </c>
      <c r="J21" s="15">
        <v>0.90110000000000001</v>
      </c>
      <c r="K21" s="15">
        <v>0.91379999999999995</v>
      </c>
      <c r="L21" s="15">
        <v>0.91379999999999995</v>
      </c>
      <c r="M21" s="15">
        <v>0.90339999999999998</v>
      </c>
      <c r="N21" s="15">
        <v>0.90490000000000004</v>
      </c>
      <c r="O21" s="15">
        <v>0.90539999999999998</v>
      </c>
      <c r="P21" s="15">
        <v>0.90720000000000001</v>
      </c>
      <c r="Q21" s="15">
        <v>0.91379999999999995</v>
      </c>
      <c r="R21" s="15">
        <v>0.49230000000000002</v>
      </c>
      <c r="S21" s="15">
        <v>0.90449999999999997</v>
      </c>
      <c r="T21" s="15">
        <v>0.90449999999999997</v>
      </c>
      <c r="U21" s="15">
        <v>0.9042</v>
      </c>
      <c r="V21" s="15">
        <v>0.90199020902090199</v>
      </c>
      <c r="W21" s="15">
        <v>0.902690279027903</v>
      </c>
      <c r="X21" s="15">
        <v>0.894309517088416</v>
      </c>
      <c r="Y21" s="15">
        <v>0.90800000000000003</v>
      </c>
    </row>
  </sheetData>
  <autoFilter ref="A3:Y21" xr:uid="{CE788AF6-A9CD-484C-8766-C4052CD4E27C}"/>
  <mergeCells count="3">
    <mergeCell ref="D2:J2"/>
    <mergeCell ref="K2:R2"/>
    <mergeCell ref="S2:Y2"/>
  </mergeCells>
  <pageMargins left="0.7" right="0.7" top="0.75" bottom="0.75" header="0.3" footer="0.3"/>
</worksheet>
</file>

<file path=xl/worksheets/sheet2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8CDCA-458B-4925-8F57-9729CFA09E41}">
  <dimension ref="A1:N69"/>
  <sheetViews>
    <sheetView zoomScale="70" zoomScaleNormal="70" workbookViewId="0">
      <selection activeCell="M13" sqref="M13"/>
    </sheetView>
  </sheetViews>
  <sheetFormatPr defaultRowHeight="14.4" x14ac:dyDescent="0.3"/>
  <cols>
    <col min="1" max="1" width="18" bestFit="1" customWidth="1"/>
    <col min="2" max="2" width="4.44140625" bestFit="1" customWidth="1"/>
    <col min="3" max="3" width="6" bestFit="1" customWidth="1"/>
    <col min="4" max="4" width="6.6640625" bestFit="1" customWidth="1"/>
    <col min="5" max="5" width="6" bestFit="1" customWidth="1"/>
    <col min="6" max="14" width="6.6640625" bestFit="1" customWidth="1"/>
    <col min="15" max="15" width="11.88671875" bestFit="1" customWidth="1"/>
    <col min="16" max="16" width="6.109375" bestFit="1" customWidth="1"/>
    <col min="17" max="17" width="3.88671875" bestFit="1" customWidth="1"/>
    <col min="18" max="21" width="6.6640625" bestFit="1" customWidth="1"/>
  </cols>
  <sheetData>
    <row r="1" spans="1:14" ht="15" thickBot="1" x14ac:dyDescent="0.35"/>
    <row r="2" spans="1:14" x14ac:dyDescent="0.3">
      <c r="C2" s="42" t="s">
        <v>191</v>
      </c>
      <c r="D2" s="44"/>
      <c r="E2" s="42" t="s">
        <v>192</v>
      </c>
      <c r="F2" s="44"/>
      <c r="G2" s="42" t="s">
        <v>194</v>
      </c>
      <c r="H2" s="44"/>
      <c r="I2" s="43" t="s">
        <v>193</v>
      </c>
      <c r="J2" s="44"/>
      <c r="K2" s="45" t="s">
        <v>195</v>
      </c>
      <c r="L2" s="45"/>
      <c r="M2" s="45" t="s">
        <v>196</v>
      </c>
      <c r="N2" s="45"/>
    </row>
    <row r="3" spans="1:14" x14ac:dyDescent="0.3">
      <c r="C3" s="18">
        <v>0.9</v>
      </c>
      <c r="D3" s="19">
        <v>0.95</v>
      </c>
      <c r="E3" s="18">
        <v>0.9</v>
      </c>
      <c r="F3" s="19">
        <v>0.95</v>
      </c>
      <c r="G3" s="18">
        <v>0.9</v>
      </c>
      <c r="H3" s="19">
        <v>0.95</v>
      </c>
      <c r="I3">
        <v>0.9</v>
      </c>
      <c r="J3" s="19">
        <v>0.95</v>
      </c>
      <c r="K3">
        <f>C3-I3</f>
        <v>0</v>
      </c>
      <c r="L3">
        <f>D3-J3</f>
        <v>0</v>
      </c>
      <c r="M3">
        <f>E3-I3</f>
        <v>0</v>
      </c>
      <c r="N3">
        <f>F3-J3</f>
        <v>0</v>
      </c>
    </row>
    <row r="4" spans="1:14" x14ac:dyDescent="0.3">
      <c r="A4" s="46">
        <v>20</v>
      </c>
      <c r="B4" t="s">
        <v>130</v>
      </c>
      <c r="C4" s="22">
        <v>0.86575735821967004</v>
      </c>
      <c r="D4" s="23">
        <v>0.91488052507435103</v>
      </c>
      <c r="E4" s="22">
        <v>0.84085735821967</v>
      </c>
      <c r="F4" s="23">
        <v>0.88998052507435099</v>
      </c>
      <c r="G4" s="22">
        <f>E4-C4</f>
        <v>-2.4900000000000033E-2</v>
      </c>
      <c r="H4" s="23">
        <f t="shared" ref="H4:H21" si="0">F4-D4</f>
        <v>-2.4900000000000033E-2</v>
      </c>
      <c r="I4">
        <v>0.83799999999999997</v>
      </c>
      <c r="J4" s="19">
        <v>0.86799999999999999</v>
      </c>
      <c r="K4" s="15">
        <f t="shared" ref="K4:K8" si="1">C4-I4</f>
        <v>2.775735821967007E-2</v>
      </c>
      <c r="L4" s="15">
        <f t="shared" ref="L4:L8" si="2">D4-J4</f>
        <v>4.6880525074351032E-2</v>
      </c>
      <c r="M4" s="15">
        <f t="shared" ref="M4:M8" si="3">E4-I4</f>
        <v>2.8573582196700364E-3</v>
      </c>
      <c r="N4" s="15">
        <f t="shared" ref="N4:N8" si="4">F4-J4</f>
        <v>2.1980525074350998E-2</v>
      </c>
    </row>
    <row r="5" spans="1:14" x14ac:dyDescent="0.3">
      <c r="A5" s="46"/>
      <c r="B5" t="s">
        <v>125</v>
      </c>
      <c r="C5" s="22">
        <v>0.91258394803479004</v>
      </c>
      <c r="D5" s="23">
        <v>0.95056699328415695</v>
      </c>
      <c r="E5" s="22">
        <v>0.82088394803479003</v>
      </c>
      <c r="F5" s="23">
        <v>0.85886699328415694</v>
      </c>
      <c r="G5" s="22">
        <f t="shared" ref="G5:G21" si="5">E5-C5</f>
        <v>-9.1700000000000004E-2</v>
      </c>
      <c r="H5" s="23">
        <f t="shared" si="0"/>
        <v>-9.1700000000000004E-2</v>
      </c>
      <c r="I5">
        <v>0.95399999999999996</v>
      </c>
      <c r="J5" s="19">
        <v>0.995</v>
      </c>
      <c r="K5" s="15">
        <f t="shared" si="1"/>
        <v>-4.1416051965209921E-2</v>
      </c>
      <c r="L5" s="15">
        <f t="shared" si="2"/>
        <v>-4.4433006715843049E-2</v>
      </c>
      <c r="M5" s="15">
        <f t="shared" si="3"/>
        <v>-0.13311605196520993</v>
      </c>
      <c r="N5" s="15">
        <f t="shared" si="4"/>
        <v>-0.13613300671584305</v>
      </c>
    </row>
    <row r="6" spans="1:14" x14ac:dyDescent="0.3">
      <c r="A6" s="46"/>
      <c r="B6" t="s">
        <v>124</v>
      </c>
      <c r="C6" s="22">
        <v>0.91511615105141497</v>
      </c>
      <c r="D6" s="23">
        <v>0.95309919630078199</v>
      </c>
      <c r="E6" s="22">
        <v>0.82341615105141497</v>
      </c>
      <c r="F6" s="23">
        <v>0.86139919630078199</v>
      </c>
      <c r="G6" s="22">
        <f t="shared" si="5"/>
        <v>-9.1700000000000004E-2</v>
      </c>
      <c r="H6" s="23">
        <f t="shared" si="0"/>
        <v>-9.1700000000000004E-2</v>
      </c>
      <c r="I6">
        <v>0.95699999999999996</v>
      </c>
      <c r="J6" s="19">
        <v>0.997</v>
      </c>
      <c r="K6" s="15">
        <f t="shared" si="1"/>
        <v>-4.188384894858499E-2</v>
      </c>
      <c r="L6" s="15">
        <f t="shared" si="2"/>
        <v>-4.3900803699218005E-2</v>
      </c>
      <c r="M6" s="15">
        <f t="shared" si="3"/>
        <v>-0.13358384894858499</v>
      </c>
      <c r="N6" s="15">
        <f t="shared" si="4"/>
        <v>-0.13560080369921801</v>
      </c>
    </row>
    <row r="7" spans="1:14" x14ac:dyDescent="0.3">
      <c r="A7" s="46"/>
      <c r="B7" t="s">
        <v>122</v>
      </c>
      <c r="C7" s="22">
        <v>0.94826412525527604</v>
      </c>
      <c r="D7" s="23">
        <v>0.97889720898570498</v>
      </c>
      <c r="E7" s="22">
        <v>0.829664125255276</v>
      </c>
      <c r="F7" s="23">
        <v>0.86029720898570494</v>
      </c>
      <c r="G7" s="22">
        <f t="shared" si="5"/>
        <v>-0.11860000000000004</v>
      </c>
      <c r="H7" s="23">
        <f t="shared" si="0"/>
        <v>-0.11860000000000004</v>
      </c>
      <c r="I7">
        <v>0.95599999999999996</v>
      </c>
      <c r="J7" s="19">
        <v>0.98299999999999998</v>
      </c>
      <c r="K7" s="15">
        <f t="shared" si="1"/>
        <v>-7.7358747447239251E-3</v>
      </c>
      <c r="L7" s="15">
        <f t="shared" si="2"/>
        <v>-4.1027910142950041E-3</v>
      </c>
      <c r="M7" s="15">
        <f t="shared" si="3"/>
        <v>-0.12633587474472396</v>
      </c>
      <c r="N7" s="15">
        <f t="shared" si="4"/>
        <v>-0.12270279101429504</v>
      </c>
    </row>
    <row r="8" spans="1:14" x14ac:dyDescent="0.3">
      <c r="A8" s="46"/>
      <c r="B8" t="s">
        <v>149</v>
      </c>
      <c r="C8" s="22">
        <v>0.94622191967324698</v>
      </c>
      <c r="D8" s="23">
        <v>0.98649875198547798</v>
      </c>
      <c r="E8" s="22">
        <v>0.82762191967324694</v>
      </c>
      <c r="F8" s="23">
        <v>0.86789875198547795</v>
      </c>
      <c r="G8" s="22">
        <f t="shared" si="5"/>
        <v>-0.11860000000000004</v>
      </c>
      <c r="H8" s="23">
        <f t="shared" si="0"/>
        <v>-0.11860000000000004</v>
      </c>
      <c r="I8">
        <v>0.92900000000000005</v>
      </c>
      <c r="J8" s="19">
        <v>0.97199999999999998</v>
      </c>
      <c r="K8" s="15">
        <f t="shared" si="1"/>
        <v>1.7221919673246933E-2</v>
      </c>
      <c r="L8" s="15">
        <f t="shared" si="2"/>
        <v>1.4498751985478009E-2</v>
      </c>
      <c r="M8" s="15">
        <f t="shared" si="3"/>
        <v>-0.10137808032675311</v>
      </c>
      <c r="N8" s="15">
        <f t="shared" si="4"/>
        <v>-0.10410124801452203</v>
      </c>
    </row>
    <row r="9" spans="1:14" x14ac:dyDescent="0.3">
      <c r="A9" s="46"/>
      <c r="B9" s="11" t="s">
        <v>123</v>
      </c>
      <c r="C9" s="22">
        <v>0.83399999999999996</v>
      </c>
      <c r="D9" s="23">
        <v>0.86950000000000005</v>
      </c>
      <c r="E9" s="22">
        <v>0.83399999999999996</v>
      </c>
      <c r="F9" s="23">
        <v>0.86950000000000005</v>
      </c>
      <c r="G9" s="22">
        <f t="shared" si="5"/>
        <v>0</v>
      </c>
      <c r="H9" s="23">
        <f t="shared" si="0"/>
        <v>0</v>
      </c>
      <c r="J9" s="19"/>
      <c r="K9" s="15"/>
      <c r="L9" s="15"/>
      <c r="M9" s="15"/>
      <c r="N9" s="15"/>
    </row>
    <row r="10" spans="1:14" x14ac:dyDescent="0.3">
      <c r="A10" s="46">
        <v>50</v>
      </c>
      <c r="B10" t="s">
        <v>130</v>
      </c>
      <c r="C10" s="22">
        <v>0.91196046793061702</v>
      </c>
      <c r="D10" s="23">
        <v>0.94604679306171802</v>
      </c>
      <c r="E10" s="22">
        <v>0.90356046793061706</v>
      </c>
      <c r="F10" s="23">
        <v>0.93764679306171805</v>
      </c>
      <c r="G10" s="22">
        <f t="shared" si="5"/>
        <v>-8.3999999999999631E-3</v>
      </c>
      <c r="H10" s="23">
        <f t="shared" si="0"/>
        <v>-8.3999999999999631E-3</v>
      </c>
      <c r="I10">
        <v>0.89600000000000002</v>
      </c>
      <c r="J10" s="19">
        <v>0.93700000000000006</v>
      </c>
      <c r="K10" s="15">
        <f t="shared" ref="K10:K14" si="6">C10-I10</f>
        <v>1.5960467930617006E-2</v>
      </c>
      <c r="L10" s="15">
        <f t="shared" ref="L10:L14" si="7">D10-J10</f>
        <v>9.0467930617179615E-3</v>
      </c>
      <c r="M10" s="15">
        <f t="shared" ref="M10:M14" si="8">E10-I10</f>
        <v>7.560467930617043E-3</v>
      </c>
      <c r="N10" s="15">
        <f t="shared" ref="N10:N14" si="9">F10-J10</f>
        <v>6.4679306171799844E-4</v>
      </c>
    </row>
    <row r="11" spans="1:14" x14ac:dyDescent="0.3">
      <c r="A11" s="46"/>
      <c r="B11" t="s">
        <v>125</v>
      </c>
      <c r="C11" s="22">
        <v>0.91180012040939196</v>
      </c>
      <c r="D11" s="23">
        <v>0.94521372667068004</v>
      </c>
      <c r="E11" s="22">
        <v>0.908400120409392</v>
      </c>
      <c r="F11" s="23">
        <v>0.94181372667068008</v>
      </c>
      <c r="G11" s="22">
        <f t="shared" si="5"/>
        <v>-3.3999999999999586E-3</v>
      </c>
      <c r="H11" s="23">
        <f t="shared" si="0"/>
        <v>-3.3999999999999586E-3</v>
      </c>
      <c r="I11">
        <v>0.90500000000000003</v>
      </c>
      <c r="J11" s="19">
        <v>0.94099999999999995</v>
      </c>
      <c r="K11" s="15">
        <f t="shared" si="6"/>
        <v>6.8001204093919299E-3</v>
      </c>
      <c r="L11" s="15">
        <f t="shared" si="7"/>
        <v>4.2137266706800958E-3</v>
      </c>
      <c r="M11" s="15">
        <f t="shared" si="8"/>
        <v>3.4001204093919712E-3</v>
      </c>
      <c r="N11" s="15">
        <f t="shared" si="9"/>
        <v>8.1372667068013715E-4</v>
      </c>
    </row>
    <row r="12" spans="1:14" x14ac:dyDescent="0.3">
      <c r="A12" s="46"/>
      <c r="B12" t="s">
        <v>124</v>
      </c>
      <c r="C12" s="22">
        <v>0.91460967288781903</v>
      </c>
      <c r="D12" s="23">
        <v>0.947120208709613</v>
      </c>
      <c r="E12" s="22">
        <v>0.91120967288781907</v>
      </c>
      <c r="F12" s="23">
        <v>0.94372020870961304</v>
      </c>
      <c r="G12" s="22">
        <f t="shared" si="5"/>
        <v>-3.3999999999999586E-3</v>
      </c>
      <c r="H12" s="23">
        <f t="shared" si="0"/>
        <v>-3.3999999999999586E-3</v>
      </c>
      <c r="I12">
        <v>0.90800000000000003</v>
      </c>
      <c r="J12" s="19">
        <v>0.94399999999999995</v>
      </c>
      <c r="K12" s="15">
        <f t="shared" si="6"/>
        <v>6.6096728878189959E-3</v>
      </c>
      <c r="L12" s="15">
        <f t="shared" si="7"/>
        <v>3.1202087096130482E-3</v>
      </c>
      <c r="M12" s="15">
        <f t="shared" si="8"/>
        <v>3.2096728878190373E-3</v>
      </c>
      <c r="N12" s="15">
        <f t="shared" si="9"/>
        <v>-2.7979129038691042E-4</v>
      </c>
    </row>
    <row r="13" spans="1:14" x14ac:dyDescent="0.3">
      <c r="A13" s="46"/>
      <c r="B13" t="s">
        <v>122</v>
      </c>
      <c r="C13" s="22">
        <v>0.91285140562249001</v>
      </c>
      <c r="D13" s="23">
        <v>0.95712851405622501</v>
      </c>
      <c r="E13" s="22">
        <v>0.90885140562249001</v>
      </c>
      <c r="F13" s="23">
        <v>0.95312851405622501</v>
      </c>
      <c r="G13" s="22">
        <f t="shared" si="5"/>
        <v>-4.0000000000000036E-3</v>
      </c>
      <c r="H13" s="23">
        <f t="shared" si="0"/>
        <v>-4.0000000000000036E-3</v>
      </c>
      <c r="I13">
        <v>0.89500000000000002</v>
      </c>
      <c r="J13" s="19">
        <v>0.94</v>
      </c>
      <c r="K13" s="15">
        <f t="shared" si="6"/>
        <v>1.7851405622489991E-2</v>
      </c>
      <c r="L13" s="15">
        <f t="shared" si="7"/>
        <v>1.7128514056225064E-2</v>
      </c>
      <c r="M13" s="15">
        <f t="shared" si="8"/>
        <v>1.3851405622489987E-2</v>
      </c>
      <c r="N13" s="15">
        <f t="shared" si="9"/>
        <v>1.312851405622506E-2</v>
      </c>
    </row>
    <row r="14" spans="1:14" x14ac:dyDescent="0.3">
      <c r="A14" s="46"/>
      <c r="B14" t="s">
        <v>149</v>
      </c>
      <c r="C14" s="22">
        <v>0.91255020080321303</v>
      </c>
      <c r="D14" s="23">
        <v>0.94698795180722894</v>
      </c>
      <c r="E14" s="22">
        <v>0.90855020080321303</v>
      </c>
      <c r="F14" s="23">
        <v>0.94298795180722894</v>
      </c>
      <c r="G14" s="22">
        <f t="shared" si="5"/>
        <v>-4.0000000000000036E-3</v>
      </c>
      <c r="H14" s="23">
        <f t="shared" si="0"/>
        <v>-4.0000000000000036E-3</v>
      </c>
      <c r="I14">
        <v>0.94099999999999995</v>
      </c>
      <c r="J14" s="19">
        <v>0.97499999999999998</v>
      </c>
      <c r="K14" s="15">
        <f t="shared" si="6"/>
        <v>-2.8449799196786918E-2</v>
      </c>
      <c r="L14" s="15">
        <f t="shared" si="7"/>
        <v>-2.8012048192771033E-2</v>
      </c>
      <c r="M14" s="15">
        <f t="shared" si="8"/>
        <v>-3.2449799196786921E-2</v>
      </c>
      <c r="N14" s="15">
        <f t="shared" si="9"/>
        <v>-3.2012048192771037E-2</v>
      </c>
    </row>
    <row r="15" spans="1:14" x14ac:dyDescent="0.3">
      <c r="A15" s="46"/>
      <c r="B15" s="11" t="s">
        <v>123</v>
      </c>
      <c r="C15" s="22">
        <v>0.94320000000000004</v>
      </c>
      <c r="D15" s="23">
        <v>0.94320000000000004</v>
      </c>
      <c r="E15" s="22">
        <v>0.94320000000000004</v>
      </c>
      <c r="F15" s="23">
        <v>0.94320000000000004</v>
      </c>
      <c r="G15" s="22">
        <f t="shared" si="5"/>
        <v>0</v>
      </c>
      <c r="H15" s="23">
        <f t="shared" si="0"/>
        <v>0</v>
      </c>
      <c r="J15" s="19"/>
      <c r="K15" s="15"/>
      <c r="L15" s="15"/>
      <c r="M15" s="15"/>
      <c r="N15" s="15"/>
    </row>
    <row r="16" spans="1:14" x14ac:dyDescent="0.3">
      <c r="A16" s="46">
        <v>100</v>
      </c>
      <c r="B16" t="s">
        <v>130</v>
      </c>
      <c r="C16" s="22">
        <v>0.90348848899165601</v>
      </c>
      <c r="D16" s="23">
        <v>0.95405649944706905</v>
      </c>
      <c r="E16" s="22">
        <v>0.89818848899165604</v>
      </c>
      <c r="F16" s="23">
        <v>0.94875649944706908</v>
      </c>
      <c r="G16" s="22">
        <f t="shared" si="5"/>
        <v>-5.2999999999999714E-3</v>
      </c>
      <c r="H16" s="23">
        <f t="shared" si="0"/>
        <v>-5.2999999999999714E-3</v>
      </c>
      <c r="I16">
        <v>0.9</v>
      </c>
      <c r="J16" s="19">
        <v>0.95299999999999996</v>
      </c>
      <c r="K16" s="15">
        <f t="shared" ref="K16:K20" si="10">C16-I16</f>
        <v>3.4884889916559914E-3</v>
      </c>
      <c r="L16" s="15">
        <f t="shared" ref="L16:L20" si="11">D16-J16</f>
        <v>1.0564994470690925E-3</v>
      </c>
      <c r="M16" s="15">
        <f t="shared" ref="M16:M20" si="12">E16-I16</f>
        <v>-1.81151100834398E-3</v>
      </c>
      <c r="N16" s="15">
        <f t="shared" ref="N16:N20" si="13">F16-J16</f>
        <v>-4.2435005529308789E-3</v>
      </c>
    </row>
    <row r="17" spans="1:14" x14ac:dyDescent="0.3">
      <c r="A17" s="46"/>
      <c r="B17" t="s">
        <v>125</v>
      </c>
      <c r="C17" s="22">
        <v>0.90129999999999999</v>
      </c>
      <c r="D17" s="23">
        <v>0.9526</v>
      </c>
      <c r="E17" s="22">
        <v>0.90129999999999999</v>
      </c>
      <c r="F17" s="23">
        <v>0.9526</v>
      </c>
      <c r="G17" s="22">
        <f t="shared" si="5"/>
        <v>0</v>
      </c>
      <c r="H17" s="23">
        <f t="shared" si="0"/>
        <v>0</v>
      </c>
      <c r="I17">
        <v>0.89600000000000002</v>
      </c>
      <c r="J17" s="19">
        <v>0.95</v>
      </c>
      <c r="K17" s="15">
        <f t="shared" si="10"/>
        <v>5.2999999999999714E-3</v>
      </c>
      <c r="L17" s="15">
        <f t="shared" si="11"/>
        <v>2.6000000000000467E-3</v>
      </c>
      <c r="M17" s="15">
        <f t="shared" si="12"/>
        <v>5.2999999999999714E-3</v>
      </c>
      <c r="N17" s="15">
        <f t="shared" si="13"/>
        <v>2.6000000000000467E-3</v>
      </c>
    </row>
    <row r="18" spans="1:14" x14ac:dyDescent="0.3">
      <c r="A18" s="46"/>
      <c r="B18" t="s">
        <v>124</v>
      </c>
      <c r="C18" s="22">
        <v>0.90300000000000002</v>
      </c>
      <c r="D18" s="23">
        <v>0.9536</v>
      </c>
      <c r="E18" s="22">
        <v>0.90300000000000002</v>
      </c>
      <c r="F18" s="23">
        <v>0.9536</v>
      </c>
      <c r="G18" s="22">
        <f t="shared" si="5"/>
        <v>0</v>
      </c>
      <c r="H18" s="23">
        <f t="shared" si="0"/>
        <v>0</v>
      </c>
      <c r="I18">
        <v>0.89800000000000002</v>
      </c>
      <c r="J18" s="19">
        <v>0.95</v>
      </c>
      <c r="K18" s="15">
        <f t="shared" si="10"/>
        <v>5.0000000000000044E-3</v>
      </c>
      <c r="L18" s="15">
        <f t="shared" si="11"/>
        <v>3.6000000000000476E-3</v>
      </c>
      <c r="M18" s="15">
        <f t="shared" si="12"/>
        <v>5.0000000000000044E-3</v>
      </c>
      <c r="N18" s="15">
        <f t="shared" si="13"/>
        <v>3.6000000000000476E-3</v>
      </c>
    </row>
    <row r="19" spans="1:14" x14ac:dyDescent="0.3">
      <c r="A19" s="46"/>
      <c r="B19" t="s">
        <v>122</v>
      </c>
      <c r="C19" s="22">
        <v>0.90369999999999995</v>
      </c>
      <c r="D19" s="23">
        <v>0.95179999999999998</v>
      </c>
      <c r="E19" s="22">
        <v>0.90369999999999995</v>
      </c>
      <c r="F19" s="23">
        <v>0.95179999999999998</v>
      </c>
      <c r="G19" s="22">
        <f t="shared" si="5"/>
        <v>0</v>
      </c>
      <c r="H19" s="23">
        <f t="shared" si="0"/>
        <v>0</v>
      </c>
      <c r="I19">
        <v>0.90200000000000002</v>
      </c>
      <c r="J19" s="19">
        <v>0.93400000000000005</v>
      </c>
      <c r="K19" s="15">
        <f t="shared" si="10"/>
        <v>1.6999999999999238E-3</v>
      </c>
      <c r="L19" s="15">
        <f t="shared" si="11"/>
        <v>1.7799999999999927E-2</v>
      </c>
      <c r="M19" s="15">
        <f t="shared" si="12"/>
        <v>1.6999999999999238E-3</v>
      </c>
      <c r="N19" s="15">
        <f t="shared" si="13"/>
        <v>1.7799999999999927E-2</v>
      </c>
    </row>
    <row r="20" spans="1:14" ht="15" thickBot="1" x14ac:dyDescent="0.35">
      <c r="A20" s="46"/>
      <c r="B20" t="s">
        <v>149</v>
      </c>
      <c r="C20" s="22">
        <v>0.90469999999999995</v>
      </c>
      <c r="D20" s="23">
        <v>0.95609999999999995</v>
      </c>
      <c r="E20" s="22">
        <v>0.90469999999999995</v>
      </c>
      <c r="F20" s="23">
        <v>0.95609999999999995</v>
      </c>
      <c r="G20" s="22">
        <f t="shared" si="5"/>
        <v>0</v>
      </c>
      <c r="H20" s="23">
        <f t="shared" si="0"/>
        <v>0</v>
      </c>
      <c r="I20" s="38">
        <v>0.92200000000000004</v>
      </c>
      <c r="J20" s="41">
        <v>0.96099999999999997</v>
      </c>
      <c r="K20" s="15">
        <f t="shared" si="10"/>
        <v>-1.7300000000000093E-2</v>
      </c>
      <c r="L20" s="15">
        <f t="shared" si="11"/>
        <v>-4.9000000000000155E-3</v>
      </c>
      <c r="M20" s="15">
        <f t="shared" si="12"/>
        <v>-1.7300000000000093E-2</v>
      </c>
      <c r="N20" s="15">
        <f t="shared" si="13"/>
        <v>-4.9000000000000155E-3</v>
      </c>
    </row>
    <row r="21" spans="1:14" ht="15" thickBot="1" x14ac:dyDescent="0.35">
      <c r="A21" s="46"/>
      <c r="B21" s="11" t="s">
        <v>123</v>
      </c>
      <c r="C21" s="24">
        <v>0.90469999999999995</v>
      </c>
      <c r="D21" s="26">
        <v>0.95609999999999995</v>
      </c>
      <c r="E21" s="24">
        <v>0.90469999999999995</v>
      </c>
      <c r="F21" s="26">
        <v>0.95609999999999995</v>
      </c>
      <c r="G21" s="24">
        <f t="shared" si="5"/>
        <v>0</v>
      </c>
      <c r="H21" s="26">
        <f t="shared" si="0"/>
        <v>0</v>
      </c>
    </row>
    <row r="22" spans="1:14" x14ac:dyDescent="0.3">
      <c r="K22" s="15"/>
      <c r="L22" s="15"/>
      <c r="M22" s="15"/>
      <c r="N22" s="15"/>
    </row>
    <row r="26" spans="1:14" x14ac:dyDescent="0.3">
      <c r="D26" t="s">
        <v>149</v>
      </c>
      <c r="E26" s="11" t="s">
        <v>123</v>
      </c>
      <c r="F26" t="s">
        <v>122</v>
      </c>
      <c r="G26" t="s">
        <v>125</v>
      </c>
      <c r="H26" t="s">
        <v>124</v>
      </c>
      <c r="I26" t="s">
        <v>130</v>
      </c>
      <c r="J26" s="19" t="s">
        <v>126</v>
      </c>
    </row>
    <row r="27" spans="1:14" x14ac:dyDescent="0.3">
      <c r="A27" s="53" t="s">
        <v>182</v>
      </c>
      <c r="B27">
        <v>20</v>
      </c>
      <c r="C27">
        <v>0.95</v>
      </c>
      <c r="D27" s="15">
        <v>0.98633257403189101</v>
      </c>
      <c r="E27" s="15">
        <v>0.86599999999999999</v>
      </c>
      <c r="F27" s="15">
        <v>0.97744874715261998</v>
      </c>
      <c r="G27" s="15">
        <v>0.96331916797137096</v>
      </c>
      <c r="H27" s="15">
        <v>0.965332140460747</v>
      </c>
      <c r="I27" s="15">
        <v>0.922970822281167</v>
      </c>
      <c r="J27" s="23">
        <v>0.95409999999999995</v>
      </c>
    </row>
    <row r="28" spans="1:14" x14ac:dyDescent="0.3">
      <c r="A28" s="53"/>
      <c r="B28">
        <v>20</v>
      </c>
      <c r="C28">
        <v>0.9</v>
      </c>
      <c r="D28" s="15">
        <v>0.94772209567198196</v>
      </c>
      <c r="E28" s="15">
        <v>0.83209999999999995</v>
      </c>
      <c r="F28" s="15">
        <v>0.94954441913439602</v>
      </c>
      <c r="G28" s="15">
        <v>0.92585551330798499</v>
      </c>
      <c r="H28" s="15">
        <v>0.92764482218743005</v>
      </c>
      <c r="I28" s="15">
        <v>0.87596816976127301</v>
      </c>
      <c r="J28" s="23">
        <v>0.95409999999999995</v>
      </c>
    </row>
    <row r="29" spans="1:14" x14ac:dyDescent="0.3">
      <c r="A29" s="53"/>
      <c r="B29">
        <v>50</v>
      </c>
      <c r="C29">
        <v>0.95</v>
      </c>
      <c r="D29" s="15">
        <v>0.94569589702333101</v>
      </c>
      <c r="E29" s="15">
        <v>0.94040000000000001</v>
      </c>
      <c r="F29" s="15">
        <v>0.95826629123089302</v>
      </c>
      <c r="G29" s="15">
        <v>0.94474583082177999</v>
      </c>
      <c r="H29" s="15">
        <v>0.94645368696001597</v>
      </c>
      <c r="I29" s="15">
        <v>0.943965079687341</v>
      </c>
      <c r="J29" s="23">
        <v>0.96950000000000003</v>
      </c>
    </row>
    <row r="30" spans="1:14" x14ac:dyDescent="0.3">
      <c r="A30" s="53"/>
      <c r="B30">
        <v>50</v>
      </c>
      <c r="C30">
        <v>0.9</v>
      </c>
      <c r="D30" s="15">
        <v>0.911806114239743</v>
      </c>
      <c r="E30" s="15">
        <v>0.94040000000000001</v>
      </c>
      <c r="F30" s="15">
        <v>0.91170555108608198</v>
      </c>
      <c r="G30" s="15">
        <v>0.91028732167972704</v>
      </c>
      <c r="H30" s="15">
        <v>0.91249748844685596</v>
      </c>
      <c r="I30" s="15">
        <v>0.90884174195513101</v>
      </c>
      <c r="J30" s="23">
        <v>0.90669999999999995</v>
      </c>
    </row>
    <row r="31" spans="1:14" x14ac:dyDescent="0.3">
      <c r="A31" s="53"/>
      <c r="B31">
        <v>100</v>
      </c>
      <c r="C31">
        <v>0.95</v>
      </c>
      <c r="D31" s="15">
        <v>0.95950000000000002</v>
      </c>
      <c r="E31" s="15">
        <v>0.95950000000000002</v>
      </c>
      <c r="F31" s="15">
        <v>0.95569999999999999</v>
      </c>
      <c r="G31" s="15">
        <v>0.95799579957995795</v>
      </c>
      <c r="H31" s="15">
        <v>0.95839583958395802</v>
      </c>
      <c r="I31" s="15">
        <v>0.95826192156467405</v>
      </c>
      <c r="J31" s="23">
        <v>0.95950000000000002</v>
      </c>
    </row>
    <row r="32" spans="1:14" ht="15" thickBot="1" x14ac:dyDescent="0.35">
      <c r="A32" s="53"/>
      <c r="B32" s="38">
        <v>100</v>
      </c>
      <c r="C32" s="38">
        <v>0.9</v>
      </c>
      <c r="D32" s="25">
        <v>0.90449999999999997</v>
      </c>
      <c r="E32" s="25">
        <v>0.90449999999999997</v>
      </c>
      <c r="F32" s="25">
        <v>0.9042</v>
      </c>
      <c r="G32" s="25">
        <v>0.90209020902090198</v>
      </c>
      <c r="H32" s="25">
        <v>0.90279027902790299</v>
      </c>
      <c r="I32" s="25">
        <v>0.90240951708841599</v>
      </c>
      <c r="J32" s="26">
        <v>0.90800000000000003</v>
      </c>
    </row>
    <row r="33" spans="1:10" x14ac:dyDescent="0.3">
      <c r="A33" s="53" t="s">
        <v>197</v>
      </c>
      <c r="B33">
        <v>20</v>
      </c>
      <c r="C33">
        <v>0.95</v>
      </c>
      <c r="D33" s="15">
        <v>0.86433257403189101</v>
      </c>
      <c r="E33" s="15">
        <v>0.86599999999999999</v>
      </c>
      <c r="F33" s="15">
        <v>0.85544874715261998</v>
      </c>
      <c r="G33" s="15">
        <v>0.85751916797137095</v>
      </c>
      <c r="H33" s="15">
        <v>0.859532140460747</v>
      </c>
      <c r="I33" s="15">
        <v>0.86547082228116701</v>
      </c>
      <c r="J33" s="23">
        <v>0.95409999999999995</v>
      </c>
    </row>
    <row r="34" spans="1:10" x14ac:dyDescent="0.3">
      <c r="A34" s="53"/>
      <c r="B34">
        <v>20</v>
      </c>
      <c r="C34">
        <v>0.9</v>
      </c>
      <c r="D34" s="15">
        <v>0.82572209567198196</v>
      </c>
      <c r="E34" s="15">
        <v>0.83209999999999995</v>
      </c>
      <c r="F34" s="15">
        <v>0.82754441913439603</v>
      </c>
      <c r="G34" s="15">
        <v>0.82005551330798498</v>
      </c>
      <c r="H34" s="15">
        <v>0.82184482218743005</v>
      </c>
      <c r="I34" s="15">
        <v>0.81846816976127301</v>
      </c>
      <c r="J34" s="23">
        <v>0.95409999999999995</v>
      </c>
    </row>
    <row r="35" spans="1:10" x14ac:dyDescent="0.3">
      <c r="A35" s="53"/>
      <c r="B35">
        <v>50</v>
      </c>
      <c r="C35">
        <v>0.95</v>
      </c>
      <c r="D35" s="15">
        <v>0.94009589702333096</v>
      </c>
      <c r="E35" s="15">
        <v>0.94040000000000001</v>
      </c>
      <c r="F35" s="15">
        <v>0.95266629123089297</v>
      </c>
      <c r="G35" s="15">
        <v>0.94014583082177994</v>
      </c>
      <c r="H35" s="15">
        <v>0.94185368696001592</v>
      </c>
      <c r="I35" s="15">
        <v>0.92906507968734098</v>
      </c>
      <c r="J35" s="23">
        <v>0.96950000000000003</v>
      </c>
    </row>
    <row r="36" spans="1:10" x14ac:dyDescent="0.3">
      <c r="A36" s="53"/>
      <c r="B36">
        <v>50</v>
      </c>
      <c r="C36">
        <v>0.9</v>
      </c>
      <c r="D36" s="15">
        <v>0.90620611423974295</v>
      </c>
      <c r="E36" s="15">
        <v>0.94040000000000001</v>
      </c>
      <c r="F36" s="15">
        <v>0.90610555108608193</v>
      </c>
      <c r="G36" s="15">
        <v>0.90568732167972699</v>
      </c>
      <c r="H36" s="15">
        <v>0.90789748844685592</v>
      </c>
      <c r="I36" s="15">
        <v>0.89394174195513099</v>
      </c>
      <c r="J36" s="23">
        <v>0.90669999999999995</v>
      </c>
    </row>
    <row r="37" spans="1:10" x14ac:dyDescent="0.3">
      <c r="A37" s="53"/>
      <c r="B37">
        <v>100</v>
      </c>
      <c r="C37">
        <v>0.95</v>
      </c>
      <c r="D37" s="15">
        <v>0.95950000000000002</v>
      </c>
      <c r="E37" s="15">
        <v>0.95950000000000002</v>
      </c>
      <c r="F37" s="15">
        <v>0.95569999999999999</v>
      </c>
      <c r="G37" s="15">
        <v>0.95789579957995796</v>
      </c>
      <c r="H37" s="15">
        <v>0.95829583958395803</v>
      </c>
      <c r="I37" s="15">
        <v>0.95016192156467405</v>
      </c>
      <c r="J37" s="23">
        <v>0.95950000000000002</v>
      </c>
    </row>
    <row r="38" spans="1:10" ht="15" thickBot="1" x14ac:dyDescent="0.35">
      <c r="A38" s="53"/>
      <c r="B38" s="38">
        <v>100</v>
      </c>
      <c r="C38" s="38">
        <v>0.9</v>
      </c>
      <c r="D38" s="25">
        <v>0.90449999999999997</v>
      </c>
      <c r="E38" s="25">
        <v>0.90449999999999997</v>
      </c>
      <c r="F38" s="25">
        <v>0.9042</v>
      </c>
      <c r="G38" s="25">
        <v>0.90199020902090199</v>
      </c>
      <c r="H38" s="25">
        <v>0.902690279027903</v>
      </c>
      <c r="I38" s="25">
        <v>0.894309517088416</v>
      </c>
      <c r="J38" s="26">
        <v>0.90800000000000003</v>
      </c>
    </row>
    <row r="39" spans="1:10" x14ac:dyDescent="0.3">
      <c r="A39" s="53" t="s">
        <v>130</v>
      </c>
      <c r="B39">
        <v>20</v>
      </c>
      <c r="D39" s="15">
        <v>0.96</v>
      </c>
      <c r="F39" s="15">
        <v>0.95799999999999996</v>
      </c>
      <c r="G39" s="15">
        <v>0.84499999999999997</v>
      </c>
      <c r="H39" s="15">
        <v>0.95899999999999996</v>
      </c>
      <c r="I39" s="15">
        <v>0.96199999999999997</v>
      </c>
    </row>
    <row r="40" spans="1:10" x14ac:dyDescent="0.3">
      <c r="A40" s="53"/>
      <c r="B40">
        <v>20</v>
      </c>
      <c r="D40" s="15">
        <v>0.99</v>
      </c>
      <c r="F40" s="15">
        <v>0.97599999999999998</v>
      </c>
      <c r="G40" s="15">
        <v>0.875</v>
      </c>
      <c r="H40" s="15">
        <v>0.997</v>
      </c>
      <c r="I40" s="15">
        <v>0.998</v>
      </c>
    </row>
    <row r="41" spans="1:10" x14ac:dyDescent="0.3">
      <c r="A41" s="53"/>
      <c r="B41">
        <v>50</v>
      </c>
      <c r="D41" s="15">
        <v>0.91900000000000004</v>
      </c>
      <c r="F41" s="15">
        <v>0.91</v>
      </c>
      <c r="G41" s="15">
        <v>0.91200000000000003</v>
      </c>
      <c r="H41" s="15">
        <v>0.91600000000000004</v>
      </c>
      <c r="I41" s="15">
        <v>0.91700000000000004</v>
      </c>
    </row>
    <row r="42" spans="1:10" x14ac:dyDescent="0.3">
      <c r="A42" s="53"/>
      <c r="B42">
        <v>50</v>
      </c>
      <c r="D42" s="15">
        <v>0.96099999999999997</v>
      </c>
      <c r="F42" s="15">
        <v>0.95099999999999996</v>
      </c>
      <c r="G42" s="15">
        <v>0.94799999999999995</v>
      </c>
      <c r="H42" s="15">
        <v>0.95099999999999996</v>
      </c>
      <c r="I42" s="15">
        <v>0.95299999999999996</v>
      </c>
    </row>
    <row r="43" spans="1:10" x14ac:dyDescent="0.3">
      <c r="A43" s="53"/>
      <c r="B43">
        <v>100</v>
      </c>
      <c r="D43" s="15">
        <v>0.91</v>
      </c>
      <c r="F43" s="15">
        <v>0.90200000000000002</v>
      </c>
      <c r="G43" s="15">
        <v>0.90100000000000002</v>
      </c>
      <c r="H43" s="15">
        <v>0.89600000000000002</v>
      </c>
      <c r="I43" s="15">
        <v>0.89700000000000002</v>
      </c>
    </row>
    <row r="44" spans="1:10" x14ac:dyDescent="0.3">
      <c r="A44" s="53"/>
      <c r="B44">
        <v>100</v>
      </c>
      <c r="D44" s="15">
        <v>0.94899999999999995</v>
      </c>
      <c r="F44" s="15">
        <v>0.95499999999999996</v>
      </c>
      <c r="G44" s="15">
        <v>0.95399999999999996</v>
      </c>
      <c r="H44" s="15">
        <v>0.95199999999999996</v>
      </c>
      <c r="I44" s="15">
        <v>0.95299999999999996</v>
      </c>
    </row>
    <row r="45" spans="1:10" x14ac:dyDescent="0.3">
      <c r="A45" s="53" t="s">
        <v>198</v>
      </c>
      <c r="D45" s="15">
        <f>D27-D39</f>
        <v>2.6332574031891043E-2</v>
      </c>
      <c r="F45" s="15">
        <f>F27-F39</f>
        <v>1.9448747152620016E-2</v>
      </c>
      <c r="G45" s="15">
        <f>G27-G39</f>
        <v>0.11831916797137099</v>
      </c>
      <c r="H45" s="15">
        <f>H27-H39</f>
        <v>6.3321404607470377E-3</v>
      </c>
      <c r="I45" s="15">
        <f>I27-I39</f>
        <v>-3.9029177718832964E-2</v>
      </c>
    </row>
    <row r="46" spans="1:10" x14ac:dyDescent="0.3">
      <c r="A46" s="53"/>
      <c r="D46" s="15">
        <f t="shared" ref="D46:F50" si="14">D28-D40</f>
        <v>-4.2277904328018034E-2</v>
      </c>
      <c r="F46" s="15">
        <f t="shared" si="14"/>
        <v>-2.6455580865603956E-2</v>
      </c>
      <c r="G46" s="15">
        <f t="shared" ref="G46:I46" si="15">G28-G40</f>
        <v>5.085551330798499E-2</v>
      </c>
      <c r="H46" s="15">
        <f t="shared" si="15"/>
        <v>-6.9355177812569946E-2</v>
      </c>
      <c r="I46" s="15">
        <f t="shared" si="15"/>
        <v>-0.12203183023872699</v>
      </c>
    </row>
    <row r="47" spans="1:10" x14ac:dyDescent="0.3">
      <c r="A47" s="53"/>
      <c r="D47" s="15">
        <f t="shared" si="14"/>
        <v>2.6695897023330972E-2</v>
      </c>
      <c r="F47" s="15">
        <f t="shared" si="14"/>
        <v>4.8266291230892988E-2</v>
      </c>
      <c r="G47" s="15">
        <f t="shared" ref="G47:I47" si="16">G29-G41</f>
        <v>3.2745830821779953E-2</v>
      </c>
      <c r="H47" s="15">
        <f t="shared" si="16"/>
        <v>3.0453686960015935E-2</v>
      </c>
      <c r="I47" s="15">
        <f t="shared" si="16"/>
        <v>2.6965079687340965E-2</v>
      </c>
    </row>
    <row r="48" spans="1:10" x14ac:dyDescent="0.3">
      <c r="A48" s="53"/>
      <c r="D48" s="15">
        <f t="shared" si="14"/>
        <v>-4.9193885760256961E-2</v>
      </c>
      <c r="F48" s="15">
        <f t="shared" si="14"/>
        <v>-3.9294448913917979E-2</v>
      </c>
      <c r="G48" s="15">
        <f t="shared" ref="G48:I48" si="17">G30-G42</f>
        <v>-3.7712678320272919E-2</v>
      </c>
      <c r="H48" s="15">
        <f t="shared" si="17"/>
        <v>-3.8502511553143992E-2</v>
      </c>
      <c r="I48" s="15">
        <f t="shared" si="17"/>
        <v>-4.4158258044868948E-2</v>
      </c>
    </row>
    <row r="49" spans="1:9" x14ac:dyDescent="0.3">
      <c r="A49" s="53"/>
      <c r="D49" s="15">
        <f t="shared" si="14"/>
        <v>4.9499999999999988E-2</v>
      </c>
      <c r="F49" s="15">
        <f t="shared" si="14"/>
        <v>5.369999999999997E-2</v>
      </c>
      <c r="G49" s="15">
        <f t="shared" ref="G49:I49" si="18">G31-G43</f>
        <v>5.6995799579957929E-2</v>
      </c>
      <c r="H49" s="15">
        <f t="shared" si="18"/>
        <v>6.2395839583958002E-2</v>
      </c>
      <c r="I49" s="15">
        <f t="shared" si="18"/>
        <v>6.1261921564674027E-2</v>
      </c>
    </row>
    <row r="50" spans="1:9" x14ac:dyDescent="0.3">
      <c r="A50" s="53"/>
      <c r="D50" s="15">
        <f t="shared" si="14"/>
        <v>-4.4499999999999984E-2</v>
      </c>
      <c r="F50" s="15">
        <f t="shared" si="14"/>
        <v>-5.0799999999999956E-2</v>
      </c>
      <c r="G50" s="15">
        <f t="shared" ref="G50:I50" si="19">G32-G44</f>
        <v>-5.1909790979097981E-2</v>
      </c>
      <c r="H50" s="15">
        <f t="shared" si="19"/>
        <v>-4.9209720972096971E-2</v>
      </c>
      <c r="I50" s="15">
        <f t="shared" si="19"/>
        <v>-5.0590482911583967E-2</v>
      </c>
    </row>
    <row r="51" spans="1:9" x14ac:dyDescent="0.3">
      <c r="A51" s="53" t="s">
        <v>199</v>
      </c>
      <c r="D51" s="15">
        <f>D33-D39</f>
        <v>-9.5667425968108954E-2</v>
      </c>
      <c r="F51" s="15">
        <f t="shared" ref="F51:I51" si="20">F33-F39</f>
        <v>-0.10255125284737998</v>
      </c>
      <c r="G51" s="15">
        <f t="shared" si="20"/>
        <v>1.2519167971370981E-2</v>
      </c>
      <c r="H51" s="15">
        <f t="shared" si="20"/>
        <v>-9.9467859539252967E-2</v>
      </c>
      <c r="I51" s="15">
        <f t="shared" si="20"/>
        <v>-9.6529177718832959E-2</v>
      </c>
    </row>
    <row r="52" spans="1:9" x14ac:dyDescent="0.3">
      <c r="A52" s="53"/>
      <c r="D52" s="15">
        <f t="shared" ref="D52:I56" si="21">D34-D40</f>
        <v>-0.16427790432801803</v>
      </c>
      <c r="F52" s="15">
        <f t="shared" si="21"/>
        <v>-0.14845558086560395</v>
      </c>
      <c r="G52" s="15">
        <f t="shared" si="21"/>
        <v>-5.4944486692015015E-2</v>
      </c>
      <c r="H52" s="15">
        <f t="shared" si="21"/>
        <v>-0.17515517781256995</v>
      </c>
      <c r="I52" s="15">
        <f t="shared" si="21"/>
        <v>-0.17953183023872699</v>
      </c>
    </row>
    <row r="53" spans="1:9" x14ac:dyDescent="0.3">
      <c r="A53" s="53"/>
      <c r="D53" s="15">
        <f t="shared" si="21"/>
        <v>2.1095897023330923E-2</v>
      </c>
      <c r="F53" s="15">
        <f t="shared" si="21"/>
        <v>4.2666291230892939E-2</v>
      </c>
      <c r="G53" s="15">
        <f t="shared" si="21"/>
        <v>2.8145830821779905E-2</v>
      </c>
      <c r="H53" s="15">
        <f t="shared" si="21"/>
        <v>2.5853686960015887E-2</v>
      </c>
      <c r="I53" s="15">
        <f t="shared" si="21"/>
        <v>1.206507968734094E-2</v>
      </c>
    </row>
    <row r="54" spans="1:9" x14ac:dyDescent="0.3">
      <c r="A54" s="53"/>
      <c r="D54" s="15">
        <f t="shared" si="21"/>
        <v>-5.4793885760257011E-2</v>
      </c>
      <c r="F54" s="15">
        <f t="shared" si="21"/>
        <v>-4.4894448913918028E-2</v>
      </c>
      <c r="G54" s="15">
        <f t="shared" si="21"/>
        <v>-4.2312678320272967E-2</v>
      </c>
      <c r="H54" s="15">
        <f t="shared" si="21"/>
        <v>-4.3102511553144041E-2</v>
      </c>
      <c r="I54" s="15">
        <f t="shared" si="21"/>
        <v>-5.9058258044868972E-2</v>
      </c>
    </row>
    <row r="55" spans="1:9" x14ac:dyDescent="0.3">
      <c r="A55" s="53"/>
      <c r="D55" s="15">
        <f t="shared" si="21"/>
        <v>4.9499999999999988E-2</v>
      </c>
      <c r="F55" s="15">
        <f t="shared" si="21"/>
        <v>5.369999999999997E-2</v>
      </c>
      <c r="G55" s="15">
        <f t="shared" si="21"/>
        <v>5.689579957995794E-2</v>
      </c>
      <c r="H55" s="15">
        <f t="shared" si="21"/>
        <v>6.2295839583958013E-2</v>
      </c>
      <c r="I55" s="15">
        <f t="shared" si="21"/>
        <v>5.3161921564674031E-2</v>
      </c>
    </row>
    <row r="56" spans="1:9" x14ac:dyDescent="0.3">
      <c r="A56" s="53"/>
      <c r="D56" s="15">
        <f t="shared" si="21"/>
        <v>-4.4499999999999984E-2</v>
      </c>
      <c r="F56" s="15">
        <f t="shared" si="21"/>
        <v>-5.0799999999999956E-2</v>
      </c>
      <c r="G56" s="15">
        <f t="shared" si="21"/>
        <v>-5.200979097909797E-2</v>
      </c>
      <c r="H56" s="15">
        <f t="shared" si="21"/>
        <v>-4.930972097209696E-2</v>
      </c>
      <c r="I56" s="15">
        <f t="shared" si="21"/>
        <v>-5.8690482911583963E-2</v>
      </c>
    </row>
    <row r="57" spans="1:9" x14ac:dyDescent="0.3">
      <c r="D57" s="15"/>
      <c r="F57" s="15"/>
      <c r="G57" s="15"/>
    </row>
    <row r="58" spans="1:9" x14ac:dyDescent="0.3">
      <c r="F58" s="15"/>
      <c r="G58" s="15"/>
    </row>
    <row r="59" spans="1:9" x14ac:dyDescent="0.3">
      <c r="F59" s="15"/>
      <c r="G59" s="15"/>
    </row>
    <row r="60" spans="1:9" x14ac:dyDescent="0.3">
      <c r="F60" s="15"/>
      <c r="G60" s="15"/>
    </row>
    <row r="61" spans="1:9" x14ac:dyDescent="0.3">
      <c r="F61" s="15"/>
      <c r="G61" s="15"/>
    </row>
    <row r="62" spans="1:9" x14ac:dyDescent="0.3">
      <c r="F62" s="15"/>
      <c r="G62" s="15"/>
    </row>
    <row r="63" spans="1:9" x14ac:dyDescent="0.3">
      <c r="F63" s="15"/>
      <c r="G63" s="15"/>
    </row>
    <row r="64" spans="1:9" x14ac:dyDescent="0.3">
      <c r="F64" s="15"/>
      <c r="G64" s="15"/>
    </row>
    <row r="65" spans="6:7" x14ac:dyDescent="0.3">
      <c r="F65" s="15"/>
      <c r="G65" s="15"/>
    </row>
    <row r="66" spans="6:7" x14ac:dyDescent="0.3">
      <c r="F66" s="15"/>
      <c r="G66" s="15"/>
    </row>
    <row r="67" spans="6:7" x14ac:dyDescent="0.3">
      <c r="F67" s="15"/>
      <c r="G67" s="15"/>
    </row>
    <row r="68" spans="6:7" x14ac:dyDescent="0.3">
      <c r="F68" s="15"/>
      <c r="G68" s="15"/>
    </row>
    <row r="69" spans="6:7" x14ac:dyDescent="0.3">
      <c r="F69" s="15"/>
      <c r="G69" s="15"/>
    </row>
  </sheetData>
  <mergeCells count="14">
    <mergeCell ref="A4:A9"/>
    <mergeCell ref="A10:A15"/>
    <mergeCell ref="A16:A21"/>
    <mergeCell ref="E2:F2"/>
    <mergeCell ref="C2:D2"/>
    <mergeCell ref="I2:J2"/>
    <mergeCell ref="K2:L2"/>
    <mergeCell ref="M2:N2"/>
    <mergeCell ref="G2:H2"/>
    <mergeCell ref="A27:A32"/>
    <mergeCell ref="A33:A38"/>
    <mergeCell ref="A39:A44"/>
    <mergeCell ref="A45:A50"/>
    <mergeCell ref="A51:A56"/>
  </mergeCells>
  <conditionalFormatting sqref="D45:I56">
    <cfRule type="colorScale" priority="1">
      <colorScale>
        <cfvo type="min"/>
        <cfvo type="num" val="0"/>
        <cfvo type="max"/>
        <color rgb="FF00B0F0"/>
        <color theme="0"/>
        <color rgb="FFF8696B"/>
      </colorScale>
    </cfRule>
  </conditionalFormatting>
  <conditionalFormatting sqref="G4:H21">
    <cfRule type="colorScale" priority="3">
      <colorScale>
        <cfvo type="min"/>
        <cfvo type="max"/>
        <color rgb="FF00B0F0"/>
        <color rgb="FFFCFCFF"/>
      </colorScale>
    </cfRule>
  </conditionalFormatting>
  <conditionalFormatting sqref="K4:N20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2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A32-002D-4790-961B-BBB0332457E6}">
  <dimension ref="A1:G28"/>
  <sheetViews>
    <sheetView topLeftCell="A2" workbookViewId="0">
      <selection activeCell="C1" sqref="A1:G28"/>
    </sheetView>
  </sheetViews>
  <sheetFormatPr defaultRowHeight="14.4" x14ac:dyDescent="0.3"/>
  <sheetData>
    <row r="1" spans="1:7" x14ac:dyDescent="0.3">
      <c r="A1" s="27" t="s">
        <v>0</v>
      </c>
      <c r="B1" s="27" t="s">
        <v>60</v>
      </c>
      <c r="C1" s="27" t="s">
        <v>205</v>
      </c>
      <c r="D1" s="27" t="s">
        <v>1</v>
      </c>
      <c r="E1" s="27" t="s">
        <v>181</v>
      </c>
      <c r="F1" s="27" t="s">
        <v>203</v>
      </c>
      <c r="G1" s="27" t="s">
        <v>204</v>
      </c>
    </row>
    <row r="2" spans="1:7" x14ac:dyDescent="0.3">
      <c r="A2" s="46" t="s">
        <v>56</v>
      </c>
      <c r="B2" s="46">
        <v>0.1</v>
      </c>
      <c r="C2" s="57">
        <v>0.58437437415518301</v>
      </c>
      <c r="D2" s="27">
        <v>20</v>
      </c>
      <c r="E2" s="55">
        <v>1217</v>
      </c>
      <c r="F2" s="56">
        <v>0.1217</v>
      </c>
      <c r="G2" s="56">
        <v>0.121576654590569</v>
      </c>
    </row>
    <row r="3" spans="1:7" x14ac:dyDescent="0.3">
      <c r="A3" s="46"/>
      <c r="B3" s="46"/>
      <c r="C3" s="57">
        <v>0.58437437415518301</v>
      </c>
      <c r="D3" s="27">
        <v>50</v>
      </c>
      <c r="E3" s="55">
        <v>53</v>
      </c>
      <c r="F3" s="56">
        <v>5.3E-3</v>
      </c>
      <c r="G3" s="56">
        <v>5.1537752073201196E-3</v>
      </c>
    </row>
    <row r="4" spans="1:7" x14ac:dyDescent="0.3">
      <c r="A4" s="46"/>
      <c r="B4" s="46"/>
      <c r="C4" s="57">
        <v>0.58437437415518301</v>
      </c>
      <c r="D4" s="27">
        <v>100</v>
      </c>
      <c r="E4" s="55">
        <v>0</v>
      </c>
      <c r="F4" s="56">
        <v>0</v>
      </c>
      <c r="G4" s="56">
        <v>2.65613988875875E-5</v>
      </c>
    </row>
    <row r="5" spans="1:7" x14ac:dyDescent="0.3">
      <c r="A5" s="46"/>
      <c r="B5" s="46">
        <v>0.5</v>
      </c>
      <c r="C5" s="57">
        <v>2.36597388437534</v>
      </c>
      <c r="D5" s="27">
        <v>20</v>
      </c>
      <c r="E5" s="55">
        <v>0</v>
      </c>
      <c r="F5" s="56">
        <v>0</v>
      </c>
      <c r="G5" s="56">
        <v>1.9073486328125E-6</v>
      </c>
    </row>
    <row r="6" spans="1:7" x14ac:dyDescent="0.3">
      <c r="A6" s="46"/>
      <c r="B6" s="46">
        <v>0.5</v>
      </c>
      <c r="C6" s="57">
        <v>2.36597388437534</v>
      </c>
      <c r="D6" s="27">
        <v>50</v>
      </c>
      <c r="E6" s="55">
        <v>0</v>
      </c>
      <c r="F6" s="56">
        <v>0</v>
      </c>
      <c r="G6" s="56">
        <v>1.7763568394002501E-15</v>
      </c>
    </row>
    <row r="7" spans="1:7" x14ac:dyDescent="0.3">
      <c r="A7" s="46"/>
      <c r="B7" s="46">
        <v>0.5</v>
      </c>
      <c r="C7" s="57">
        <v>2.36597388437534</v>
      </c>
      <c r="D7" s="27">
        <v>100</v>
      </c>
      <c r="E7" s="55">
        <v>0</v>
      </c>
      <c r="F7" s="56">
        <v>0</v>
      </c>
      <c r="G7" s="56">
        <v>1.5777218104420199E-30</v>
      </c>
    </row>
    <row r="8" spans="1:7" x14ac:dyDescent="0.3">
      <c r="A8" s="46"/>
      <c r="B8" s="46">
        <v>0.9</v>
      </c>
      <c r="C8" s="57">
        <v>6.25138863117032</v>
      </c>
      <c r="D8" s="27">
        <v>20</v>
      </c>
      <c r="E8" s="55">
        <v>1224</v>
      </c>
      <c r="F8" s="56">
        <v>0.12239999999999999</v>
      </c>
      <c r="G8" s="56">
        <v>0.121576654590569</v>
      </c>
    </row>
    <row r="9" spans="1:7" x14ac:dyDescent="0.3">
      <c r="A9" s="46"/>
      <c r="B9" s="46">
        <v>0.9</v>
      </c>
      <c r="C9" s="57">
        <v>6.25138863117032</v>
      </c>
      <c r="D9" s="27">
        <v>50</v>
      </c>
      <c r="E9" s="55">
        <v>45</v>
      </c>
      <c r="F9" s="56">
        <v>4.4999999999999997E-3</v>
      </c>
      <c r="G9" s="56">
        <v>5.1537752073201196E-3</v>
      </c>
    </row>
    <row r="10" spans="1:7" x14ac:dyDescent="0.3">
      <c r="A10" s="46"/>
      <c r="B10" s="46">
        <v>0.9</v>
      </c>
      <c r="C10" s="57">
        <v>6.25138863117032</v>
      </c>
      <c r="D10" s="27">
        <v>100</v>
      </c>
      <c r="E10" s="55">
        <v>1</v>
      </c>
      <c r="F10" s="56">
        <v>1E-4</v>
      </c>
      <c r="G10" s="56">
        <v>2.65613988875875E-5</v>
      </c>
    </row>
    <row r="11" spans="1:7" x14ac:dyDescent="0.3">
      <c r="A11" s="46" t="s">
        <v>57</v>
      </c>
      <c r="B11" s="46">
        <v>0.1</v>
      </c>
      <c r="C11" s="57">
        <v>0.105360515657826</v>
      </c>
      <c r="D11" s="27">
        <v>20</v>
      </c>
      <c r="E11" s="55">
        <v>1249</v>
      </c>
      <c r="F11" s="56">
        <v>0.1249</v>
      </c>
      <c r="G11" s="56">
        <v>0.121576654590569</v>
      </c>
    </row>
    <row r="12" spans="1:7" x14ac:dyDescent="0.3">
      <c r="A12" s="46" t="s">
        <v>57</v>
      </c>
      <c r="B12" s="46">
        <v>0.1</v>
      </c>
      <c r="C12" s="57">
        <v>0.105360515657826</v>
      </c>
      <c r="D12" s="27">
        <v>50</v>
      </c>
      <c r="E12" s="55">
        <v>44</v>
      </c>
      <c r="F12" s="56">
        <v>4.4000000000000003E-3</v>
      </c>
      <c r="G12" s="56">
        <v>5.1537752073201196E-3</v>
      </c>
    </row>
    <row r="13" spans="1:7" x14ac:dyDescent="0.3">
      <c r="A13" s="46" t="s">
        <v>57</v>
      </c>
      <c r="B13" s="46">
        <v>0.1</v>
      </c>
      <c r="C13" s="57">
        <v>0.105360515657826</v>
      </c>
      <c r="D13" s="27">
        <v>100</v>
      </c>
      <c r="E13" s="55">
        <v>0</v>
      </c>
      <c r="F13" s="56">
        <v>0</v>
      </c>
      <c r="G13" s="56">
        <v>2.65613988875875E-5</v>
      </c>
    </row>
    <row r="14" spans="1:7" x14ac:dyDescent="0.3">
      <c r="A14" s="46" t="s">
        <v>57</v>
      </c>
      <c r="B14" s="46">
        <v>0.5</v>
      </c>
      <c r="C14" s="57">
        <v>0.69314718055994495</v>
      </c>
      <c r="D14" s="27">
        <v>20</v>
      </c>
      <c r="E14" s="55">
        <v>0</v>
      </c>
      <c r="F14" s="56">
        <v>0</v>
      </c>
      <c r="G14" s="56">
        <v>1.9073486328125E-6</v>
      </c>
    </row>
    <row r="15" spans="1:7" x14ac:dyDescent="0.3">
      <c r="A15" s="46" t="s">
        <v>57</v>
      </c>
      <c r="B15" s="46">
        <v>0.5</v>
      </c>
      <c r="C15" s="57">
        <v>0.69314718055994495</v>
      </c>
      <c r="D15" s="27">
        <v>50</v>
      </c>
      <c r="E15" s="55">
        <v>0</v>
      </c>
      <c r="F15" s="56">
        <v>0</v>
      </c>
      <c r="G15" s="56">
        <v>1.7763568394002501E-15</v>
      </c>
    </row>
    <row r="16" spans="1:7" x14ac:dyDescent="0.3">
      <c r="A16" s="46" t="s">
        <v>57</v>
      </c>
      <c r="B16" s="46">
        <v>0.5</v>
      </c>
      <c r="C16" s="57">
        <v>0.69314718055994495</v>
      </c>
      <c r="D16" s="27">
        <v>100</v>
      </c>
      <c r="E16" s="55">
        <v>0</v>
      </c>
      <c r="F16" s="56">
        <v>0</v>
      </c>
      <c r="G16" s="56">
        <v>1.5777218104420199E-30</v>
      </c>
    </row>
    <row r="17" spans="1:7" x14ac:dyDescent="0.3">
      <c r="A17" s="46" t="s">
        <v>57</v>
      </c>
      <c r="B17" s="46">
        <v>0.9</v>
      </c>
      <c r="C17" s="57">
        <v>2.3025850929940499</v>
      </c>
      <c r="D17" s="27">
        <v>20</v>
      </c>
      <c r="E17" s="55">
        <v>1204</v>
      </c>
      <c r="F17" s="56">
        <v>0.12039999999999999</v>
      </c>
      <c r="G17" s="56">
        <v>0.121576654590569</v>
      </c>
    </row>
    <row r="18" spans="1:7" x14ac:dyDescent="0.3">
      <c r="A18" s="46" t="s">
        <v>57</v>
      </c>
      <c r="B18" s="46">
        <v>0.9</v>
      </c>
      <c r="C18" s="57">
        <v>2.3025850929940499</v>
      </c>
      <c r="D18" s="27">
        <v>50</v>
      </c>
      <c r="E18" s="55">
        <v>54</v>
      </c>
      <c r="F18" s="56">
        <v>5.4000000000000003E-3</v>
      </c>
      <c r="G18" s="56">
        <v>5.1537752073201196E-3</v>
      </c>
    </row>
    <row r="19" spans="1:7" x14ac:dyDescent="0.3">
      <c r="A19" s="46" t="s">
        <v>57</v>
      </c>
      <c r="B19" s="46">
        <v>0.9</v>
      </c>
      <c r="C19" s="57">
        <v>2.3025850929940499</v>
      </c>
      <c r="D19" s="27">
        <v>100</v>
      </c>
      <c r="E19" s="55">
        <v>0</v>
      </c>
      <c r="F19" s="56">
        <v>0</v>
      </c>
      <c r="G19" s="56">
        <v>2.65613988875875E-5</v>
      </c>
    </row>
    <row r="20" spans="1:7" x14ac:dyDescent="0.3">
      <c r="A20" s="46" t="s">
        <v>31</v>
      </c>
      <c r="B20" s="46">
        <v>0.1</v>
      </c>
      <c r="C20" s="57">
        <v>-1.2815515655445999</v>
      </c>
      <c r="D20" s="27">
        <v>20</v>
      </c>
      <c r="E20" s="55">
        <v>1225</v>
      </c>
      <c r="F20" s="56">
        <v>0.1225</v>
      </c>
      <c r="G20" s="56">
        <v>0.121576654590569</v>
      </c>
    </row>
    <row r="21" spans="1:7" x14ac:dyDescent="0.3">
      <c r="A21" s="46" t="s">
        <v>31</v>
      </c>
      <c r="B21" s="46">
        <v>0.1</v>
      </c>
      <c r="C21" s="57">
        <v>-1.2815515655445999</v>
      </c>
      <c r="D21" s="27">
        <v>50</v>
      </c>
      <c r="E21" s="55">
        <v>57</v>
      </c>
      <c r="F21" s="56">
        <v>5.7000000000000002E-3</v>
      </c>
      <c r="G21" s="56">
        <v>5.1537752073201196E-3</v>
      </c>
    </row>
    <row r="22" spans="1:7" x14ac:dyDescent="0.3">
      <c r="A22" s="46" t="s">
        <v>31</v>
      </c>
      <c r="B22" s="46">
        <v>0.1</v>
      </c>
      <c r="C22" s="57">
        <v>-1.2815515655445999</v>
      </c>
      <c r="D22" s="27">
        <v>100</v>
      </c>
      <c r="E22" s="55">
        <v>0</v>
      </c>
      <c r="F22" s="56">
        <v>0</v>
      </c>
      <c r="G22" s="56">
        <v>2.65613988875875E-5</v>
      </c>
    </row>
    <row r="23" spans="1:7" x14ac:dyDescent="0.3">
      <c r="A23" s="46" t="s">
        <v>31</v>
      </c>
      <c r="B23" s="46">
        <v>0.5</v>
      </c>
      <c r="C23" s="57">
        <v>0</v>
      </c>
      <c r="D23" s="27">
        <v>20</v>
      </c>
      <c r="E23" s="55">
        <v>0</v>
      </c>
      <c r="F23" s="56">
        <v>0</v>
      </c>
      <c r="G23" s="56">
        <v>1.9073486328125E-6</v>
      </c>
    </row>
    <row r="24" spans="1:7" x14ac:dyDescent="0.3">
      <c r="A24" s="46" t="s">
        <v>31</v>
      </c>
      <c r="B24" s="46">
        <v>0.5</v>
      </c>
      <c r="C24" s="57">
        <v>0</v>
      </c>
      <c r="D24" s="27">
        <v>50</v>
      </c>
      <c r="E24" s="55">
        <v>0</v>
      </c>
      <c r="F24" s="56">
        <v>0</v>
      </c>
      <c r="G24" s="56">
        <v>1.7763568394002501E-15</v>
      </c>
    </row>
    <row r="25" spans="1:7" x14ac:dyDescent="0.3">
      <c r="A25" s="46" t="s">
        <v>31</v>
      </c>
      <c r="B25" s="46">
        <v>0.5</v>
      </c>
      <c r="C25" s="57">
        <v>0</v>
      </c>
      <c r="D25" s="27">
        <v>100</v>
      </c>
      <c r="E25" s="55">
        <v>0</v>
      </c>
      <c r="F25" s="56">
        <v>0</v>
      </c>
      <c r="G25" s="56">
        <v>1.5777218104420199E-30</v>
      </c>
    </row>
    <row r="26" spans="1:7" x14ac:dyDescent="0.3">
      <c r="A26" s="46" t="s">
        <v>31</v>
      </c>
      <c r="B26" s="46">
        <v>0.9</v>
      </c>
      <c r="C26" s="57">
        <v>1.2815515655445999</v>
      </c>
      <c r="D26" s="27">
        <v>20</v>
      </c>
      <c r="E26" s="55">
        <v>1216</v>
      </c>
      <c r="F26" s="56">
        <v>0.1216</v>
      </c>
      <c r="G26" s="56">
        <v>0.121576654590569</v>
      </c>
    </row>
    <row r="27" spans="1:7" x14ac:dyDescent="0.3">
      <c r="A27" s="46" t="s">
        <v>31</v>
      </c>
      <c r="B27" s="46">
        <v>0.9</v>
      </c>
      <c r="C27" s="57">
        <v>1.2815515655445999</v>
      </c>
      <c r="D27" s="27">
        <v>50</v>
      </c>
      <c r="E27" s="55">
        <v>42</v>
      </c>
      <c r="F27" s="56">
        <v>4.1999999999999997E-3</v>
      </c>
      <c r="G27" s="56">
        <v>5.1537752073201196E-3</v>
      </c>
    </row>
    <row r="28" spans="1:7" x14ac:dyDescent="0.3">
      <c r="A28" s="46" t="s">
        <v>31</v>
      </c>
      <c r="B28" s="46">
        <v>0.9</v>
      </c>
      <c r="C28" s="57">
        <v>1.2815515655445999</v>
      </c>
      <c r="D28" s="27">
        <v>100</v>
      </c>
      <c r="E28" s="55">
        <v>0</v>
      </c>
      <c r="F28" s="56">
        <v>0</v>
      </c>
      <c r="G28" s="56">
        <v>2.65613988875875E-5</v>
      </c>
    </row>
  </sheetData>
  <sortState xmlns:xlrd2="http://schemas.microsoft.com/office/spreadsheetml/2017/richdata2" ref="A2:G28">
    <sortCondition ref="A2:A28"/>
    <sortCondition ref="D2:D28"/>
  </sortState>
  <mergeCells count="21"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B23:B25"/>
    <mergeCell ref="B26:B28"/>
    <mergeCell ref="A2:A10"/>
    <mergeCell ref="A11:A19"/>
    <mergeCell ref="A20:A28"/>
    <mergeCell ref="B2:B4"/>
    <mergeCell ref="B5:B7"/>
    <mergeCell ref="B8:B10"/>
    <mergeCell ref="B11:B13"/>
    <mergeCell ref="B14:B16"/>
    <mergeCell ref="B17:B19"/>
    <mergeCell ref="B20:B22"/>
  </mergeCells>
  <pageMargins left="0.7" right="0.7" top="0.75" bottom="0.75" header="0.3" footer="0.3"/>
</worksheet>
</file>

<file path=xl/worksheets/sheet2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F437B-323B-40B0-978A-F4BF0B3B1C1C}">
  <sheetPr>
    <tabColor theme="8" tint="0.59999389629810485"/>
  </sheetPr>
  <dimension ref="A1:AX56"/>
  <sheetViews>
    <sheetView topLeftCell="B7" zoomScale="85" zoomScaleNormal="85" workbookViewId="0">
      <selection activeCell="AP2" sqref="AP1:AX1048576"/>
    </sheetView>
  </sheetViews>
  <sheetFormatPr defaultRowHeight="14.4" x14ac:dyDescent="0.3"/>
  <cols>
    <col min="5" max="13" width="0" hidden="1" customWidth="1"/>
    <col min="42" max="50" width="0" hidden="1" customWidth="1"/>
  </cols>
  <sheetData>
    <row r="1" spans="1:50" x14ac:dyDescent="0.3">
      <c r="E1" s="42" t="s">
        <v>118</v>
      </c>
      <c r="F1" s="43"/>
      <c r="G1" s="43"/>
      <c r="H1" s="43"/>
      <c r="I1" s="43"/>
      <c r="J1" s="43"/>
      <c r="K1" s="43"/>
      <c r="L1" s="43"/>
      <c r="M1" s="44"/>
      <c r="N1" s="42" t="s">
        <v>95</v>
      </c>
      <c r="O1" s="43" t="s">
        <v>95</v>
      </c>
      <c r="P1" s="43" t="s">
        <v>95</v>
      </c>
      <c r="Q1" s="43" t="s">
        <v>95</v>
      </c>
      <c r="R1" s="43" t="s">
        <v>95</v>
      </c>
      <c r="S1" s="43" t="s">
        <v>95</v>
      </c>
      <c r="T1" s="43" t="s">
        <v>95</v>
      </c>
      <c r="U1" s="43" t="s">
        <v>95</v>
      </c>
      <c r="V1" s="44" t="s">
        <v>95</v>
      </c>
      <c r="W1" s="42" t="s">
        <v>97</v>
      </c>
      <c r="X1" s="43"/>
      <c r="Y1" s="43"/>
      <c r="Z1" s="43"/>
      <c r="AA1" s="43"/>
      <c r="AB1" s="43"/>
      <c r="AC1" s="43"/>
      <c r="AD1" s="43"/>
      <c r="AE1" s="43"/>
      <c r="AF1" s="44"/>
      <c r="AG1" s="42" t="s">
        <v>99</v>
      </c>
      <c r="AH1" s="43" t="s">
        <v>99</v>
      </c>
      <c r="AI1" s="43" t="s">
        <v>99</v>
      </c>
      <c r="AJ1" s="43" t="s">
        <v>99</v>
      </c>
      <c r="AK1" s="43" t="s">
        <v>99</v>
      </c>
      <c r="AL1" s="43" t="s">
        <v>99</v>
      </c>
      <c r="AM1" s="43" t="s">
        <v>99</v>
      </c>
      <c r="AN1" s="43" t="s">
        <v>99</v>
      </c>
      <c r="AO1" s="44" t="s">
        <v>99</v>
      </c>
      <c r="AP1" s="42" t="s">
        <v>100</v>
      </c>
      <c r="AQ1" s="43" t="s">
        <v>100</v>
      </c>
      <c r="AR1" s="43" t="s">
        <v>100</v>
      </c>
      <c r="AS1" s="43" t="s">
        <v>100</v>
      </c>
      <c r="AT1" s="43" t="s">
        <v>100</v>
      </c>
      <c r="AU1" s="43" t="s">
        <v>100</v>
      </c>
      <c r="AV1" s="43" t="s">
        <v>100</v>
      </c>
      <c r="AW1" s="43" t="s">
        <v>100</v>
      </c>
      <c r="AX1" s="44" t="s">
        <v>100</v>
      </c>
    </row>
    <row r="2" spans="1:50" x14ac:dyDescent="0.3">
      <c r="B2" t="s">
        <v>0</v>
      </c>
      <c r="C2" t="s">
        <v>1</v>
      </c>
      <c r="D2" t="s">
        <v>61</v>
      </c>
      <c r="E2" s="18" t="s">
        <v>149</v>
      </c>
      <c r="F2" t="s">
        <v>123</v>
      </c>
      <c r="G2" s="19" t="s">
        <v>122</v>
      </c>
      <c r="H2" s="19" t="s">
        <v>125</v>
      </c>
      <c r="I2" s="19" t="s">
        <v>124</v>
      </c>
      <c r="J2" s="19" t="s">
        <v>130</v>
      </c>
      <c r="K2" s="19" t="s">
        <v>179</v>
      </c>
      <c r="L2" s="19" t="s">
        <v>178</v>
      </c>
      <c r="M2" s="19" t="s">
        <v>126</v>
      </c>
      <c r="N2" s="18" t="s">
        <v>149</v>
      </c>
      <c r="O2" t="s">
        <v>123</v>
      </c>
      <c r="P2" s="19" t="s">
        <v>122</v>
      </c>
      <c r="Q2" s="19" t="s">
        <v>125</v>
      </c>
      <c r="R2" s="19" t="s">
        <v>124</v>
      </c>
      <c r="S2" s="19" t="s">
        <v>130</v>
      </c>
      <c r="T2" s="19" t="s">
        <v>179</v>
      </c>
      <c r="U2" s="19" t="s">
        <v>178</v>
      </c>
      <c r="V2" s="19" t="s">
        <v>126</v>
      </c>
      <c r="W2" s="18" t="s">
        <v>149</v>
      </c>
      <c r="X2" t="s">
        <v>123</v>
      </c>
      <c r="Y2" s="19" t="s">
        <v>122</v>
      </c>
      <c r="Z2" s="19" t="s">
        <v>125</v>
      </c>
      <c r="AA2" s="19" t="s">
        <v>124</v>
      </c>
      <c r="AB2" s="19" t="s">
        <v>130</v>
      </c>
      <c r="AC2" s="19" t="s">
        <v>179</v>
      </c>
      <c r="AD2" s="19" t="s">
        <v>178</v>
      </c>
      <c r="AE2" s="19" t="s">
        <v>126</v>
      </c>
      <c r="AF2" s="19" t="s">
        <v>189</v>
      </c>
      <c r="AG2" s="18" t="s">
        <v>149</v>
      </c>
      <c r="AH2" t="s">
        <v>123</v>
      </c>
      <c r="AI2" s="19" t="s">
        <v>122</v>
      </c>
      <c r="AJ2" s="19" t="s">
        <v>125</v>
      </c>
      <c r="AK2" s="19" t="s">
        <v>124</v>
      </c>
      <c r="AL2" s="19" t="s">
        <v>130</v>
      </c>
      <c r="AM2" s="19" t="s">
        <v>179</v>
      </c>
      <c r="AN2" s="19" t="s">
        <v>178</v>
      </c>
      <c r="AO2" s="19" t="s">
        <v>126</v>
      </c>
      <c r="AP2" s="18" t="s">
        <v>149</v>
      </c>
      <c r="AQ2" t="s">
        <v>123</v>
      </c>
      <c r="AR2" s="19" t="s">
        <v>122</v>
      </c>
      <c r="AS2" s="19" t="s">
        <v>125</v>
      </c>
      <c r="AT2" s="19" t="s">
        <v>124</v>
      </c>
      <c r="AU2" s="19" t="s">
        <v>130</v>
      </c>
      <c r="AV2" s="19" t="s">
        <v>179</v>
      </c>
      <c r="AW2" s="19" t="s">
        <v>178</v>
      </c>
      <c r="AX2" s="19" t="s">
        <v>126</v>
      </c>
    </row>
    <row r="3" spans="1:50" x14ac:dyDescent="0.3">
      <c r="A3" t="s">
        <v>181</v>
      </c>
      <c r="B3" t="s">
        <v>31</v>
      </c>
      <c r="C3">
        <v>20</v>
      </c>
      <c r="D3">
        <v>0.95</v>
      </c>
      <c r="E3">
        <v>3513</v>
      </c>
      <c r="F3">
        <v>0</v>
      </c>
      <c r="G3">
        <v>3513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1231</v>
      </c>
      <c r="O3">
        <v>0</v>
      </c>
      <c r="P3">
        <v>1231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1186</v>
      </c>
      <c r="AH3">
        <v>0</v>
      </c>
      <c r="AI3">
        <v>1186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3608</v>
      </c>
      <c r="AQ3">
        <v>0</v>
      </c>
      <c r="AR3">
        <v>3608</v>
      </c>
      <c r="AS3">
        <v>1</v>
      </c>
      <c r="AT3">
        <v>1</v>
      </c>
      <c r="AU3">
        <v>0</v>
      </c>
      <c r="AV3">
        <v>0</v>
      </c>
      <c r="AW3">
        <v>0</v>
      </c>
      <c r="AX3">
        <v>0</v>
      </c>
    </row>
    <row r="4" spans="1:50" x14ac:dyDescent="0.3">
      <c r="B4" t="s">
        <v>31</v>
      </c>
      <c r="C4">
        <v>20</v>
      </c>
      <c r="D4">
        <v>0.9</v>
      </c>
      <c r="E4">
        <v>3513</v>
      </c>
      <c r="F4">
        <v>0</v>
      </c>
      <c r="G4">
        <v>3513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1231</v>
      </c>
      <c r="O4">
        <v>0</v>
      </c>
      <c r="P4">
        <v>1231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1186</v>
      </c>
      <c r="AH4">
        <v>0</v>
      </c>
      <c r="AI4">
        <v>1186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3608</v>
      </c>
      <c r="AQ4">
        <v>0</v>
      </c>
      <c r="AR4">
        <v>3608</v>
      </c>
      <c r="AS4">
        <v>1</v>
      </c>
      <c r="AT4">
        <v>1</v>
      </c>
      <c r="AU4">
        <v>0</v>
      </c>
      <c r="AV4">
        <v>0</v>
      </c>
      <c r="AW4">
        <v>0</v>
      </c>
      <c r="AX4">
        <v>0</v>
      </c>
    </row>
    <row r="5" spans="1:50" x14ac:dyDescent="0.3">
      <c r="B5" t="s">
        <v>56</v>
      </c>
      <c r="C5">
        <v>20</v>
      </c>
      <c r="D5">
        <v>0.95</v>
      </c>
      <c r="E5">
        <v>3622</v>
      </c>
      <c r="F5">
        <v>0</v>
      </c>
      <c r="G5">
        <v>3622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1174</v>
      </c>
      <c r="O5">
        <v>0</v>
      </c>
      <c r="P5">
        <v>1174</v>
      </c>
      <c r="Q5">
        <v>1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1229</v>
      </c>
      <c r="AH5">
        <v>0</v>
      </c>
      <c r="AI5">
        <v>1229</v>
      </c>
      <c r="AJ5">
        <v>174</v>
      </c>
      <c r="AK5">
        <v>174</v>
      </c>
      <c r="AL5">
        <v>0</v>
      </c>
      <c r="AM5">
        <v>0</v>
      </c>
      <c r="AN5">
        <v>0</v>
      </c>
      <c r="AO5">
        <v>0</v>
      </c>
      <c r="AP5">
        <v>3705</v>
      </c>
      <c r="AQ5">
        <v>0</v>
      </c>
      <c r="AR5">
        <v>3705</v>
      </c>
      <c r="AS5">
        <v>947</v>
      </c>
      <c r="AT5">
        <v>947</v>
      </c>
      <c r="AU5">
        <v>0</v>
      </c>
      <c r="AV5">
        <v>0</v>
      </c>
      <c r="AW5">
        <v>0</v>
      </c>
      <c r="AX5">
        <v>0</v>
      </c>
    </row>
    <row r="6" spans="1:50" x14ac:dyDescent="0.3">
      <c r="B6" t="s">
        <v>56</v>
      </c>
      <c r="C6">
        <v>20</v>
      </c>
      <c r="D6">
        <v>0.9</v>
      </c>
      <c r="E6">
        <v>3622</v>
      </c>
      <c r="F6">
        <v>0</v>
      </c>
      <c r="G6">
        <v>3622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1174</v>
      </c>
      <c r="O6">
        <v>0</v>
      </c>
      <c r="P6">
        <v>1174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1229</v>
      </c>
      <c r="AH6">
        <v>0</v>
      </c>
      <c r="AI6">
        <v>1229</v>
      </c>
      <c r="AJ6">
        <v>174</v>
      </c>
      <c r="AK6">
        <v>174</v>
      </c>
      <c r="AL6">
        <v>0</v>
      </c>
      <c r="AM6">
        <v>0</v>
      </c>
      <c r="AN6">
        <v>0</v>
      </c>
      <c r="AO6">
        <v>0</v>
      </c>
      <c r="AP6">
        <v>3705</v>
      </c>
      <c r="AQ6">
        <v>0</v>
      </c>
      <c r="AR6">
        <v>3705</v>
      </c>
      <c r="AS6">
        <v>947</v>
      </c>
      <c r="AT6">
        <v>947</v>
      </c>
      <c r="AU6">
        <v>0</v>
      </c>
      <c r="AV6">
        <v>0</v>
      </c>
      <c r="AW6">
        <v>0</v>
      </c>
      <c r="AX6">
        <v>0</v>
      </c>
    </row>
    <row r="7" spans="1:50" x14ac:dyDescent="0.3">
      <c r="B7" t="s">
        <v>57</v>
      </c>
      <c r="C7">
        <v>20</v>
      </c>
      <c r="D7">
        <v>0.95</v>
      </c>
      <c r="E7">
        <v>3579</v>
      </c>
      <c r="F7">
        <v>0</v>
      </c>
      <c r="G7">
        <v>3579</v>
      </c>
      <c r="H7">
        <v>300</v>
      </c>
      <c r="I7">
        <v>300</v>
      </c>
      <c r="J7">
        <v>0</v>
      </c>
      <c r="K7">
        <v>0</v>
      </c>
      <c r="L7">
        <v>0</v>
      </c>
      <c r="M7">
        <v>0</v>
      </c>
      <c r="N7">
        <v>1190</v>
      </c>
      <c r="O7">
        <v>0</v>
      </c>
      <c r="P7">
        <v>1190</v>
      </c>
      <c r="Q7">
        <v>73</v>
      </c>
      <c r="R7">
        <v>73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1220</v>
      </c>
      <c r="AH7">
        <v>0</v>
      </c>
      <c r="AI7">
        <v>1220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3644</v>
      </c>
      <c r="AQ7">
        <v>0</v>
      </c>
      <c r="AR7">
        <v>3644</v>
      </c>
      <c r="AS7">
        <v>7</v>
      </c>
      <c r="AT7">
        <v>7</v>
      </c>
      <c r="AU7">
        <v>0</v>
      </c>
      <c r="AV7">
        <v>0</v>
      </c>
      <c r="AW7">
        <v>0</v>
      </c>
      <c r="AX7">
        <v>0</v>
      </c>
    </row>
    <row r="8" spans="1:50" x14ac:dyDescent="0.3">
      <c r="B8" t="s">
        <v>57</v>
      </c>
      <c r="C8">
        <v>20</v>
      </c>
      <c r="D8">
        <v>0.9</v>
      </c>
      <c r="E8">
        <v>3579</v>
      </c>
      <c r="F8">
        <v>0</v>
      </c>
      <c r="G8">
        <v>3579</v>
      </c>
      <c r="H8">
        <v>300</v>
      </c>
      <c r="I8">
        <v>300</v>
      </c>
      <c r="J8">
        <v>0</v>
      </c>
      <c r="K8">
        <v>0</v>
      </c>
      <c r="L8">
        <v>0</v>
      </c>
      <c r="M8">
        <v>0</v>
      </c>
      <c r="N8">
        <v>1190</v>
      </c>
      <c r="O8">
        <v>0</v>
      </c>
      <c r="P8">
        <v>1190</v>
      </c>
      <c r="Q8">
        <v>73</v>
      </c>
      <c r="R8">
        <v>73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1220</v>
      </c>
      <c r="AH8">
        <v>0</v>
      </c>
      <c r="AI8">
        <v>1220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3644</v>
      </c>
      <c r="AQ8">
        <v>0</v>
      </c>
      <c r="AR8">
        <v>3644</v>
      </c>
      <c r="AS8">
        <v>7</v>
      </c>
      <c r="AT8">
        <v>7</v>
      </c>
      <c r="AU8">
        <v>0</v>
      </c>
      <c r="AV8">
        <v>0</v>
      </c>
      <c r="AW8">
        <v>0</v>
      </c>
      <c r="AX8">
        <v>0</v>
      </c>
    </row>
    <row r="9" spans="1:50" x14ac:dyDescent="0.3">
      <c r="B9" t="s">
        <v>31</v>
      </c>
      <c r="C9">
        <v>50</v>
      </c>
      <c r="D9">
        <v>0.95</v>
      </c>
      <c r="E9">
        <v>774</v>
      </c>
      <c r="F9">
        <v>0</v>
      </c>
      <c r="G9">
        <v>774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56</v>
      </c>
      <c r="O9">
        <v>0</v>
      </c>
      <c r="P9">
        <v>56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40</v>
      </c>
      <c r="AH9">
        <v>0</v>
      </c>
      <c r="AI9">
        <v>40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776</v>
      </c>
      <c r="AQ9">
        <v>0</v>
      </c>
      <c r="AR9">
        <v>776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3">
      <c r="B10" t="s">
        <v>31</v>
      </c>
      <c r="C10">
        <v>50</v>
      </c>
      <c r="D10">
        <v>0.9</v>
      </c>
      <c r="E10">
        <v>774</v>
      </c>
      <c r="F10">
        <v>0</v>
      </c>
      <c r="G10">
        <v>774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56</v>
      </c>
      <c r="O10">
        <v>0</v>
      </c>
      <c r="P10">
        <v>56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40</v>
      </c>
      <c r="AH10">
        <v>0</v>
      </c>
      <c r="AI10">
        <v>40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776</v>
      </c>
      <c r="AQ10">
        <v>0</v>
      </c>
      <c r="AR10">
        <v>776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3">
      <c r="B11" t="s">
        <v>56</v>
      </c>
      <c r="C11">
        <v>50</v>
      </c>
      <c r="D11">
        <v>0.95</v>
      </c>
      <c r="E11">
        <v>749</v>
      </c>
      <c r="F11">
        <v>0</v>
      </c>
      <c r="G11">
        <v>749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62</v>
      </c>
      <c r="O11">
        <v>0</v>
      </c>
      <c r="P11">
        <v>62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47</v>
      </c>
      <c r="AH11">
        <v>0</v>
      </c>
      <c r="AI11">
        <v>47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761</v>
      </c>
      <c r="AQ11">
        <v>0</v>
      </c>
      <c r="AR11">
        <v>761</v>
      </c>
      <c r="AS11">
        <v>83</v>
      </c>
      <c r="AT11">
        <v>83</v>
      </c>
      <c r="AU11">
        <v>0</v>
      </c>
      <c r="AV11">
        <v>0</v>
      </c>
      <c r="AW11">
        <v>0</v>
      </c>
      <c r="AX11">
        <v>0</v>
      </c>
    </row>
    <row r="12" spans="1:50" x14ac:dyDescent="0.3">
      <c r="B12" t="s">
        <v>56</v>
      </c>
      <c r="C12">
        <v>50</v>
      </c>
      <c r="D12">
        <v>0.9</v>
      </c>
      <c r="E12">
        <v>749</v>
      </c>
      <c r="F12">
        <v>0</v>
      </c>
      <c r="G12">
        <v>749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62</v>
      </c>
      <c r="O12">
        <v>0</v>
      </c>
      <c r="P12">
        <v>62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47</v>
      </c>
      <c r="AH12">
        <v>0</v>
      </c>
      <c r="AI12">
        <v>47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761</v>
      </c>
      <c r="AQ12">
        <v>0</v>
      </c>
      <c r="AR12">
        <v>761</v>
      </c>
      <c r="AS12">
        <v>83</v>
      </c>
      <c r="AT12">
        <v>83</v>
      </c>
      <c r="AU12">
        <v>0</v>
      </c>
      <c r="AV12">
        <v>0</v>
      </c>
      <c r="AW12">
        <v>0</v>
      </c>
      <c r="AX12">
        <v>0</v>
      </c>
    </row>
    <row r="13" spans="1:50" x14ac:dyDescent="0.3">
      <c r="B13" t="s">
        <v>57</v>
      </c>
      <c r="C13">
        <v>50</v>
      </c>
      <c r="D13">
        <v>0.95</v>
      </c>
      <c r="E13">
        <v>775</v>
      </c>
      <c r="F13">
        <v>0</v>
      </c>
      <c r="G13">
        <v>775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46</v>
      </c>
      <c r="O13">
        <v>0</v>
      </c>
      <c r="P13">
        <v>46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56</v>
      </c>
      <c r="AH13">
        <v>0</v>
      </c>
      <c r="AI13">
        <v>56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753</v>
      </c>
      <c r="AQ13">
        <v>0</v>
      </c>
      <c r="AR13">
        <v>753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3">
      <c r="B14" t="s">
        <v>57</v>
      </c>
      <c r="C14">
        <v>50</v>
      </c>
      <c r="D14">
        <v>0.9</v>
      </c>
      <c r="E14">
        <v>775</v>
      </c>
      <c r="F14">
        <v>0</v>
      </c>
      <c r="G14">
        <v>775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46</v>
      </c>
      <c r="O14">
        <v>0</v>
      </c>
      <c r="P14">
        <v>46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56</v>
      </c>
      <c r="AH14">
        <v>0</v>
      </c>
      <c r="AI14">
        <v>56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753</v>
      </c>
      <c r="AQ14">
        <v>0</v>
      </c>
      <c r="AR14">
        <v>753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3">
      <c r="B15" t="s">
        <v>31</v>
      </c>
      <c r="C15">
        <v>100</v>
      </c>
      <c r="D15">
        <v>0.95</v>
      </c>
      <c r="E15">
        <v>46</v>
      </c>
      <c r="F15">
        <v>0</v>
      </c>
      <c r="G15">
        <v>46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59</v>
      </c>
      <c r="AQ15">
        <v>0</v>
      </c>
      <c r="AR15">
        <v>59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3">
      <c r="B16" t="s">
        <v>31</v>
      </c>
      <c r="C16">
        <v>100</v>
      </c>
      <c r="D16">
        <v>0.9</v>
      </c>
      <c r="E16">
        <v>46</v>
      </c>
      <c r="F16">
        <v>0</v>
      </c>
      <c r="G16">
        <v>46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59</v>
      </c>
      <c r="AQ16">
        <v>0</v>
      </c>
      <c r="AR16">
        <v>59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3">
      <c r="B17" t="s">
        <v>56</v>
      </c>
      <c r="C17">
        <v>100</v>
      </c>
      <c r="D17">
        <v>0.95</v>
      </c>
      <c r="E17">
        <v>58</v>
      </c>
      <c r="F17">
        <v>0</v>
      </c>
      <c r="G17">
        <v>58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64</v>
      </c>
      <c r="AQ17">
        <v>0</v>
      </c>
      <c r="AR17">
        <v>64</v>
      </c>
      <c r="AS17">
        <v>1</v>
      </c>
      <c r="AT17">
        <v>1</v>
      </c>
      <c r="AU17">
        <v>0</v>
      </c>
      <c r="AV17">
        <v>0</v>
      </c>
      <c r="AW17">
        <v>0</v>
      </c>
      <c r="AX17">
        <v>0</v>
      </c>
    </row>
    <row r="18" spans="1:50" x14ac:dyDescent="0.3">
      <c r="B18" t="s">
        <v>56</v>
      </c>
      <c r="C18">
        <v>100</v>
      </c>
      <c r="D18">
        <v>0.9</v>
      </c>
      <c r="E18">
        <v>58</v>
      </c>
      <c r="F18">
        <v>0</v>
      </c>
      <c r="G18">
        <v>58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64</v>
      </c>
      <c r="AQ18">
        <v>0</v>
      </c>
      <c r="AR18">
        <v>64</v>
      </c>
      <c r="AS18">
        <v>1</v>
      </c>
      <c r="AT18">
        <v>1</v>
      </c>
      <c r="AU18">
        <v>0</v>
      </c>
      <c r="AV18">
        <v>0</v>
      </c>
      <c r="AW18">
        <v>0</v>
      </c>
      <c r="AX18">
        <v>0</v>
      </c>
    </row>
    <row r="19" spans="1:50" x14ac:dyDescent="0.3">
      <c r="B19" t="s">
        <v>57</v>
      </c>
      <c r="C19">
        <v>100</v>
      </c>
      <c r="D19">
        <v>0.95</v>
      </c>
      <c r="E19">
        <v>61</v>
      </c>
      <c r="F19">
        <v>0</v>
      </c>
      <c r="G19">
        <v>61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55</v>
      </c>
      <c r="AQ19">
        <v>0</v>
      </c>
      <c r="AR19">
        <v>55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3">
      <c r="B20" t="s">
        <v>57</v>
      </c>
      <c r="C20">
        <v>100</v>
      </c>
      <c r="D20">
        <v>0.9</v>
      </c>
      <c r="E20">
        <v>61</v>
      </c>
      <c r="F20">
        <v>0</v>
      </c>
      <c r="G20">
        <v>61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55</v>
      </c>
      <c r="AQ20">
        <v>0</v>
      </c>
      <c r="AR20">
        <v>55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3">
      <c r="A21" t="s">
        <v>187</v>
      </c>
      <c r="B21" t="s">
        <v>31</v>
      </c>
      <c r="C21">
        <v>20</v>
      </c>
      <c r="D21">
        <v>0.95</v>
      </c>
      <c r="E21" s="15">
        <v>0.97425620471712704</v>
      </c>
      <c r="F21" s="15">
        <v>0.63200000000000001</v>
      </c>
      <c r="G21" s="15">
        <v>0.97132726992446405</v>
      </c>
      <c r="H21" s="15">
        <v>9.7100000000000006E-2</v>
      </c>
      <c r="I21" s="15">
        <v>0.1081</v>
      </c>
      <c r="J21" s="15">
        <v>0.82909999999999995</v>
      </c>
      <c r="K21" s="15">
        <v>0.15240000000000001</v>
      </c>
      <c r="L21" s="15">
        <v>0.17280000000000001</v>
      </c>
      <c r="M21" s="15">
        <v>0.98329999999999995</v>
      </c>
      <c r="N21" s="15">
        <v>0.98893830539400196</v>
      </c>
      <c r="O21" s="15">
        <v>0.86719999999999997</v>
      </c>
      <c r="P21" s="15">
        <v>0.980499486828601</v>
      </c>
      <c r="Q21" s="15">
        <v>0.2455</v>
      </c>
      <c r="R21" s="15">
        <v>0.26179999999999998</v>
      </c>
      <c r="S21" s="15">
        <v>0.89419999999999999</v>
      </c>
      <c r="T21" s="15">
        <v>0.32869999999999999</v>
      </c>
      <c r="U21" s="15">
        <v>0.35439999999999999</v>
      </c>
      <c r="V21" s="15">
        <v>0.95889999999999997</v>
      </c>
      <c r="W21" s="15">
        <v>0.95609999999999995</v>
      </c>
      <c r="X21" s="15">
        <v>0.95609999999999995</v>
      </c>
      <c r="Y21" s="15">
        <v>0.94969999999999999</v>
      </c>
      <c r="Z21" s="15">
        <v>0.94569999999999999</v>
      </c>
      <c r="AA21" s="15">
        <v>0.94910000000000005</v>
      </c>
      <c r="AB21" s="15">
        <v>0.99980000000000002</v>
      </c>
      <c r="AC21" s="15">
        <v>0.96189999999999998</v>
      </c>
      <c r="AD21" s="15">
        <v>0.96509999999999996</v>
      </c>
      <c r="AE21" s="15">
        <v>0.95609999999999995</v>
      </c>
      <c r="AF21" s="15">
        <v>0.95430000000000004</v>
      </c>
      <c r="AG21" s="15">
        <v>0.98649875198547798</v>
      </c>
      <c r="AH21" s="15">
        <v>0.86950000000000005</v>
      </c>
      <c r="AI21" s="15">
        <v>0.97889720898570498</v>
      </c>
      <c r="AJ21" s="15">
        <v>0.24640000000000001</v>
      </c>
      <c r="AK21" s="15">
        <v>0.26540000000000002</v>
      </c>
      <c r="AL21" s="15">
        <v>0.90059999999999996</v>
      </c>
      <c r="AM21" s="15">
        <v>0.32669999999999999</v>
      </c>
      <c r="AN21" s="15">
        <v>0.35049999999999998</v>
      </c>
      <c r="AO21" s="15">
        <v>0.9526</v>
      </c>
      <c r="AP21" s="15">
        <v>0.97371714643304097</v>
      </c>
      <c r="AQ21" s="15">
        <v>0.62239999999999995</v>
      </c>
      <c r="AR21" s="15">
        <v>0.97058823529411797</v>
      </c>
      <c r="AS21" s="15">
        <v>0.101110111011101</v>
      </c>
      <c r="AT21" s="15">
        <v>0.112511251125113</v>
      </c>
      <c r="AU21" s="15">
        <v>0.83789999999999998</v>
      </c>
      <c r="AV21" s="15">
        <v>0.1517</v>
      </c>
      <c r="AW21" s="15">
        <v>0.1749</v>
      </c>
      <c r="AX21" s="15">
        <v>0.98319999999999996</v>
      </c>
    </row>
    <row r="22" spans="1:50" x14ac:dyDescent="0.3">
      <c r="B22" t="s">
        <v>31</v>
      </c>
      <c r="C22">
        <v>20</v>
      </c>
      <c r="D22">
        <v>0.9</v>
      </c>
      <c r="E22" s="15">
        <v>0.87775551102204397</v>
      </c>
      <c r="F22" s="15">
        <v>0.63200000000000001</v>
      </c>
      <c r="G22" s="15">
        <v>0.94465854786496095</v>
      </c>
      <c r="H22" s="15">
        <v>5.9000000000000101E-2</v>
      </c>
      <c r="I22" s="15">
        <v>6.5600000000000006E-2</v>
      </c>
      <c r="J22" s="15">
        <v>0.65910000000000002</v>
      </c>
      <c r="K22" s="15">
        <v>8.1500000000000003E-2</v>
      </c>
      <c r="L22" s="15">
        <v>9.3700000000000006E-2</v>
      </c>
      <c r="M22" s="15">
        <v>0.92069999999999996</v>
      </c>
      <c r="N22" s="15">
        <v>0.95313034553540898</v>
      </c>
      <c r="O22" s="15">
        <v>0.83579999999999999</v>
      </c>
      <c r="P22" s="15">
        <v>0.95552514539856304</v>
      </c>
      <c r="Q22" s="15">
        <v>0.1691</v>
      </c>
      <c r="R22" s="15">
        <v>0.18</v>
      </c>
      <c r="S22" s="15">
        <v>0.75819999999999999</v>
      </c>
      <c r="T22" s="15">
        <v>0.21240000000000001</v>
      </c>
      <c r="U22" s="15">
        <v>0.2303</v>
      </c>
      <c r="V22" s="15">
        <v>0.95889999999999997</v>
      </c>
      <c r="W22" s="15">
        <v>0.88900000000000001</v>
      </c>
      <c r="X22" s="15">
        <v>0.88900000000000001</v>
      </c>
      <c r="Y22" s="15">
        <v>0.90720000000000001</v>
      </c>
      <c r="Z22" s="15">
        <v>0.89429999999999998</v>
      </c>
      <c r="AA22" s="15">
        <v>0.90180000000000005</v>
      </c>
      <c r="AB22" s="15">
        <v>0.99739999999999995</v>
      </c>
      <c r="AC22" s="15">
        <v>0.9204</v>
      </c>
      <c r="AD22" s="15">
        <v>0.92569999999999997</v>
      </c>
      <c r="AE22" s="15">
        <v>0.95609999999999995</v>
      </c>
      <c r="AF22" s="15">
        <v>0.90639999999999998</v>
      </c>
      <c r="AG22" s="15">
        <v>0.94622191967324698</v>
      </c>
      <c r="AH22" s="15">
        <v>0.83399999999999996</v>
      </c>
      <c r="AI22" s="15">
        <v>0.94826412525527604</v>
      </c>
      <c r="AJ22" s="15">
        <v>0.1699</v>
      </c>
      <c r="AK22" s="15">
        <v>0.1799</v>
      </c>
      <c r="AL22" s="15">
        <v>0.77129999999999999</v>
      </c>
      <c r="AM22" s="15">
        <v>0.21579999999999999</v>
      </c>
      <c r="AN22" s="15">
        <v>0.2316</v>
      </c>
      <c r="AO22" s="15">
        <v>0.9526</v>
      </c>
      <c r="AP22" s="15">
        <v>0.88219649561952396</v>
      </c>
      <c r="AQ22" s="15">
        <v>0.62239999999999995</v>
      </c>
      <c r="AR22" s="15">
        <v>0.94430538172715905</v>
      </c>
      <c r="AS22" s="15">
        <v>6.04060406040604E-2</v>
      </c>
      <c r="AT22" s="15">
        <v>6.7906790679067894E-2</v>
      </c>
      <c r="AU22" s="15">
        <v>0.66649999999999998</v>
      </c>
      <c r="AV22" s="15">
        <v>8.6599999999999996E-2</v>
      </c>
      <c r="AW22" s="15">
        <v>9.9000000000000005E-2</v>
      </c>
      <c r="AX22" s="15">
        <v>0.92469999999999997</v>
      </c>
    </row>
    <row r="23" spans="1:50" x14ac:dyDescent="0.3">
      <c r="B23" t="s">
        <v>56</v>
      </c>
      <c r="C23">
        <v>20</v>
      </c>
      <c r="D23">
        <v>0.95</v>
      </c>
      <c r="E23" s="15">
        <v>0.977108811539668</v>
      </c>
      <c r="F23" s="15">
        <v>0.62319999999999998</v>
      </c>
      <c r="G23" s="15">
        <v>0.97554092191909703</v>
      </c>
      <c r="H23" s="15">
        <v>0.26200000000000001</v>
      </c>
      <c r="I23" s="15">
        <v>0.2767</v>
      </c>
      <c r="J23" s="15">
        <v>0.86809999999999998</v>
      </c>
      <c r="K23" s="15">
        <v>0.35389999999999999</v>
      </c>
      <c r="L23" s="15">
        <v>0.37540000000000001</v>
      </c>
      <c r="M23" s="15">
        <v>0.98540000000000005</v>
      </c>
      <c r="N23" s="15">
        <v>0.98776342624065305</v>
      </c>
      <c r="O23" s="15">
        <v>0.87180000000000002</v>
      </c>
      <c r="P23" s="15">
        <v>0.98085202809879901</v>
      </c>
      <c r="Q23" s="15">
        <v>0.676667666766677</v>
      </c>
      <c r="R23" s="15">
        <v>0.68876887688768895</v>
      </c>
      <c r="S23" s="15">
        <v>0.97699999999999998</v>
      </c>
      <c r="T23" s="15">
        <v>0.75529999999999997</v>
      </c>
      <c r="U23" s="15">
        <v>0.76959999999999995</v>
      </c>
      <c r="V23" s="15">
        <v>0.95709999999999995</v>
      </c>
      <c r="W23" s="15">
        <v>0.95640000000000003</v>
      </c>
      <c r="X23" s="15">
        <v>0.95640000000000003</v>
      </c>
      <c r="Y23" s="15">
        <v>0.94930000000000003</v>
      </c>
      <c r="Z23" s="15">
        <v>0.93030000000000002</v>
      </c>
      <c r="AA23" s="15">
        <v>0.93379999999999996</v>
      </c>
      <c r="AB23" s="15">
        <v>0.98640000000000005</v>
      </c>
      <c r="AC23" s="15">
        <v>0.95069999999999999</v>
      </c>
      <c r="AD23" s="15">
        <v>0.95379999999999998</v>
      </c>
      <c r="AE23" s="15">
        <v>0.95640000000000003</v>
      </c>
      <c r="AF23" s="15">
        <v>0.91539999999999999</v>
      </c>
      <c r="AG23" s="15">
        <v>0.98631854976627498</v>
      </c>
      <c r="AH23" s="15">
        <v>0.86509999999999998</v>
      </c>
      <c r="AI23" s="15">
        <v>0.977653631284916</v>
      </c>
      <c r="AJ23" s="15">
        <v>0.88276002442499502</v>
      </c>
      <c r="AK23" s="15">
        <v>0.88805210665581102</v>
      </c>
      <c r="AL23" s="15">
        <v>0.97829999999999995</v>
      </c>
      <c r="AM23" s="15">
        <v>0.89259999999999995</v>
      </c>
      <c r="AN23" s="15">
        <v>0.89790000000000003</v>
      </c>
      <c r="AO23" s="15">
        <v>0.95409999999999995</v>
      </c>
      <c r="AP23" s="15">
        <v>0.97283558379666402</v>
      </c>
      <c r="AQ23" s="15">
        <v>0.61240000000000006</v>
      </c>
      <c r="AR23" s="15">
        <v>0.96902303415409097</v>
      </c>
      <c r="AS23" s="15">
        <v>0.81873412128576195</v>
      </c>
      <c r="AT23" s="15">
        <v>0.82933834088147595</v>
      </c>
      <c r="AU23" s="15">
        <v>0.98419999999999996</v>
      </c>
      <c r="AV23" s="15">
        <v>0.76970000000000005</v>
      </c>
      <c r="AW23" s="15">
        <v>0.77649999999999997</v>
      </c>
      <c r="AX23" s="15">
        <v>0.9829</v>
      </c>
    </row>
    <row r="24" spans="1:50" x14ac:dyDescent="0.3">
      <c r="B24" t="s">
        <v>56</v>
      </c>
      <c r="C24">
        <v>20</v>
      </c>
      <c r="D24">
        <v>0.9</v>
      </c>
      <c r="E24" s="15">
        <v>0.88805268109125102</v>
      </c>
      <c r="F24" s="15">
        <v>0.62319999999999998</v>
      </c>
      <c r="G24" s="15">
        <v>0.95845092505487595</v>
      </c>
      <c r="H24" s="15">
        <v>0.18290000000000001</v>
      </c>
      <c r="I24" s="15">
        <v>0.1943</v>
      </c>
      <c r="J24" s="15">
        <v>0.72330000000000005</v>
      </c>
      <c r="K24" s="15">
        <v>0.23300000000000001</v>
      </c>
      <c r="L24" s="15">
        <v>0.24879999999999999</v>
      </c>
      <c r="M24" s="15">
        <v>0.92859999999999998</v>
      </c>
      <c r="N24" s="15">
        <v>0.95139360978925902</v>
      </c>
      <c r="O24" s="15">
        <v>0.8397</v>
      </c>
      <c r="P24" s="15">
        <v>0.95354634035803298</v>
      </c>
      <c r="Q24" s="15">
        <v>0.55665566556655699</v>
      </c>
      <c r="R24" s="15">
        <v>0.57005700570057005</v>
      </c>
      <c r="S24" s="15">
        <v>0.92679999999999996</v>
      </c>
      <c r="T24" s="15">
        <v>0.62649999999999995</v>
      </c>
      <c r="U24" s="15">
        <v>0.64500000000000002</v>
      </c>
      <c r="V24" s="15">
        <v>0.95709999999999995</v>
      </c>
      <c r="W24" s="15">
        <v>0.87880000000000003</v>
      </c>
      <c r="X24" s="15">
        <v>0.87880000000000003</v>
      </c>
      <c r="Y24" s="15">
        <v>0.89870000000000005</v>
      </c>
      <c r="Z24" s="15">
        <v>0.87470000000000003</v>
      </c>
      <c r="AA24" s="15">
        <v>0.87960000000000005</v>
      </c>
      <c r="AB24" s="15">
        <v>0.96089999999999998</v>
      </c>
      <c r="AC24" s="15">
        <v>0.90429999999999999</v>
      </c>
      <c r="AD24" s="15">
        <v>0.90869999999999995</v>
      </c>
      <c r="AE24" s="15">
        <v>0.95640000000000003</v>
      </c>
      <c r="AF24" s="15">
        <v>0.8448</v>
      </c>
      <c r="AG24" s="15">
        <v>0.94766845285600299</v>
      </c>
      <c r="AH24" s="15">
        <v>0.83120000000000005</v>
      </c>
      <c r="AI24" s="15">
        <v>0.94960665830577995</v>
      </c>
      <c r="AJ24" s="15">
        <v>0.83411357622633797</v>
      </c>
      <c r="AK24" s="15">
        <v>0.84347649094239796</v>
      </c>
      <c r="AL24" s="15">
        <v>0.93520000000000003</v>
      </c>
      <c r="AM24" s="15">
        <v>0.84989999999999999</v>
      </c>
      <c r="AN24" s="15">
        <v>0.85629999999999995</v>
      </c>
      <c r="AO24" s="15">
        <v>0.95409999999999995</v>
      </c>
      <c r="AP24" s="15">
        <v>0.88101667990468602</v>
      </c>
      <c r="AQ24" s="15">
        <v>0.61240000000000006</v>
      </c>
      <c r="AR24" s="15">
        <v>0.94169976171564695</v>
      </c>
      <c r="AS24" s="15">
        <v>0.76582348392798005</v>
      </c>
      <c r="AT24" s="15">
        <v>0.77941014028498801</v>
      </c>
      <c r="AU24" s="15">
        <v>0.96379999999999999</v>
      </c>
      <c r="AV24" s="15">
        <v>0.72389999999999999</v>
      </c>
      <c r="AW24" s="15">
        <v>0.73419999999999996</v>
      </c>
      <c r="AX24" s="15">
        <v>0.92510000000000003</v>
      </c>
    </row>
    <row r="25" spans="1:50" x14ac:dyDescent="0.3">
      <c r="B25" t="s">
        <v>57</v>
      </c>
      <c r="C25">
        <v>20</v>
      </c>
      <c r="D25">
        <v>0.95</v>
      </c>
      <c r="E25" s="15">
        <v>0.97710636972434195</v>
      </c>
      <c r="F25" s="15">
        <v>0.62739999999999996</v>
      </c>
      <c r="G25" s="15">
        <v>0.97523750194673697</v>
      </c>
      <c r="H25" s="15">
        <v>0</v>
      </c>
      <c r="I25" s="15">
        <v>0</v>
      </c>
      <c r="J25" s="15">
        <v>7.1000000000000004E-3</v>
      </c>
      <c r="K25" s="15">
        <v>0</v>
      </c>
      <c r="L25" s="15">
        <v>0</v>
      </c>
      <c r="M25" s="15">
        <v>0.98529999999999995</v>
      </c>
      <c r="N25" s="15">
        <v>0.98501702610669695</v>
      </c>
      <c r="O25" s="15">
        <v>0.86780000000000002</v>
      </c>
      <c r="P25" s="15">
        <v>0.980136208853575</v>
      </c>
      <c r="Q25" s="15">
        <v>1.5110305228165401E-3</v>
      </c>
      <c r="R25" s="15">
        <v>1.7125012591920901E-3</v>
      </c>
      <c r="S25" s="15">
        <v>0.26490000000000002</v>
      </c>
      <c r="T25" s="15">
        <v>2.6000000000000502E-3</v>
      </c>
      <c r="U25" s="15">
        <v>2.9000000000000102E-3</v>
      </c>
      <c r="V25" s="15">
        <v>0.95669999999999999</v>
      </c>
      <c r="W25" s="15">
        <v>0.96020000000000005</v>
      </c>
      <c r="X25" s="15">
        <v>0.96020000000000005</v>
      </c>
      <c r="Y25" s="15">
        <v>0.95340000000000003</v>
      </c>
      <c r="Z25" s="15">
        <v>0.78439999999999999</v>
      </c>
      <c r="AA25" s="15">
        <v>0.79149999999999998</v>
      </c>
      <c r="AB25" s="15">
        <v>0.99860000000000004</v>
      </c>
      <c r="AC25" s="15">
        <v>0.83699999999999997</v>
      </c>
      <c r="AD25" s="15">
        <v>0.84509999999999996</v>
      </c>
      <c r="AE25" s="15">
        <v>0.96020000000000005</v>
      </c>
      <c r="AF25" s="15">
        <v>0.90149999999999997</v>
      </c>
      <c r="AG25" s="15">
        <v>0.98633257403189101</v>
      </c>
      <c r="AH25" s="15">
        <v>0.86599999999999999</v>
      </c>
      <c r="AI25" s="15">
        <v>0.97744874715261998</v>
      </c>
      <c r="AJ25" s="15">
        <v>0.52800000000000002</v>
      </c>
      <c r="AK25" s="15">
        <v>0.55069999999999997</v>
      </c>
      <c r="AL25" s="15">
        <v>0.93310000000000004</v>
      </c>
      <c r="AM25" s="15">
        <v>0.63109999999999999</v>
      </c>
      <c r="AN25" s="15">
        <v>0.65900000000000003</v>
      </c>
      <c r="AO25" s="15">
        <v>0.95409999999999995</v>
      </c>
      <c r="AP25" s="15">
        <v>0.97655758338577703</v>
      </c>
      <c r="AQ25" s="15">
        <v>0.62070000000000003</v>
      </c>
      <c r="AR25" s="15">
        <v>0.97404027690371298</v>
      </c>
      <c r="AS25" s="15">
        <v>0.69998999299509701</v>
      </c>
      <c r="AT25" s="15">
        <v>0.72570799559691801</v>
      </c>
      <c r="AU25" s="15">
        <v>0.9637</v>
      </c>
      <c r="AV25" s="15">
        <v>0.79910000000000003</v>
      </c>
      <c r="AW25" s="15">
        <v>0.82730000000000004</v>
      </c>
      <c r="AX25" s="15">
        <v>0.98509999999999998</v>
      </c>
    </row>
    <row r="26" spans="1:50" x14ac:dyDescent="0.3">
      <c r="B26" t="s">
        <v>57</v>
      </c>
      <c r="C26">
        <v>20</v>
      </c>
      <c r="D26">
        <v>0.9</v>
      </c>
      <c r="E26" s="15">
        <v>0.88210559102943498</v>
      </c>
      <c r="F26" s="15">
        <v>0.62739999999999996</v>
      </c>
      <c r="G26" s="15">
        <v>0.95966360380003102</v>
      </c>
      <c r="H26" s="15">
        <v>0</v>
      </c>
      <c r="I26" s="15">
        <v>0</v>
      </c>
      <c r="J26" s="15">
        <v>1.1999999999999799E-3</v>
      </c>
      <c r="K26" s="15">
        <v>0</v>
      </c>
      <c r="L26" s="15">
        <v>0</v>
      </c>
      <c r="M26" s="15">
        <v>0.92430000000000001</v>
      </c>
      <c r="N26" s="15">
        <v>0.95085130533484696</v>
      </c>
      <c r="O26" s="15">
        <v>0.8377</v>
      </c>
      <c r="P26" s="15">
        <v>0.95289443813847896</v>
      </c>
      <c r="Q26" s="15">
        <v>7.0514757731443599E-4</v>
      </c>
      <c r="R26" s="15">
        <v>7.0514757731443599E-4</v>
      </c>
      <c r="S26" s="15">
        <v>9.1700000000000004E-2</v>
      </c>
      <c r="T26" s="15">
        <v>1.0999999999999901E-3</v>
      </c>
      <c r="U26" s="15">
        <v>1.0999999999999901E-3</v>
      </c>
      <c r="V26" s="15">
        <v>0.95669999999999999</v>
      </c>
      <c r="W26" s="15">
        <v>0.88839999999999997</v>
      </c>
      <c r="X26" s="15">
        <v>0.88839999999999997</v>
      </c>
      <c r="Y26" s="15">
        <v>0.90569999999999995</v>
      </c>
      <c r="Z26" s="15">
        <v>0.68259999999999998</v>
      </c>
      <c r="AA26" s="15">
        <v>0.69499999999999995</v>
      </c>
      <c r="AB26" s="15">
        <v>0.99209999999999998</v>
      </c>
      <c r="AC26" s="15">
        <v>0.74280000000000002</v>
      </c>
      <c r="AD26" s="15">
        <v>0.75280000000000002</v>
      </c>
      <c r="AE26" s="15">
        <v>0.96020000000000005</v>
      </c>
      <c r="AF26" s="15">
        <v>0.82289999999999996</v>
      </c>
      <c r="AG26" s="15">
        <v>0.94772209567198196</v>
      </c>
      <c r="AH26" s="15">
        <v>0.83209999999999995</v>
      </c>
      <c r="AI26" s="15">
        <v>0.94954441913439602</v>
      </c>
      <c r="AJ26" s="15">
        <v>0.41570000000000001</v>
      </c>
      <c r="AK26" s="15">
        <v>0.438</v>
      </c>
      <c r="AL26" s="15">
        <v>0.85519999999999996</v>
      </c>
      <c r="AM26" s="15">
        <v>0.49180000000000001</v>
      </c>
      <c r="AN26" s="15">
        <v>0.52029999999999998</v>
      </c>
      <c r="AO26" s="15">
        <v>0.95409999999999995</v>
      </c>
      <c r="AP26" s="15">
        <v>0.889867841409692</v>
      </c>
      <c r="AQ26" s="15">
        <v>0.62070000000000003</v>
      </c>
      <c r="AR26" s="15">
        <v>0.94776589049716797</v>
      </c>
      <c r="AS26" s="15">
        <v>0.59441609126388495</v>
      </c>
      <c r="AT26" s="15">
        <v>0.62453717602321601</v>
      </c>
      <c r="AU26" s="15">
        <v>0.91349999999999998</v>
      </c>
      <c r="AV26" s="15">
        <v>0.67549999999999999</v>
      </c>
      <c r="AW26" s="15">
        <v>0.70540000000000003</v>
      </c>
      <c r="AX26" s="15">
        <v>0.93</v>
      </c>
    </row>
    <row r="27" spans="1:50" x14ac:dyDescent="0.3">
      <c r="B27" t="s">
        <v>31</v>
      </c>
      <c r="C27">
        <v>50</v>
      </c>
      <c r="D27">
        <v>0.95</v>
      </c>
      <c r="E27" s="15">
        <v>0.98655972252330404</v>
      </c>
      <c r="F27" s="15">
        <v>0.91020000000000001</v>
      </c>
      <c r="G27" s="15">
        <v>0.97908085844352899</v>
      </c>
      <c r="H27" s="15">
        <v>6.7400000000000002E-2</v>
      </c>
      <c r="I27" s="15">
        <v>7.1900000000000006E-2</v>
      </c>
      <c r="J27" s="15">
        <v>0.65190000000000003</v>
      </c>
      <c r="K27" s="15">
        <v>7.8399999999999997E-2</v>
      </c>
      <c r="L27" s="15">
        <v>8.4900000000000003E-2</v>
      </c>
      <c r="M27" s="15">
        <v>0.96140000000000003</v>
      </c>
      <c r="N27" s="15">
        <v>0.94458970233306505</v>
      </c>
      <c r="O27" s="15">
        <v>0.93930000000000002</v>
      </c>
      <c r="P27" s="15">
        <v>0.95625502815768304</v>
      </c>
      <c r="Q27" s="15">
        <v>0.18390000000000001</v>
      </c>
      <c r="R27" s="15">
        <v>0.19159999999999999</v>
      </c>
      <c r="S27" s="15">
        <v>0.75919999999999999</v>
      </c>
      <c r="T27" s="15">
        <v>0.2117</v>
      </c>
      <c r="U27" s="15">
        <v>0.21929999999999999</v>
      </c>
      <c r="V27" s="15">
        <v>0.97030000000000005</v>
      </c>
      <c r="W27" s="15">
        <v>0.93489999999999995</v>
      </c>
      <c r="X27" s="15">
        <v>0.96509999999999996</v>
      </c>
      <c r="Y27" s="15">
        <v>0.95150000000000001</v>
      </c>
      <c r="Z27" s="15">
        <v>0.94689999999999996</v>
      </c>
      <c r="AA27" s="15">
        <v>0.9486</v>
      </c>
      <c r="AB27" s="15">
        <v>0.999</v>
      </c>
      <c r="AC27" s="15">
        <v>0.95660000000000001</v>
      </c>
      <c r="AD27" s="15">
        <v>0.95809999999999995</v>
      </c>
      <c r="AE27" s="15">
        <v>0.96509999999999996</v>
      </c>
      <c r="AF27" s="15">
        <v>0.95020000000000004</v>
      </c>
      <c r="AG27" s="15">
        <v>0.94698795180722894</v>
      </c>
      <c r="AH27" s="15">
        <v>0.94320000000000004</v>
      </c>
      <c r="AI27" s="15">
        <v>0.95712851405622501</v>
      </c>
      <c r="AJ27" s="15">
        <v>0.17660000000000001</v>
      </c>
      <c r="AK27" s="15">
        <v>0.18509999999999999</v>
      </c>
      <c r="AL27" s="15">
        <v>0.75370000000000004</v>
      </c>
      <c r="AM27" s="15">
        <v>0.2029</v>
      </c>
      <c r="AN27" s="15">
        <v>0.21</v>
      </c>
      <c r="AO27" s="15">
        <v>0.97089999999999999</v>
      </c>
      <c r="AP27" s="15">
        <v>0.98677363399826501</v>
      </c>
      <c r="AQ27" s="15">
        <v>0.91020000000000001</v>
      </c>
      <c r="AR27" s="15">
        <v>0.97745013009540305</v>
      </c>
      <c r="AS27" s="15">
        <v>6.6199999999999995E-2</v>
      </c>
      <c r="AT27" s="15">
        <v>7.2100000000000095E-2</v>
      </c>
      <c r="AU27" s="15">
        <v>0.64270000000000005</v>
      </c>
      <c r="AV27" s="15">
        <v>7.9399999999999998E-2</v>
      </c>
      <c r="AW27" s="15">
        <v>8.5599999999999996E-2</v>
      </c>
      <c r="AX27" s="15">
        <v>0.96020000000000005</v>
      </c>
    </row>
    <row r="28" spans="1:50" x14ac:dyDescent="0.3">
      <c r="B28" t="s">
        <v>31</v>
      </c>
      <c r="C28">
        <v>50</v>
      </c>
      <c r="D28">
        <v>0.9</v>
      </c>
      <c r="E28" s="15">
        <v>0.95816171688705798</v>
      </c>
      <c r="F28" s="15">
        <v>0.88400000000000001</v>
      </c>
      <c r="G28" s="15">
        <v>0.95425970084543699</v>
      </c>
      <c r="H28" s="15">
        <v>3.85E-2</v>
      </c>
      <c r="I28" s="15">
        <v>4.3900000000000099E-2</v>
      </c>
      <c r="J28" s="15">
        <v>0.44550000000000001</v>
      </c>
      <c r="K28" s="15">
        <v>4.7199999999999999E-2</v>
      </c>
      <c r="L28" s="15">
        <v>5.16E-2</v>
      </c>
      <c r="M28" s="15">
        <v>0.96140000000000003</v>
      </c>
      <c r="N28" s="15">
        <v>0.90949316170555095</v>
      </c>
      <c r="O28" s="15">
        <v>0.93930000000000002</v>
      </c>
      <c r="P28" s="15">
        <v>0.90647626709573603</v>
      </c>
      <c r="Q28" s="15">
        <v>0.1196</v>
      </c>
      <c r="R28" s="15">
        <v>0.12330000000000001</v>
      </c>
      <c r="S28" s="15">
        <v>0.57099999999999995</v>
      </c>
      <c r="T28" s="15">
        <v>0.1356</v>
      </c>
      <c r="U28" s="15">
        <v>0.14130000000000001</v>
      </c>
      <c r="V28" s="15">
        <v>0.90439999999999998</v>
      </c>
      <c r="W28" s="15">
        <v>0.88149999999999995</v>
      </c>
      <c r="X28" s="15">
        <v>0.93489999999999995</v>
      </c>
      <c r="Y28" s="15">
        <v>0.90239999999999998</v>
      </c>
      <c r="Z28" s="15">
        <v>0.89590000000000003</v>
      </c>
      <c r="AA28" s="15">
        <v>0.90029999999999999</v>
      </c>
      <c r="AB28" s="15">
        <v>0.99299999999999999</v>
      </c>
      <c r="AC28" s="15">
        <v>0.91139999999999999</v>
      </c>
      <c r="AD28" s="15">
        <v>0.91379999999999995</v>
      </c>
      <c r="AE28" s="15">
        <v>0.93489999999999995</v>
      </c>
      <c r="AF28" s="15">
        <v>0.90090000000000003</v>
      </c>
      <c r="AG28" s="15">
        <v>0.91255020080321303</v>
      </c>
      <c r="AH28" s="15">
        <v>0.94320000000000004</v>
      </c>
      <c r="AI28" s="15">
        <v>0.91285140562249001</v>
      </c>
      <c r="AJ28" s="15">
        <v>0.1111</v>
      </c>
      <c r="AK28" s="15">
        <v>0.11509999999999999</v>
      </c>
      <c r="AL28" s="15">
        <v>0.56979999999999997</v>
      </c>
      <c r="AM28" s="15">
        <v>0.1249</v>
      </c>
      <c r="AN28" s="15">
        <v>0.13250000000000001</v>
      </c>
      <c r="AO28" s="15">
        <v>0.90890000000000004</v>
      </c>
      <c r="AP28" s="15">
        <v>0.95685169124024305</v>
      </c>
      <c r="AQ28" s="15">
        <v>0.88260000000000005</v>
      </c>
      <c r="AR28" s="15">
        <v>0.95370771899392903</v>
      </c>
      <c r="AS28" s="15">
        <v>3.9600000000000003E-2</v>
      </c>
      <c r="AT28" s="15">
        <v>4.19E-2</v>
      </c>
      <c r="AU28" s="15">
        <v>0.443</v>
      </c>
      <c r="AV28" s="15">
        <v>4.5999999999999999E-2</v>
      </c>
      <c r="AW28" s="15">
        <v>4.9299999999999997E-2</v>
      </c>
      <c r="AX28" s="15">
        <v>0.96020000000000005</v>
      </c>
    </row>
    <row r="29" spans="1:50" x14ac:dyDescent="0.3">
      <c r="B29" t="s">
        <v>56</v>
      </c>
      <c r="C29">
        <v>50</v>
      </c>
      <c r="D29">
        <v>0.95</v>
      </c>
      <c r="E29" s="15">
        <v>0.98746081504702199</v>
      </c>
      <c r="F29" s="15">
        <v>0.91349999999999998</v>
      </c>
      <c r="G29" s="15">
        <v>0.97978596908442295</v>
      </c>
      <c r="H29" s="15">
        <v>0.11</v>
      </c>
      <c r="I29" s="15">
        <v>0.1149</v>
      </c>
      <c r="J29" s="15">
        <v>0.66620000000000001</v>
      </c>
      <c r="K29" s="15">
        <v>0.1293</v>
      </c>
      <c r="L29" s="15">
        <v>0.13519999999999999</v>
      </c>
      <c r="M29" s="15">
        <v>0.96240000000000003</v>
      </c>
      <c r="N29" s="15">
        <v>0.94566311128999803</v>
      </c>
      <c r="O29" s="15">
        <v>0.93979999999999997</v>
      </c>
      <c r="P29" s="15">
        <v>0.95612799356007205</v>
      </c>
      <c r="Q29" s="15">
        <v>0.57730000000000004</v>
      </c>
      <c r="R29" s="15">
        <v>0.5837</v>
      </c>
      <c r="S29" s="15">
        <v>0.94299999999999995</v>
      </c>
      <c r="T29" s="15">
        <v>0.61680000000000001</v>
      </c>
      <c r="U29" s="15">
        <v>0.62519999999999998</v>
      </c>
      <c r="V29" s="15">
        <v>0.96740000000000004</v>
      </c>
      <c r="W29" s="15">
        <v>0.93789999999999996</v>
      </c>
      <c r="X29" s="15">
        <v>0.97060000000000002</v>
      </c>
      <c r="Y29" s="15">
        <v>0.95499999999999996</v>
      </c>
      <c r="Z29" s="15">
        <v>0.93459999999999999</v>
      </c>
      <c r="AA29" s="15">
        <v>0.93620000000000003</v>
      </c>
      <c r="AB29" s="15">
        <v>0.98329999999999995</v>
      </c>
      <c r="AC29" s="15">
        <v>0.94720000000000004</v>
      </c>
      <c r="AD29" s="15">
        <v>0.94879999999999998</v>
      </c>
      <c r="AE29" s="15">
        <v>0.97060000000000002</v>
      </c>
      <c r="AF29" s="15">
        <v>0.84970000000000001</v>
      </c>
      <c r="AG29" s="15">
        <v>0.94293177936300598</v>
      </c>
      <c r="AH29" s="15">
        <v>0.9385</v>
      </c>
      <c r="AI29" s="15">
        <v>0.95719883452225496</v>
      </c>
      <c r="AJ29" s="15">
        <v>0.93759999999999999</v>
      </c>
      <c r="AK29" s="15">
        <v>0.94320000000000004</v>
      </c>
      <c r="AL29" s="15">
        <v>0.97130000000000005</v>
      </c>
      <c r="AM29" s="15">
        <v>0.94979999999999998</v>
      </c>
      <c r="AN29" s="15">
        <v>0.9546</v>
      </c>
      <c r="AO29" s="15">
        <v>0.97060000000000002</v>
      </c>
      <c r="AP29" s="15">
        <v>0.98917631778331006</v>
      </c>
      <c r="AQ29" s="15">
        <v>0.91390000000000005</v>
      </c>
      <c r="AR29" s="15">
        <v>0.98019266154345697</v>
      </c>
      <c r="AS29" s="15">
        <v>0.90581829182212403</v>
      </c>
      <c r="AT29" s="15">
        <v>0.91237269335484505</v>
      </c>
      <c r="AU29" s="15">
        <v>0.96970000000000001</v>
      </c>
      <c r="AV29" s="15">
        <v>0.90990000000000004</v>
      </c>
      <c r="AW29" s="15">
        <v>0.9153</v>
      </c>
      <c r="AX29" s="15">
        <v>0.96399999999999997</v>
      </c>
    </row>
    <row r="30" spans="1:50" x14ac:dyDescent="0.3">
      <c r="B30" t="s">
        <v>56</v>
      </c>
      <c r="C30">
        <v>50</v>
      </c>
      <c r="D30">
        <v>0.9</v>
      </c>
      <c r="E30" s="15">
        <v>0.95935574532483003</v>
      </c>
      <c r="F30" s="15">
        <v>0.88749999999999996</v>
      </c>
      <c r="G30" s="15">
        <v>0.95632904550859399</v>
      </c>
      <c r="H30" s="15">
        <v>6.4299999999999996E-2</v>
      </c>
      <c r="I30" s="15">
        <v>6.8400000000000002E-2</v>
      </c>
      <c r="J30" s="15">
        <v>0.4592</v>
      </c>
      <c r="K30" s="15">
        <v>7.6600000000000001E-2</v>
      </c>
      <c r="L30" s="15">
        <v>0.08</v>
      </c>
      <c r="M30" s="15">
        <v>0.96240000000000003</v>
      </c>
      <c r="N30" s="15">
        <v>0.91285973032803402</v>
      </c>
      <c r="O30" s="15">
        <v>0.93979999999999997</v>
      </c>
      <c r="P30" s="15">
        <v>0.91296035419601496</v>
      </c>
      <c r="Q30" s="15">
        <v>0.46189999999999998</v>
      </c>
      <c r="R30" s="15">
        <v>0.47070000000000001</v>
      </c>
      <c r="S30" s="15">
        <v>0.86309999999999998</v>
      </c>
      <c r="T30" s="15">
        <v>0.49320000000000003</v>
      </c>
      <c r="U30" s="15">
        <v>0.50029999999999997</v>
      </c>
      <c r="V30" s="15">
        <v>0.90720000000000001</v>
      </c>
      <c r="W30" s="15">
        <v>0.88549999999999995</v>
      </c>
      <c r="X30" s="15">
        <v>0.93789999999999996</v>
      </c>
      <c r="Y30" s="15">
        <v>0.90390000000000004</v>
      </c>
      <c r="Z30" s="15">
        <v>0.87870000000000004</v>
      </c>
      <c r="AA30" s="15">
        <v>0.88100000000000001</v>
      </c>
      <c r="AB30" s="15">
        <v>0.95399999999999996</v>
      </c>
      <c r="AC30" s="15">
        <v>0.8952</v>
      </c>
      <c r="AD30" s="15">
        <v>0.89749999999999996</v>
      </c>
      <c r="AE30" s="15">
        <v>0.93789999999999996</v>
      </c>
      <c r="AF30" s="15">
        <v>0.75139999999999996</v>
      </c>
      <c r="AG30" s="15">
        <v>0.91088114136441301</v>
      </c>
      <c r="AH30" s="15">
        <v>0.9385</v>
      </c>
      <c r="AI30" s="15">
        <v>0.91168491911986305</v>
      </c>
      <c r="AJ30" s="15">
        <v>0.88329999999999997</v>
      </c>
      <c r="AK30" s="15">
        <v>0.8921</v>
      </c>
      <c r="AL30" s="15">
        <v>0.93030000000000002</v>
      </c>
      <c r="AM30" s="15">
        <v>0.8992</v>
      </c>
      <c r="AN30" s="15">
        <v>0.90710000000000002</v>
      </c>
      <c r="AO30" s="15">
        <v>0.90659999999999996</v>
      </c>
      <c r="AP30" s="15">
        <v>0.96103474401991595</v>
      </c>
      <c r="AQ30" s="15">
        <v>0.88790000000000002</v>
      </c>
      <c r="AR30" s="15">
        <v>0.95789587617707495</v>
      </c>
      <c r="AS30" s="15">
        <v>0.858525763839871</v>
      </c>
      <c r="AT30" s="15">
        <v>0.86729857819905198</v>
      </c>
      <c r="AU30" s="15">
        <v>0.92769999999999997</v>
      </c>
      <c r="AV30" s="15">
        <v>0.86429999999999996</v>
      </c>
      <c r="AW30" s="15">
        <v>0.87509999999999999</v>
      </c>
      <c r="AX30" s="15">
        <v>0.96399999999999997</v>
      </c>
    </row>
    <row r="31" spans="1:50" x14ac:dyDescent="0.3">
      <c r="B31" t="s">
        <v>57</v>
      </c>
      <c r="C31">
        <v>50</v>
      </c>
      <c r="D31">
        <v>0.95</v>
      </c>
      <c r="E31" s="15">
        <v>0.98829268292682904</v>
      </c>
      <c r="F31" s="15">
        <v>0.91169999999999995</v>
      </c>
      <c r="G31" s="15">
        <v>0.982764227642276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0.96340000000000003</v>
      </c>
      <c r="N31" s="15">
        <v>0.94494675507333703</v>
      </c>
      <c r="O31" s="15">
        <v>0.94059999999999999</v>
      </c>
      <c r="P31" s="15">
        <v>0.95459111914808104</v>
      </c>
      <c r="Q31" s="15">
        <v>0</v>
      </c>
      <c r="R31" s="15">
        <v>0</v>
      </c>
      <c r="S31" s="15">
        <v>5.9000000000000198E-3</v>
      </c>
      <c r="T31" s="15">
        <v>0</v>
      </c>
      <c r="U31" s="15">
        <v>0</v>
      </c>
      <c r="V31" s="15">
        <v>0.9677</v>
      </c>
      <c r="W31" s="15">
        <v>0.93559999999999999</v>
      </c>
      <c r="X31" s="15">
        <v>0.96599999999999997</v>
      </c>
      <c r="Y31" s="15">
        <v>0.95189999999999997</v>
      </c>
      <c r="Z31" s="15">
        <v>0.60950000000000004</v>
      </c>
      <c r="AA31" s="15">
        <v>0.61460000000000004</v>
      </c>
      <c r="AB31" s="15">
        <v>0.98660000000000003</v>
      </c>
      <c r="AC31" s="15">
        <v>0.64470000000000005</v>
      </c>
      <c r="AD31" s="15">
        <v>0.65029999999999999</v>
      </c>
      <c r="AE31" s="15">
        <v>0.96599999999999997</v>
      </c>
      <c r="AF31" s="15">
        <v>0.78920000000000001</v>
      </c>
      <c r="AG31" s="15">
        <v>0.94569589702333101</v>
      </c>
      <c r="AH31" s="15">
        <v>0.94040000000000001</v>
      </c>
      <c r="AI31" s="15">
        <v>0.95826629123089302</v>
      </c>
      <c r="AJ31" s="15">
        <v>0.57689999999999997</v>
      </c>
      <c r="AK31" s="15">
        <v>0.58909999999999996</v>
      </c>
      <c r="AL31" s="15">
        <v>0.8931</v>
      </c>
      <c r="AM31" s="15">
        <v>0.61709999999999998</v>
      </c>
      <c r="AN31" s="15">
        <v>0.62990000000000002</v>
      </c>
      <c r="AO31" s="15">
        <v>0.96950000000000003</v>
      </c>
      <c r="AP31" s="15">
        <v>0.988536822753325</v>
      </c>
      <c r="AQ31" s="15">
        <v>0.91410000000000002</v>
      </c>
      <c r="AR31" s="15">
        <v>0.97923650913809901</v>
      </c>
      <c r="AS31" s="15">
        <v>0.75380000000000003</v>
      </c>
      <c r="AT31" s="15">
        <v>0.76900000000000002</v>
      </c>
      <c r="AU31" s="15">
        <v>0.94810000000000005</v>
      </c>
      <c r="AV31" s="15">
        <v>0.7893</v>
      </c>
      <c r="AW31" s="15">
        <v>0.80249999999999999</v>
      </c>
      <c r="AX31" s="15">
        <v>0.96250000000000002</v>
      </c>
    </row>
    <row r="32" spans="1:50" x14ac:dyDescent="0.3">
      <c r="B32" t="s">
        <v>57</v>
      </c>
      <c r="C32">
        <v>50</v>
      </c>
      <c r="D32">
        <v>0.9</v>
      </c>
      <c r="E32" s="15">
        <v>0.96032520325203297</v>
      </c>
      <c r="F32" s="15">
        <v>0.88590000000000002</v>
      </c>
      <c r="G32" s="15">
        <v>0.95750677506775095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0.96340000000000003</v>
      </c>
      <c r="N32" s="15">
        <v>0.90928270042194104</v>
      </c>
      <c r="O32" s="15">
        <v>0.94059999999999999</v>
      </c>
      <c r="P32" s="15">
        <v>0.91018685955394796</v>
      </c>
      <c r="Q32" s="15">
        <v>0</v>
      </c>
      <c r="R32" s="15">
        <v>0</v>
      </c>
      <c r="S32" s="15">
        <v>7.0000000000003404E-4</v>
      </c>
      <c r="T32" s="15">
        <v>0</v>
      </c>
      <c r="U32" s="15">
        <v>0</v>
      </c>
      <c r="V32" s="15">
        <v>0.90510000000000002</v>
      </c>
      <c r="W32" s="15">
        <v>0.88029999999999997</v>
      </c>
      <c r="X32" s="15">
        <v>0.93559999999999999</v>
      </c>
      <c r="Y32" s="15">
        <v>0.90010000000000001</v>
      </c>
      <c r="Z32" s="15">
        <v>0.49109999999999998</v>
      </c>
      <c r="AA32" s="15">
        <v>0.495</v>
      </c>
      <c r="AB32" s="15">
        <v>0.94769999999999999</v>
      </c>
      <c r="AC32" s="15">
        <v>0.51780000000000004</v>
      </c>
      <c r="AD32" s="15">
        <v>0.52290000000000003</v>
      </c>
      <c r="AE32" s="15">
        <v>0.93559999999999999</v>
      </c>
      <c r="AF32" s="15">
        <v>0.6774</v>
      </c>
      <c r="AG32" s="15">
        <v>0.911806114239743</v>
      </c>
      <c r="AH32" s="15">
        <v>0.94040000000000001</v>
      </c>
      <c r="AI32" s="15">
        <v>0.91170555108608198</v>
      </c>
      <c r="AJ32" s="15">
        <v>0.45860000000000001</v>
      </c>
      <c r="AK32" s="15">
        <v>0.46920000000000001</v>
      </c>
      <c r="AL32" s="15">
        <v>0.7944</v>
      </c>
      <c r="AM32" s="15">
        <v>0.4914</v>
      </c>
      <c r="AN32" s="15">
        <v>0.50460000000000005</v>
      </c>
      <c r="AO32" s="15">
        <v>0.90669999999999995</v>
      </c>
      <c r="AP32" s="15">
        <v>0.95944630691034904</v>
      </c>
      <c r="AQ32" s="15">
        <v>0.88719999999999999</v>
      </c>
      <c r="AR32" s="15">
        <v>0.95609386828160503</v>
      </c>
      <c r="AS32" s="15">
        <v>0.65649999999999997</v>
      </c>
      <c r="AT32" s="15">
        <v>0.67290000000000005</v>
      </c>
      <c r="AU32" s="15">
        <v>0.88870000000000005</v>
      </c>
      <c r="AV32" s="15">
        <v>0.6875</v>
      </c>
      <c r="AW32" s="15">
        <v>0.70089999999999997</v>
      </c>
      <c r="AX32" s="15">
        <v>0.96250000000000002</v>
      </c>
    </row>
    <row r="33" spans="1:50" x14ac:dyDescent="0.3">
      <c r="B33" t="s">
        <v>31</v>
      </c>
      <c r="C33">
        <v>100</v>
      </c>
      <c r="D33">
        <v>0.95</v>
      </c>
      <c r="E33" s="15">
        <v>0.93952180028129395</v>
      </c>
      <c r="F33" s="15">
        <v>0.93520000000000003</v>
      </c>
      <c r="G33" s="15">
        <v>0.96092023307213204</v>
      </c>
      <c r="H33" s="15">
        <v>5.28E-2</v>
      </c>
      <c r="I33" s="15">
        <v>5.6099999999999997E-2</v>
      </c>
      <c r="J33" s="15">
        <v>0.49120000000000003</v>
      </c>
      <c r="K33" s="15">
        <v>5.8799999999999998E-2</v>
      </c>
      <c r="L33" s="15">
        <v>6.3299999999999995E-2</v>
      </c>
      <c r="M33" s="15">
        <v>0.96599999999999997</v>
      </c>
      <c r="N33" s="15">
        <v>0.95320000000000005</v>
      </c>
      <c r="O33" s="15">
        <v>0.95320000000000005</v>
      </c>
      <c r="P33" s="15">
        <v>0.94879999999999998</v>
      </c>
      <c r="Q33" s="15">
        <v>0.14149999999999999</v>
      </c>
      <c r="R33" s="15">
        <v>0.14449999999999999</v>
      </c>
      <c r="S33" s="15">
        <v>0.60809999999999997</v>
      </c>
      <c r="T33" s="15">
        <v>0.1535</v>
      </c>
      <c r="U33" s="15">
        <v>0.1575</v>
      </c>
      <c r="V33" s="15">
        <v>0.95320000000000005</v>
      </c>
      <c r="W33" s="15">
        <v>0.94610000000000005</v>
      </c>
      <c r="X33" s="15">
        <v>0.96619999999999995</v>
      </c>
      <c r="Y33" s="15">
        <v>0.95409999999999995</v>
      </c>
      <c r="Z33" s="15">
        <v>0.94589999999999996</v>
      </c>
      <c r="AA33" s="15">
        <v>0.94679999999999997</v>
      </c>
      <c r="AB33" s="15">
        <v>0.99760000000000004</v>
      </c>
      <c r="AC33" s="15">
        <v>0.95150000000000001</v>
      </c>
      <c r="AD33" s="15">
        <v>0.95199999999999996</v>
      </c>
      <c r="AE33" s="15">
        <v>0.96619999999999995</v>
      </c>
      <c r="AF33" s="15">
        <v>0.94779999999999998</v>
      </c>
      <c r="AG33" s="15">
        <v>0.95609999999999995</v>
      </c>
      <c r="AH33" s="15">
        <v>0.95609999999999995</v>
      </c>
      <c r="AI33" s="15">
        <v>0.95179999999999998</v>
      </c>
      <c r="AJ33" s="15">
        <v>0.1404</v>
      </c>
      <c r="AK33" s="15">
        <v>0.14369999999999999</v>
      </c>
      <c r="AL33" s="15">
        <v>0.61019999999999996</v>
      </c>
      <c r="AM33" s="15">
        <v>0.1515</v>
      </c>
      <c r="AN33" s="15">
        <v>0.15509999999999999</v>
      </c>
      <c r="AO33" s="15">
        <v>0.95609999999999995</v>
      </c>
      <c r="AP33" s="15">
        <v>0.94396941957549496</v>
      </c>
      <c r="AQ33" s="15">
        <v>0.93840000000000001</v>
      </c>
      <c r="AR33" s="15">
        <v>0.96459108741575295</v>
      </c>
      <c r="AS33" s="15">
        <v>4.6399999999999997E-2</v>
      </c>
      <c r="AT33" s="15">
        <v>4.87E-2</v>
      </c>
      <c r="AU33" s="15">
        <v>0.49230000000000002</v>
      </c>
      <c r="AV33" s="15">
        <v>5.1400000000000001E-2</v>
      </c>
      <c r="AW33" s="15">
        <v>5.4300000000000001E-2</v>
      </c>
      <c r="AX33" s="15">
        <v>0.96499999999999997</v>
      </c>
    </row>
    <row r="34" spans="1:50" x14ac:dyDescent="0.3">
      <c r="B34" t="s">
        <v>31</v>
      </c>
      <c r="C34">
        <v>100</v>
      </c>
      <c r="D34">
        <v>0.9</v>
      </c>
      <c r="E34" s="15">
        <v>0.907072533654812</v>
      </c>
      <c r="F34" s="15">
        <v>0.93520000000000003</v>
      </c>
      <c r="G34" s="15">
        <v>0.91179425356640498</v>
      </c>
      <c r="H34" s="15">
        <v>2.9399999999999999E-2</v>
      </c>
      <c r="I34" s="15">
        <v>3.1099999999999999E-2</v>
      </c>
      <c r="J34" s="15">
        <v>0.30559999999999998</v>
      </c>
      <c r="K34" s="15">
        <v>3.2199999999999999E-2</v>
      </c>
      <c r="L34" s="15">
        <v>3.39E-2</v>
      </c>
      <c r="M34" s="15">
        <v>0.93520000000000003</v>
      </c>
      <c r="N34" s="15">
        <v>0.89649999999999996</v>
      </c>
      <c r="O34" s="15">
        <v>0.89649999999999996</v>
      </c>
      <c r="P34" s="15">
        <v>0.89429999999999998</v>
      </c>
      <c r="Q34" s="15">
        <v>8.6900000000000005E-2</v>
      </c>
      <c r="R34" s="15">
        <v>8.9700000000000002E-2</v>
      </c>
      <c r="S34" s="15">
        <v>0.41880000000000001</v>
      </c>
      <c r="T34" s="15">
        <v>9.4200000000000006E-2</v>
      </c>
      <c r="U34" s="15">
        <v>9.7000000000000003E-2</v>
      </c>
      <c r="V34" s="15">
        <v>0.90090000000000003</v>
      </c>
      <c r="W34" s="15">
        <v>0.91549999999999998</v>
      </c>
      <c r="X34" s="15">
        <v>0.91549999999999998</v>
      </c>
      <c r="Y34" s="15">
        <v>0.90500000000000003</v>
      </c>
      <c r="Z34" s="15">
        <v>0.89639999999999997</v>
      </c>
      <c r="AA34" s="15">
        <v>0.89770000000000005</v>
      </c>
      <c r="AB34" s="15">
        <v>0.98799999999999999</v>
      </c>
      <c r="AC34" s="15">
        <v>0.9052</v>
      </c>
      <c r="AD34" s="15">
        <v>0.90639999999999998</v>
      </c>
      <c r="AE34" s="15">
        <v>0.91549999999999998</v>
      </c>
      <c r="AF34" s="15">
        <v>0.90010000000000001</v>
      </c>
      <c r="AG34" s="15">
        <v>0.90469999999999995</v>
      </c>
      <c r="AH34" s="15">
        <v>0.90469999999999995</v>
      </c>
      <c r="AI34" s="15">
        <v>0.90369999999999995</v>
      </c>
      <c r="AJ34" s="15">
        <v>8.3200000000000093E-2</v>
      </c>
      <c r="AK34" s="15">
        <v>8.5699999999999998E-2</v>
      </c>
      <c r="AL34" s="15">
        <v>0.41899999999999998</v>
      </c>
      <c r="AM34" s="15">
        <v>8.9899999999999994E-2</v>
      </c>
      <c r="AN34" s="15">
        <v>9.1700000000000004E-2</v>
      </c>
      <c r="AO34" s="15">
        <v>0.91</v>
      </c>
      <c r="AP34" s="15">
        <v>0.90896288099788802</v>
      </c>
      <c r="AQ34" s="15">
        <v>0.93840000000000001</v>
      </c>
      <c r="AR34" s="15">
        <v>0.91872045065888697</v>
      </c>
      <c r="AS34" s="15">
        <v>2.6100000000000002E-2</v>
      </c>
      <c r="AT34" s="15">
        <v>2.8400000000000002E-2</v>
      </c>
      <c r="AU34" s="15">
        <v>0.29930000000000001</v>
      </c>
      <c r="AV34" s="15">
        <v>2.9100000000000001E-2</v>
      </c>
      <c r="AW34" s="15">
        <v>3.0800000000000001E-2</v>
      </c>
      <c r="AX34" s="15">
        <v>0.93840000000000001</v>
      </c>
    </row>
    <row r="35" spans="1:50" x14ac:dyDescent="0.3">
      <c r="B35" t="s">
        <v>56</v>
      </c>
      <c r="C35">
        <v>100</v>
      </c>
      <c r="D35">
        <v>0.95</v>
      </c>
      <c r="E35" s="15">
        <v>0.93743713538523399</v>
      </c>
      <c r="F35" s="15">
        <v>0.93200000000000005</v>
      </c>
      <c r="G35" s="15">
        <v>0.95855964594649001</v>
      </c>
      <c r="H35" s="15">
        <v>4.3499999999999997E-2</v>
      </c>
      <c r="I35" s="15">
        <v>4.5100000000000001E-2</v>
      </c>
      <c r="J35" s="15">
        <v>0.4405</v>
      </c>
      <c r="K35" s="15">
        <v>4.8599999999999997E-2</v>
      </c>
      <c r="L35" s="15">
        <v>4.9900000000000097E-2</v>
      </c>
      <c r="M35" s="15">
        <v>0.96440000000000003</v>
      </c>
      <c r="N35" s="15">
        <v>0.95669999999999999</v>
      </c>
      <c r="O35" s="15">
        <v>0.95669999999999999</v>
      </c>
      <c r="P35" s="15">
        <v>0.95209999999999995</v>
      </c>
      <c r="Q35" s="15">
        <v>0.51370000000000005</v>
      </c>
      <c r="R35" s="15">
        <v>0.51690000000000003</v>
      </c>
      <c r="S35" s="15">
        <v>0.90259999999999996</v>
      </c>
      <c r="T35" s="15">
        <v>0.53290000000000004</v>
      </c>
      <c r="U35" s="15">
        <v>0.53749999999999998</v>
      </c>
      <c r="V35" s="15">
        <v>0.95669999999999999</v>
      </c>
      <c r="W35" s="15">
        <v>0.94399999999999995</v>
      </c>
      <c r="X35" s="15">
        <v>0.96509999999999996</v>
      </c>
      <c r="Y35" s="15">
        <v>0.9506</v>
      </c>
      <c r="Z35" s="15">
        <v>0.93079999999999996</v>
      </c>
      <c r="AA35" s="15">
        <v>0.93140000000000001</v>
      </c>
      <c r="AB35" s="15">
        <v>0.97440000000000004</v>
      </c>
      <c r="AC35" s="15">
        <v>0.9375</v>
      </c>
      <c r="AD35" s="15">
        <v>0.93879999999999997</v>
      </c>
      <c r="AE35" s="15">
        <v>0.96509999999999996</v>
      </c>
      <c r="AF35" s="15">
        <v>0.73270000000000002</v>
      </c>
      <c r="AG35" s="15">
        <v>0.95520000000000005</v>
      </c>
      <c r="AH35" s="15">
        <v>0.95520000000000005</v>
      </c>
      <c r="AI35" s="15">
        <v>0.95009999999999994</v>
      </c>
      <c r="AJ35" s="15">
        <v>0.94030000000000002</v>
      </c>
      <c r="AK35" s="15">
        <v>0.9425</v>
      </c>
      <c r="AL35" s="15">
        <v>0.96540000000000004</v>
      </c>
      <c r="AM35" s="15">
        <v>0.9466</v>
      </c>
      <c r="AN35" s="15">
        <v>0.94869999999999999</v>
      </c>
      <c r="AO35" s="15">
        <v>0.95520000000000005</v>
      </c>
      <c r="AP35" s="15">
        <v>0.94132447665056396</v>
      </c>
      <c r="AQ35" s="15">
        <v>0.93530000000000002</v>
      </c>
      <c r="AR35" s="15">
        <v>0.96185587761674696</v>
      </c>
      <c r="AS35" s="15">
        <v>0.940694069406941</v>
      </c>
      <c r="AT35" s="15">
        <v>0.94749474947494705</v>
      </c>
      <c r="AU35" s="15">
        <v>0.96599999999999997</v>
      </c>
      <c r="AV35" s="15">
        <v>0.94610000000000005</v>
      </c>
      <c r="AW35" s="15">
        <v>0.95220000000000005</v>
      </c>
      <c r="AX35" s="15">
        <v>0.96489999999999998</v>
      </c>
    </row>
    <row r="36" spans="1:50" x14ac:dyDescent="0.3">
      <c r="B36" t="s">
        <v>56</v>
      </c>
      <c r="C36">
        <v>100</v>
      </c>
      <c r="D36">
        <v>0.9</v>
      </c>
      <c r="E36" s="15">
        <v>0.90293703480185095</v>
      </c>
      <c r="F36" s="15">
        <v>0.93200000000000005</v>
      </c>
      <c r="G36" s="15">
        <v>0.91027962180647803</v>
      </c>
      <c r="H36" s="15">
        <v>2.3700000000000099E-2</v>
      </c>
      <c r="I36" s="15">
        <v>2.41E-2</v>
      </c>
      <c r="J36" s="15">
        <v>0.25180000000000002</v>
      </c>
      <c r="K36" s="15">
        <v>2.5399999999999999E-2</v>
      </c>
      <c r="L36" s="15">
        <v>2.63E-2</v>
      </c>
      <c r="M36" s="15">
        <v>0.93200000000000005</v>
      </c>
      <c r="N36" s="15">
        <v>0.9022</v>
      </c>
      <c r="O36" s="15">
        <v>0.9022</v>
      </c>
      <c r="P36" s="15">
        <v>0.9</v>
      </c>
      <c r="Q36" s="15">
        <v>0.39460000000000001</v>
      </c>
      <c r="R36" s="15">
        <v>0.39850000000000002</v>
      </c>
      <c r="S36" s="15">
        <v>0.79269999999999996</v>
      </c>
      <c r="T36" s="15">
        <v>0.41039999999999999</v>
      </c>
      <c r="U36" s="15">
        <v>0.41339999999999999</v>
      </c>
      <c r="V36" s="15">
        <v>0.90459999999999996</v>
      </c>
      <c r="W36" s="15">
        <v>0.91300000000000003</v>
      </c>
      <c r="X36" s="15">
        <v>0.91300000000000003</v>
      </c>
      <c r="Y36" s="15">
        <v>0.90280000000000005</v>
      </c>
      <c r="Z36" s="15">
        <v>0.87639999999999996</v>
      </c>
      <c r="AA36" s="15">
        <v>0.87749999999999995</v>
      </c>
      <c r="AB36" s="15">
        <v>0.93889999999999996</v>
      </c>
      <c r="AC36" s="15">
        <v>0.88529999999999998</v>
      </c>
      <c r="AD36" s="15">
        <v>0.88600000000000001</v>
      </c>
      <c r="AE36" s="15">
        <v>0.91300000000000003</v>
      </c>
      <c r="AF36" s="15">
        <v>0.61680000000000001</v>
      </c>
      <c r="AG36" s="15">
        <v>0.90059999999999996</v>
      </c>
      <c r="AH36" s="15">
        <v>0.90059999999999996</v>
      </c>
      <c r="AI36" s="15">
        <v>0.89949999999999997</v>
      </c>
      <c r="AJ36" s="15">
        <v>0.88719999999999999</v>
      </c>
      <c r="AK36" s="15">
        <v>0.89029999999999998</v>
      </c>
      <c r="AL36" s="15">
        <v>0.9244</v>
      </c>
      <c r="AM36" s="15">
        <v>0.89490000000000003</v>
      </c>
      <c r="AN36" s="15">
        <v>0.89749999999999996</v>
      </c>
      <c r="AO36" s="15">
        <v>0.90129999999999999</v>
      </c>
      <c r="AP36" s="15">
        <v>0.90891706924315596</v>
      </c>
      <c r="AQ36" s="15">
        <v>0.93530000000000002</v>
      </c>
      <c r="AR36" s="15">
        <v>0.91636473429951704</v>
      </c>
      <c r="AS36" s="15">
        <v>0.89068906890689103</v>
      </c>
      <c r="AT36" s="15">
        <v>0.89818981898189798</v>
      </c>
      <c r="AU36" s="15">
        <v>0.93069999999999997</v>
      </c>
      <c r="AV36" s="15">
        <v>0.90029999999999999</v>
      </c>
      <c r="AW36" s="15">
        <v>0.90690000000000004</v>
      </c>
      <c r="AX36" s="15">
        <v>0.93530000000000002</v>
      </c>
    </row>
    <row r="37" spans="1:50" x14ac:dyDescent="0.3">
      <c r="B37" t="s">
        <v>57</v>
      </c>
      <c r="C37">
        <v>100</v>
      </c>
      <c r="D37">
        <v>0.95</v>
      </c>
      <c r="E37" s="15">
        <v>0.94073850487976696</v>
      </c>
      <c r="F37" s="15">
        <v>0.93500000000000005</v>
      </c>
      <c r="G37" s="15">
        <v>0.95733977261293901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0.96660000000000001</v>
      </c>
      <c r="N37" s="15">
        <v>0.95389999999999997</v>
      </c>
      <c r="O37" s="15">
        <v>0.95389999999999997</v>
      </c>
      <c r="P37" s="15">
        <v>0.95020000000000004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0.95389999999999997</v>
      </c>
      <c r="W37" s="15">
        <v>0.94550000000000001</v>
      </c>
      <c r="X37" s="15">
        <v>0.96279999999999999</v>
      </c>
      <c r="Y37" s="15">
        <v>0.95109999999999995</v>
      </c>
      <c r="Z37" s="15">
        <v>0.44450000000000001</v>
      </c>
      <c r="AA37" s="15">
        <v>0.44729999999999998</v>
      </c>
      <c r="AB37" s="15">
        <v>0.93779999999999997</v>
      </c>
      <c r="AC37" s="15">
        <v>0.46439999999999998</v>
      </c>
      <c r="AD37" s="15">
        <v>0.46700000000000003</v>
      </c>
      <c r="AE37" s="15">
        <v>0.96279999999999999</v>
      </c>
      <c r="AF37" s="15">
        <v>0.61809999999999998</v>
      </c>
      <c r="AG37" s="15">
        <v>0.95950000000000002</v>
      </c>
      <c r="AH37" s="15">
        <v>0.95950000000000002</v>
      </c>
      <c r="AI37" s="15">
        <v>0.95569999999999999</v>
      </c>
      <c r="AJ37" s="15">
        <v>0.60289999999999999</v>
      </c>
      <c r="AK37" s="15">
        <v>0.60919999999999996</v>
      </c>
      <c r="AL37" s="15">
        <v>0.86399999999999999</v>
      </c>
      <c r="AM37" s="15">
        <v>0.62319999999999998</v>
      </c>
      <c r="AN37" s="15">
        <v>0.62980000000000003</v>
      </c>
      <c r="AO37" s="15">
        <v>0.95950000000000002</v>
      </c>
      <c r="AP37" s="15">
        <v>0.94127702362996502</v>
      </c>
      <c r="AQ37" s="15">
        <v>0.93610000000000004</v>
      </c>
      <c r="AR37" s="15">
        <v>0.96339869281045798</v>
      </c>
      <c r="AS37" s="15">
        <v>0.77969999999999995</v>
      </c>
      <c r="AT37" s="15">
        <v>0.78869999999999996</v>
      </c>
      <c r="AU37" s="15">
        <v>0.93400000000000005</v>
      </c>
      <c r="AV37" s="15">
        <v>0.79790000000000005</v>
      </c>
      <c r="AW37" s="15">
        <v>0.8044</v>
      </c>
      <c r="AX37" s="15">
        <v>0.96599999999999997</v>
      </c>
    </row>
    <row r="38" spans="1:50" x14ac:dyDescent="0.3">
      <c r="B38" t="s">
        <v>57</v>
      </c>
      <c r="C38">
        <v>100</v>
      </c>
      <c r="D38">
        <v>0.9</v>
      </c>
      <c r="E38" s="15">
        <v>0.908642720595633</v>
      </c>
      <c r="F38" s="15">
        <v>0.93500000000000005</v>
      </c>
      <c r="G38" s="15">
        <v>0.91296911158064198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0.93500000000000005</v>
      </c>
      <c r="N38" s="15">
        <v>0.89929999999999999</v>
      </c>
      <c r="O38" s="15">
        <v>0.89929999999999999</v>
      </c>
      <c r="P38" s="15">
        <v>0.89749999999999996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0.90110000000000001</v>
      </c>
      <c r="W38" s="15">
        <v>0.91379999999999995</v>
      </c>
      <c r="X38" s="15">
        <v>0.91379999999999995</v>
      </c>
      <c r="Y38" s="15">
        <v>0.90339999999999998</v>
      </c>
      <c r="Z38" s="15">
        <v>0.32150000000000001</v>
      </c>
      <c r="AA38" s="15">
        <v>0.32429999999999998</v>
      </c>
      <c r="AB38" s="15">
        <v>0.83450000000000002</v>
      </c>
      <c r="AC38" s="15">
        <v>0.33710000000000001</v>
      </c>
      <c r="AD38" s="15">
        <v>0.34</v>
      </c>
      <c r="AE38" s="15">
        <v>0.91379999999999995</v>
      </c>
      <c r="AF38" s="15">
        <v>0.49230000000000002</v>
      </c>
      <c r="AG38" s="15">
        <v>0.90449999999999997</v>
      </c>
      <c r="AH38" s="15">
        <v>0.90449999999999997</v>
      </c>
      <c r="AI38" s="15">
        <v>0.9042</v>
      </c>
      <c r="AJ38" s="15">
        <v>0.48320000000000002</v>
      </c>
      <c r="AK38" s="15">
        <v>0.48849999999999999</v>
      </c>
      <c r="AL38" s="15">
        <v>0.75080000000000002</v>
      </c>
      <c r="AM38" s="15">
        <v>0.50060000000000004</v>
      </c>
      <c r="AN38" s="15">
        <v>0.50770000000000004</v>
      </c>
      <c r="AO38" s="15">
        <v>0.90800000000000003</v>
      </c>
      <c r="AP38" s="15">
        <v>0.902362996480644</v>
      </c>
      <c r="AQ38" s="15">
        <v>0.93610000000000004</v>
      </c>
      <c r="AR38" s="15">
        <v>0.91141277023629996</v>
      </c>
      <c r="AS38" s="15">
        <v>0.68369999999999997</v>
      </c>
      <c r="AT38" s="15">
        <v>0.69179999999999997</v>
      </c>
      <c r="AU38" s="15">
        <v>0.86280000000000001</v>
      </c>
      <c r="AV38" s="15">
        <v>0.70030000000000003</v>
      </c>
      <c r="AW38" s="15">
        <v>0.70779999999999998</v>
      </c>
      <c r="AX38" s="15">
        <v>0.93610000000000004</v>
      </c>
    </row>
    <row r="39" spans="1:50" x14ac:dyDescent="0.3">
      <c r="A39" t="s">
        <v>188</v>
      </c>
      <c r="B39" t="s">
        <v>31</v>
      </c>
      <c r="C39">
        <v>20</v>
      </c>
      <c r="D39">
        <v>0.95</v>
      </c>
      <c r="E39" s="15">
        <f t="shared" ref="E39:E56" si="0">E21-$D39</f>
        <v>2.4256204717127083E-2</v>
      </c>
      <c r="F39" s="15">
        <f t="shared" ref="F39:AX39" si="1">F21-$D39</f>
        <v>-0.31799999999999995</v>
      </c>
      <c r="G39" s="15">
        <f t="shared" si="1"/>
        <v>2.1327269924464098E-2</v>
      </c>
      <c r="H39" s="15">
        <f t="shared" si="1"/>
        <v>-0.85289999999999999</v>
      </c>
      <c r="I39" s="15">
        <f t="shared" si="1"/>
        <v>-0.84189999999999998</v>
      </c>
      <c r="J39" s="15">
        <f t="shared" si="1"/>
        <v>-0.12090000000000001</v>
      </c>
      <c r="K39" s="15">
        <f t="shared" si="1"/>
        <v>-0.79759999999999998</v>
      </c>
      <c r="L39" s="15">
        <f t="shared" si="1"/>
        <v>-0.77719999999999989</v>
      </c>
      <c r="M39" s="15">
        <f t="shared" si="1"/>
        <v>3.3299999999999996E-2</v>
      </c>
      <c r="N39" s="15">
        <f t="shared" si="1"/>
        <v>3.8938305394002004E-2</v>
      </c>
      <c r="O39" s="15">
        <f t="shared" si="1"/>
        <v>-8.2799999999999985E-2</v>
      </c>
      <c r="P39" s="15">
        <f t="shared" si="1"/>
        <v>3.0499486828601041E-2</v>
      </c>
      <c r="Q39" s="15">
        <f t="shared" si="1"/>
        <v>-0.7044999999999999</v>
      </c>
      <c r="R39" s="15">
        <f t="shared" si="1"/>
        <v>-0.68819999999999992</v>
      </c>
      <c r="S39" s="15">
        <f t="shared" si="1"/>
        <v>-5.5799999999999961E-2</v>
      </c>
      <c r="T39" s="15">
        <f t="shared" si="1"/>
        <v>-0.62129999999999996</v>
      </c>
      <c r="U39" s="15">
        <f t="shared" si="1"/>
        <v>-0.59559999999999991</v>
      </c>
      <c r="V39" s="15">
        <f t="shared" si="1"/>
        <v>8.900000000000019E-3</v>
      </c>
      <c r="W39" s="15">
        <f t="shared" si="1"/>
        <v>6.0999999999999943E-3</v>
      </c>
      <c r="X39" s="15">
        <f t="shared" si="1"/>
        <v>6.0999999999999943E-3</v>
      </c>
      <c r="Y39" s="15">
        <f t="shared" si="1"/>
        <v>-2.9999999999996696E-4</v>
      </c>
      <c r="Z39" s="15">
        <f t="shared" si="1"/>
        <v>-4.2999999999999705E-3</v>
      </c>
      <c r="AA39" s="15">
        <f t="shared" si="1"/>
        <v>-8.9999999999990088E-4</v>
      </c>
      <c r="AB39" s="15">
        <f t="shared" si="1"/>
        <v>4.9800000000000066E-2</v>
      </c>
      <c r="AC39" s="15">
        <f t="shared" si="1"/>
        <v>1.1900000000000022E-2</v>
      </c>
      <c r="AD39" s="15">
        <f t="shared" si="1"/>
        <v>1.5100000000000002E-2</v>
      </c>
      <c r="AE39" s="15">
        <f t="shared" si="1"/>
        <v>6.0999999999999943E-3</v>
      </c>
      <c r="AF39" s="15">
        <f t="shared" si="1"/>
        <v>4.3000000000000815E-3</v>
      </c>
      <c r="AG39" s="15">
        <f t="shared" si="1"/>
        <v>3.6498751985478028E-2</v>
      </c>
      <c r="AH39" s="15">
        <f t="shared" si="1"/>
        <v>-8.0499999999999905E-2</v>
      </c>
      <c r="AI39" s="15">
        <f t="shared" si="1"/>
        <v>2.8897208985705025E-2</v>
      </c>
      <c r="AJ39" s="15">
        <f t="shared" si="1"/>
        <v>-0.7036</v>
      </c>
      <c r="AK39" s="15">
        <f t="shared" si="1"/>
        <v>-0.68459999999999988</v>
      </c>
      <c r="AL39" s="15">
        <f t="shared" si="1"/>
        <v>-4.9399999999999999E-2</v>
      </c>
      <c r="AM39" s="15">
        <f t="shared" si="1"/>
        <v>-0.62329999999999997</v>
      </c>
      <c r="AN39" s="15">
        <f t="shared" si="1"/>
        <v>-0.59949999999999992</v>
      </c>
      <c r="AO39" s="15">
        <f t="shared" si="1"/>
        <v>2.6000000000000467E-3</v>
      </c>
      <c r="AP39" s="15">
        <f t="shared" si="1"/>
        <v>2.3717146433041014E-2</v>
      </c>
      <c r="AQ39" s="15">
        <f t="shared" si="1"/>
        <v>-0.3276</v>
      </c>
      <c r="AR39" s="15">
        <f t="shared" si="1"/>
        <v>2.0588235294118018E-2</v>
      </c>
      <c r="AS39" s="15">
        <f t="shared" si="1"/>
        <v>-0.84888988898889894</v>
      </c>
      <c r="AT39" s="15">
        <f t="shared" si="1"/>
        <v>-0.837488748874887</v>
      </c>
      <c r="AU39" s="15">
        <f t="shared" si="1"/>
        <v>-0.11209999999999998</v>
      </c>
      <c r="AV39" s="15">
        <f t="shared" si="1"/>
        <v>-0.79830000000000001</v>
      </c>
      <c r="AW39" s="15">
        <f t="shared" si="1"/>
        <v>-0.7750999999999999</v>
      </c>
      <c r="AX39" s="15">
        <f t="shared" si="1"/>
        <v>3.3200000000000007E-2</v>
      </c>
    </row>
    <row r="40" spans="1:50" x14ac:dyDescent="0.3">
      <c r="B40" t="s">
        <v>31</v>
      </c>
      <c r="C40">
        <v>20</v>
      </c>
      <c r="D40">
        <v>0.9</v>
      </c>
      <c r="E40" s="15">
        <f t="shared" si="0"/>
        <v>-2.2244488977956056E-2</v>
      </c>
      <c r="F40" s="15">
        <f t="shared" ref="F40:AX40" si="2">F22-$D40</f>
        <v>-0.26800000000000002</v>
      </c>
      <c r="G40" s="15">
        <f t="shared" si="2"/>
        <v>4.4658547864960929E-2</v>
      </c>
      <c r="H40" s="15">
        <f t="shared" si="2"/>
        <v>-0.84099999999999997</v>
      </c>
      <c r="I40" s="15">
        <f t="shared" si="2"/>
        <v>-0.83440000000000003</v>
      </c>
      <c r="J40" s="15">
        <f t="shared" si="2"/>
        <v>-0.2409</v>
      </c>
      <c r="K40" s="15">
        <f t="shared" si="2"/>
        <v>-0.81850000000000001</v>
      </c>
      <c r="L40" s="15">
        <f t="shared" si="2"/>
        <v>-0.80630000000000002</v>
      </c>
      <c r="M40" s="15">
        <f t="shared" si="2"/>
        <v>2.0699999999999941E-2</v>
      </c>
      <c r="N40" s="15">
        <f t="shared" si="2"/>
        <v>5.3130345535408963E-2</v>
      </c>
      <c r="O40" s="15">
        <f t="shared" si="2"/>
        <v>-6.4200000000000035E-2</v>
      </c>
      <c r="P40" s="15">
        <f t="shared" si="2"/>
        <v>5.5525145398563014E-2</v>
      </c>
      <c r="Q40" s="15">
        <f t="shared" si="2"/>
        <v>-0.73089999999999999</v>
      </c>
      <c r="R40" s="15">
        <f t="shared" si="2"/>
        <v>-0.72</v>
      </c>
      <c r="S40" s="15">
        <f t="shared" si="2"/>
        <v>-0.14180000000000004</v>
      </c>
      <c r="T40" s="15">
        <f t="shared" si="2"/>
        <v>-0.68759999999999999</v>
      </c>
      <c r="U40" s="15">
        <f t="shared" si="2"/>
        <v>-0.66969999999999996</v>
      </c>
      <c r="V40" s="15">
        <f t="shared" si="2"/>
        <v>5.8899999999999952E-2</v>
      </c>
      <c r="W40" s="15">
        <f t="shared" si="2"/>
        <v>-1.100000000000001E-2</v>
      </c>
      <c r="X40" s="15">
        <f t="shared" si="2"/>
        <v>-1.100000000000001E-2</v>
      </c>
      <c r="Y40" s="15">
        <f t="shared" si="2"/>
        <v>7.1999999999999842E-3</v>
      </c>
      <c r="Z40" s="15">
        <f t="shared" si="2"/>
        <v>-5.7000000000000384E-3</v>
      </c>
      <c r="AA40" s="15">
        <f t="shared" si="2"/>
        <v>1.8000000000000238E-3</v>
      </c>
      <c r="AB40" s="15">
        <f t="shared" si="2"/>
        <v>9.7399999999999931E-2</v>
      </c>
      <c r="AC40" s="15">
        <f t="shared" si="2"/>
        <v>2.0399999999999974E-2</v>
      </c>
      <c r="AD40" s="15">
        <f t="shared" si="2"/>
        <v>2.5699999999999945E-2</v>
      </c>
      <c r="AE40" s="15">
        <f t="shared" si="2"/>
        <v>5.6099999999999928E-2</v>
      </c>
      <c r="AF40" s="15">
        <f t="shared" si="2"/>
        <v>6.3999999999999613E-3</v>
      </c>
      <c r="AG40" s="15">
        <f t="shared" si="2"/>
        <v>4.6221919673246958E-2</v>
      </c>
      <c r="AH40" s="15">
        <f t="shared" si="2"/>
        <v>-6.6000000000000059E-2</v>
      </c>
      <c r="AI40" s="15">
        <f t="shared" si="2"/>
        <v>4.8264125255276014E-2</v>
      </c>
      <c r="AJ40" s="15">
        <f t="shared" si="2"/>
        <v>-0.73009999999999997</v>
      </c>
      <c r="AK40" s="15">
        <f t="shared" si="2"/>
        <v>-0.72009999999999996</v>
      </c>
      <c r="AL40" s="15">
        <f t="shared" si="2"/>
        <v>-0.12870000000000004</v>
      </c>
      <c r="AM40" s="15">
        <f t="shared" si="2"/>
        <v>-0.68420000000000003</v>
      </c>
      <c r="AN40" s="15">
        <f t="shared" si="2"/>
        <v>-0.66839999999999999</v>
      </c>
      <c r="AO40" s="15">
        <f t="shared" si="2"/>
        <v>5.259999999999998E-2</v>
      </c>
      <c r="AP40" s="15">
        <f t="shared" si="2"/>
        <v>-1.7803504380476065E-2</v>
      </c>
      <c r="AQ40" s="15">
        <f t="shared" si="2"/>
        <v>-0.27760000000000007</v>
      </c>
      <c r="AR40" s="15">
        <f t="shared" si="2"/>
        <v>4.4305381727159032E-2</v>
      </c>
      <c r="AS40" s="15">
        <f t="shared" si="2"/>
        <v>-0.83959395939593962</v>
      </c>
      <c r="AT40" s="15">
        <f t="shared" si="2"/>
        <v>-0.83209320932093211</v>
      </c>
      <c r="AU40" s="15">
        <f t="shared" si="2"/>
        <v>-0.23350000000000004</v>
      </c>
      <c r="AV40" s="15">
        <f t="shared" si="2"/>
        <v>-0.81340000000000001</v>
      </c>
      <c r="AW40" s="15">
        <f t="shared" si="2"/>
        <v>-0.80100000000000005</v>
      </c>
      <c r="AX40" s="15">
        <f t="shared" si="2"/>
        <v>2.4699999999999944E-2</v>
      </c>
    </row>
    <row r="41" spans="1:50" x14ac:dyDescent="0.3">
      <c r="B41" t="s">
        <v>56</v>
      </c>
      <c r="C41">
        <v>20</v>
      </c>
      <c r="D41">
        <v>0.95</v>
      </c>
      <c r="E41" s="15">
        <f t="shared" si="0"/>
        <v>2.7108811539668043E-2</v>
      </c>
      <c r="F41" s="15">
        <f t="shared" ref="F41:AX41" si="3">F23-$D41</f>
        <v>-0.32679999999999998</v>
      </c>
      <c r="G41" s="15">
        <f t="shared" si="3"/>
        <v>2.554092191909707E-2</v>
      </c>
      <c r="H41" s="15">
        <f t="shared" si="3"/>
        <v>-0.68799999999999994</v>
      </c>
      <c r="I41" s="15">
        <f t="shared" si="3"/>
        <v>-0.67330000000000001</v>
      </c>
      <c r="J41" s="15">
        <f t="shared" si="3"/>
        <v>-8.1899999999999973E-2</v>
      </c>
      <c r="K41" s="15">
        <f t="shared" si="3"/>
        <v>-0.59609999999999996</v>
      </c>
      <c r="L41" s="15">
        <f t="shared" si="3"/>
        <v>-0.5746</v>
      </c>
      <c r="M41" s="15">
        <f t="shared" si="3"/>
        <v>3.5400000000000098E-2</v>
      </c>
      <c r="N41" s="15">
        <f t="shared" si="3"/>
        <v>3.7763426240653097E-2</v>
      </c>
      <c r="O41" s="15">
        <f t="shared" si="3"/>
        <v>-7.8199999999999936E-2</v>
      </c>
      <c r="P41" s="15">
        <f t="shared" si="3"/>
        <v>3.0852028098799056E-2</v>
      </c>
      <c r="Q41" s="15">
        <f t="shared" si="3"/>
        <v>-0.27333233323332295</v>
      </c>
      <c r="R41" s="15">
        <f t="shared" si="3"/>
        <v>-0.261231123112311</v>
      </c>
      <c r="S41" s="15">
        <f t="shared" si="3"/>
        <v>2.7000000000000024E-2</v>
      </c>
      <c r="T41" s="15">
        <f t="shared" si="3"/>
        <v>-0.19469999999999998</v>
      </c>
      <c r="U41" s="15">
        <f t="shared" si="3"/>
        <v>-0.1804</v>
      </c>
      <c r="V41" s="15">
        <f t="shared" si="3"/>
        <v>7.0999999999999952E-3</v>
      </c>
      <c r="W41" s="15">
        <f t="shared" si="3"/>
        <v>6.4000000000000723E-3</v>
      </c>
      <c r="X41" s="15">
        <f t="shared" si="3"/>
        <v>6.4000000000000723E-3</v>
      </c>
      <c r="Y41" s="15">
        <f t="shared" si="3"/>
        <v>-6.9999999999992291E-4</v>
      </c>
      <c r="Z41" s="15">
        <f t="shared" si="3"/>
        <v>-1.969999999999994E-2</v>
      </c>
      <c r="AA41" s="15">
        <f t="shared" si="3"/>
        <v>-1.6199999999999992E-2</v>
      </c>
      <c r="AB41" s="15">
        <f t="shared" si="3"/>
        <v>3.6400000000000099E-2</v>
      </c>
      <c r="AC41" s="15">
        <f t="shared" si="3"/>
        <v>7.0000000000003393E-4</v>
      </c>
      <c r="AD41" s="15">
        <f t="shared" si="3"/>
        <v>3.8000000000000256E-3</v>
      </c>
      <c r="AE41" s="15">
        <f t="shared" si="3"/>
        <v>6.4000000000000723E-3</v>
      </c>
      <c r="AF41" s="15">
        <f t="shared" si="3"/>
        <v>-3.4599999999999964E-2</v>
      </c>
      <c r="AG41" s="15">
        <f t="shared" si="3"/>
        <v>3.6318549766275021E-2</v>
      </c>
      <c r="AH41" s="15">
        <f t="shared" si="3"/>
        <v>-8.4899999999999975E-2</v>
      </c>
      <c r="AI41" s="15">
        <f t="shared" si="3"/>
        <v>2.7653631284916047E-2</v>
      </c>
      <c r="AJ41" s="15">
        <f t="shared" si="3"/>
        <v>-6.723997557500494E-2</v>
      </c>
      <c r="AK41" s="15">
        <f t="shared" si="3"/>
        <v>-6.1947893344188931E-2</v>
      </c>
      <c r="AL41" s="15">
        <f t="shared" si="3"/>
        <v>2.8299999999999992E-2</v>
      </c>
      <c r="AM41" s="15">
        <f t="shared" si="3"/>
        <v>-5.7400000000000007E-2</v>
      </c>
      <c r="AN41" s="15">
        <f t="shared" si="3"/>
        <v>-5.2099999999999924E-2</v>
      </c>
      <c r="AO41" s="15">
        <f t="shared" si="3"/>
        <v>4.0999999999999925E-3</v>
      </c>
      <c r="AP41" s="15">
        <f t="shared" si="3"/>
        <v>2.2835583796664061E-2</v>
      </c>
      <c r="AQ41" s="15">
        <f t="shared" si="3"/>
        <v>-0.3375999999999999</v>
      </c>
      <c r="AR41" s="15">
        <f t="shared" si="3"/>
        <v>1.9023034154091012E-2</v>
      </c>
      <c r="AS41" s="15">
        <f t="shared" si="3"/>
        <v>-0.131265878714238</v>
      </c>
      <c r="AT41" s="15">
        <f t="shared" si="3"/>
        <v>-0.120661659118524</v>
      </c>
      <c r="AU41" s="15">
        <f t="shared" si="3"/>
        <v>3.4200000000000008E-2</v>
      </c>
      <c r="AV41" s="15">
        <f t="shared" si="3"/>
        <v>-0.1802999999999999</v>
      </c>
      <c r="AW41" s="15">
        <f t="shared" si="3"/>
        <v>-0.17349999999999999</v>
      </c>
      <c r="AX41" s="15">
        <f t="shared" si="3"/>
        <v>3.290000000000004E-2</v>
      </c>
    </row>
    <row r="42" spans="1:50" x14ac:dyDescent="0.3">
      <c r="B42" t="s">
        <v>56</v>
      </c>
      <c r="C42">
        <v>20</v>
      </c>
      <c r="D42">
        <v>0.9</v>
      </c>
      <c r="E42" s="15">
        <f t="shared" si="0"/>
        <v>-1.1947318908749005E-2</v>
      </c>
      <c r="F42" s="15">
        <f t="shared" ref="F42:AX42" si="4">F24-$D42</f>
        <v>-0.27680000000000005</v>
      </c>
      <c r="G42" s="15">
        <f t="shared" si="4"/>
        <v>5.8450925054875924E-2</v>
      </c>
      <c r="H42" s="15">
        <f t="shared" si="4"/>
        <v>-0.71710000000000007</v>
      </c>
      <c r="I42" s="15">
        <f t="shared" si="4"/>
        <v>-0.70569999999999999</v>
      </c>
      <c r="J42" s="15">
        <f t="shared" si="4"/>
        <v>-0.17669999999999997</v>
      </c>
      <c r="K42" s="15">
        <f t="shared" si="4"/>
        <v>-0.66700000000000004</v>
      </c>
      <c r="L42" s="15">
        <f t="shared" si="4"/>
        <v>-0.6512</v>
      </c>
      <c r="M42" s="15">
        <f t="shared" si="4"/>
        <v>2.8599999999999959E-2</v>
      </c>
      <c r="N42" s="15">
        <f t="shared" si="4"/>
        <v>5.1393609789258998E-2</v>
      </c>
      <c r="O42" s="15">
        <f t="shared" si="4"/>
        <v>-6.030000000000002E-2</v>
      </c>
      <c r="P42" s="15">
        <f t="shared" si="4"/>
        <v>5.3546340358032962E-2</v>
      </c>
      <c r="Q42" s="15">
        <f t="shared" si="4"/>
        <v>-0.34334433443344303</v>
      </c>
      <c r="R42" s="15">
        <f t="shared" si="4"/>
        <v>-0.32994299429942997</v>
      </c>
      <c r="S42" s="15">
        <f t="shared" si="4"/>
        <v>2.6799999999999935E-2</v>
      </c>
      <c r="T42" s="15">
        <f t="shared" si="4"/>
        <v>-0.27350000000000008</v>
      </c>
      <c r="U42" s="15">
        <f t="shared" si="4"/>
        <v>-0.255</v>
      </c>
      <c r="V42" s="15">
        <f t="shared" si="4"/>
        <v>5.7099999999999929E-2</v>
      </c>
      <c r="W42" s="15">
        <f t="shared" si="4"/>
        <v>-2.1199999999999997E-2</v>
      </c>
      <c r="X42" s="15">
        <f t="shared" si="4"/>
        <v>-2.1199999999999997E-2</v>
      </c>
      <c r="Y42" s="15">
        <f t="shared" si="4"/>
        <v>-1.2999999999999678E-3</v>
      </c>
      <c r="Z42" s="15">
        <f t="shared" si="4"/>
        <v>-2.5299999999999989E-2</v>
      </c>
      <c r="AA42" s="15">
        <f t="shared" si="4"/>
        <v>-2.0399999999999974E-2</v>
      </c>
      <c r="AB42" s="15">
        <f t="shared" si="4"/>
        <v>6.0899999999999954E-2</v>
      </c>
      <c r="AC42" s="15">
        <f t="shared" si="4"/>
        <v>4.2999999999999705E-3</v>
      </c>
      <c r="AD42" s="15">
        <f t="shared" si="4"/>
        <v>8.69999999999993E-3</v>
      </c>
      <c r="AE42" s="15">
        <f t="shared" si="4"/>
        <v>5.6400000000000006E-2</v>
      </c>
      <c r="AF42" s="15">
        <f t="shared" si="4"/>
        <v>-5.5200000000000027E-2</v>
      </c>
      <c r="AG42" s="15">
        <f t="shared" si="4"/>
        <v>4.7668452856002963E-2</v>
      </c>
      <c r="AH42" s="15">
        <f t="shared" si="4"/>
        <v>-6.8799999999999972E-2</v>
      </c>
      <c r="AI42" s="15">
        <f t="shared" si="4"/>
        <v>4.9606658305779927E-2</v>
      </c>
      <c r="AJ42" s="15">
        <f t="shared" si="4"/>
        <v>-6.5886423773662051E-2</v>
      </c>
      <c r="AK42" s="15">
        <f t="shared" si="4"/>
        <v>-5.6523509057602062E-2</v>
      </c>
      <c r="AL42" s="15">
        <f t="shared" si="4"/>
        <v>3.5200000000000009E-2</v>
      </c>
      <c r="AM42" s="15">
        <f t="shared" si="4"/>
        <v>-5.0100000000000033E-2</v>
      </c>
      <c r="AN42" s="15">
        <f t="shared" si="4"/>
        <v>-4.3700000000000072E-2</v>
      </c>
      <c r="AO42" s="15">
        <f t="shared" si="4"/>
        <v>5.4099999999999926E-2</v>
      </c>
      <c r="AP42" s="15">
        <f t="shared" si="4"/>
        <v>-1.8983320095314005E-2</v>
      </c>
      <c r="AQ42" s="15">
        <f t="shared" si="4"/>
        <v>-0.28759999999999997</v>
      </c>
      <c r="AR42" s="15">
        <f t="shared" si="4"/>
        <v>4.1699761715646932E-2</v>
      </c>
      <c r="AS42" s="15">
        <f t="shared" si="4"/>
        <v>-0.13417651607201997</v>
      </c>
      <c r="AT42" s="15">
        <f t="shared" si="4"/>
        <v>-0.12058985971501202</v>
      </c>
      <c r="AU42" s="15">
        <f t="shared" si="4"/>
        <v>6.3799999999999968E-2</v>
      </c>
      <c r="AV42" s="15">
        <f t="shared" si="4"/>
        <v>-0.17610000000000003</v>
      </c>
      <c r="AW42" s="15">
        <f t="shared" si="4"/>
        <v>-0.16580000000000006</v>
      </c>
      <c r="AX42" s="15">
        <f t="shared" si="4"/>
        <v>2.5100000000000011E-2</v>
      </c>
    </row>
    <row r="43" spans="1:50" x14ac:dyDescent="0.3">
      <c r="B43" t="s">
        <v>57</v>
      </c>
      <c r="C43">
        <v>20</v>
      </c>
      <c r="D43">
        <v>0.95</v>
      </c>
      <c r="E43" s="15">
        <f t="shared" si="0"/>
        <v>2.7106369724341994E-2</v>
      </c>
      <c r="F43" s="15">
        <f t="shared" ref="F43:AX43" si="5">F25-$D43</f>
        <v>-0.3226</v>
      </c>
      <c r="G43" s="15">
        <f t="shared" si="5"/>
        <v>2.5237501946737018E-2</v>
      </c>
      <c r="H43" s="15">
        <f t="shared" si="5"/>
        <v>-0.95</v>
      </c>
      <c r="I43" s="15">
        <f t="shared" si="5"/>
        <v>-0.95</v>
      </c>
      <c r="J43" s="15">
        <f t="shared" si="5"/>
        <v>-0.94289999999999996</v>
      </c>
      <c r="K43" s="15">
        <f t="shared" si="5"/>
        <v>-0.95</v>
      </c>
      <c r="L43" s="15">
        <f t="shared" si="5"/>
        <v>-0.95</v>
      </c>
      <c r="M43" s="15">
        <f t="shared" si="5"/>
        <v>3.5299999999999998E-2</v>
      </c>
      <c r="N43" s="15">
        <f t="shared" si="5"/>
        <v>3.5017026106696991E-2</v>
      </c>
      <c r="O43" s="15">
        <f t="shared" si="5"/>
        <v>-8.219999999999994E-2</v>
      </c>
      <c r="P43" s="15">
        <f t="shared" si="5"/>
        <v>3.0136208853575042E-2</v>
      </c>
      <c r="Q43" s="15">
        <f t="shared" si="5"/>
        <v>-0.94848896947718342</v>
      </c>
      <c r="R43" s="15">
        <f t="shared" si="5"/>
        <v>-0.94828749874080787</v>
      </c>
      <c r="S43" s="15">
        <f t="shared" si="5"/>
        <v>-0.68509999999999993</v>
      </c>
      <c r="T43" s="15">
        <f t="shared" si="5"/>
        <v>-0.94739999999999991</v>
      </c>
      <c r="U43" s="15">
        <f t="shared" si="5"/>
        <v>-0.94709999999999994</v>
      </c>
      <c r="V43" s="15">
        <f t="shared" si="5"/>
        <v>6.7000000000000393E-3</v>
      </c>
      <c r="W43" s="15">
        <f t="shared" si="5"/>
        <v>1.0200000000000098E-2</v>
      </c>
      <c r="X43" s="15">
        <f t="shared" si="5"/>
        <v>1.0200000000000098E-2</v>
      </c>
      <c r="Y43" s="15">
        <f t="shared" si="5"/>
        <v>3.4000000000000696E-3</v>
      </c>
      <c r="Z43" s="15">
        <f t="shared" si="5"/>
        <v>-0.16559999999999997</v>
      </c>
      <c r="AA43" s="15">
        <f t="shared" si="5"/>
        <v>-0.15849999999999997</v>
      </c>
      <c r="AB43" s="15">
        <f t="shared" si="5"/>
        <v>4.8600000000000088E-2</v>
      </c>
      <c r="AC43" s="15">
        <f t="shared" si="5"/>
        <v>-0.11299999999999999</v>
      </c>
      <c r="AD43" s="15">
        <f t="shared" si="5"/>
        <v>-0.10489999999999999</v>
      </c>
      <c r="AE43" s="15">
        <f t="shared" si="5"/>
        <v>1.0200000000000098E-2</v>
      </c>
      <c r="AF43" s="15">
        <f t="shared" si="5"/>
        <v>-4.8499999999999988E-2</v>
      </c>
      <c r="AG43" s="15">
        <f t="shared" si="5"/>
        <v>3.6332574031891052E-2</v>
      </c>
      <c r="AH43" s="15">
        <f t="shared" si="5"/>
        <v>-8.3999999999999964E-2</v>
      </c>
      <c r="AI43" s="15">
        <f t="shared" si="5"/>
        <v>2.7448747152620023E-2</v>
      </c>
      <c r="AJ43" s="15">
        <f t="shared" si="5"/>
        <v>-0.42199999999999993</v>
      </c>
      <c r="AK43" s="15">
        <f t="shared" si="5"/>
        <v>-0.39929999999999999</v>
      </c>
      <c r="AL43" s="15">
        <f t="shared" si="5"/>
        <v>-1.6899999999999915E-2</v>
      </c>
      <c r="AM43" s="15">
        <f t="shared" si="5"/>
        <v>-0.31889999999999996</v>
      </c>
      <c r="AN43" s="15">
        <f t="shared" si="5"/>
        <v>-0.29099999999999993</v>
      </c>
      <c r="AO43" s="15">
        <f t="shared" si="5"/>
        <v>4.0999999999999925E-3</v>
      </c>
      <c r="AP43" s="15">
        <f t="shared" si="5"/>
        <v>2.6557583385777073E-2</v>
      </c>
      <c r="AQ43" s="15">
        <f t="shared" si="5"/>
        <v>-0.32929999999999993</v>
      </c>
      <c r="AR43" s="15">
        <f t="shared" si="5"/>
        <v>2.404027690371302E-2</v>
      </c>
      <c r="AS43" s="15">
        <f t="shared" si="5"/>
        <v>-0.25001000700490295</v>
      </c>
      <c r="AT43" s="15">
        <f t="shared" si="5"/>
        <v>-0.22429200440308195</v>
      </c>
      <c r="AU43" s="15">
        <f t="shared" si="5"/>
        <v>1.3700000000000045E-2</v>
      </c>
      <c r="AV43" s="15">
        <f t="shared" si="5"/>
        <v>-0.15089999999999992</v>
      </c>
      <c r="AW43" s="15">
        <f t="shared" si="5"/>
        <v>-0.12269999999999992</v>
      </c>
      <c r="AX43" s="15">
        <f t="shared" si="5"/>
        <v>3.510000000000002E-2</v>
      </c>
    </row>
    <row r="44" spans="1:50" x14ac:dyDescent="0.3">
      <c r="B44" t="s">
        <v>57</v>
      </c>
      <c r="C44">
        <v>20</v>
      </c>
      <c r="D44">
        <v>0.9</v>
      </c>
      <c r="E44" s="15">
        <f t="shared" si="0"/>
        <v>-1.7894408970565046E-2</v>
      </c>
      <c r="F44" s="15">
        <f t="shared" ref="F44:AX44" si="6">F26-$D44</f>
        <v>-0.27260000000000006</v>
      </c>
      <c r="G44" s="15">
        <f t="shared" si="6"/>
        <v>5.9663603800030995E-2</v>
      </c>
      <c r="H44" s="15">
        <f t="shared" si="6"/>
        <v>-0.9</v>
      </c>
      <c r="I44" s="15">
        <f t="shared" si="6"/>
        <v>-0.9</v>
      </c>
      <c r="J44" s="15">
        <f t="shared" si="6"/>
        <v>-0.89880000000000004</v>
      </c>
      <c r="K44" s="15">
        <f t="shared" si="6"/>
        <v>-0.9</v>
      </c>
      <c r="L44" s="15">
        <f t="shared" si="6"/>
        <v>-0.9</v>
      </c>
      <c r="M44" s="15">
        <f t="shared" si="6"/>
        <v>2.4299999999999988E-2</v>
      </c>
      <c r="N44" s="15">
        <f t="shared" si="6"/>
        <v>5.0851305334846941E-2</v>
      </c>
      <c r="O44" s="15">
        <f t="shared" si="6"/>
        <v>-6.2300000000000022E-2</v>
      </c>
      <c r="P44" s="15">
        <f t="shared" si="6"/>
        <v>5.2894438138478939E-2</v>
      </c>
      <c r="Q44" s="15">
        <f t="shared" si="6"/>
        <v>-0.89929485242268559</v>
      </c>
      <c r="R44" s="15">
        <f t="shared" si="6"/>
        <v>-0.89929485242268559</v>
      </c>
      <c r="S44" s="15">
        <f t="shared" si="6"/>
        <v>-0.80830000000000002</v>
      </c>
      <c r="T44" s="15">
        <f t="shared" si="6"/>
        <v>-0.89890000000000003</v>
      </c>
      <c r="U44" s="15">
        <f t="shared" si="6"/>
        <v>-0.89890000000000003</v>
      </c>
      <c r="V44" s="15">
        <f t="shared" si="6"/>
        <v>5.6699999999999973E-2</v>
      </c>
      <c r="W44" s="15">
        <f t="shared" si="6"/>
        <v>-1.1600000000000055E-2</v>
      </c>
      <c r="X44" s="15">
        <f t="shared" si="6"/>
        <v>-1.1600000000000055E-2</v>
      </c>
      <c r="Y44" s="15">
        <f t="shared" si="6"/>
        <v>5.6999999999999273E-3</v>
      </c>
      <c r="Z44" s="15">
        <f t="shared" si="6"/>
        <v>-0.21740000000000004</v>
      </c>
      <c r="AA44" s="15">
        <f t="shared" si="6"/>
        <v>-0.20500000000000007</v>
      </c>
      <c r="AB44" s="15">
        <f t="shared" si="6"/>
        <v>9.209999999999996E-2</v>
      </c>
      <c r="AC44" s="15">
        <f t="shared" si="6"/>
        <v>-0.15720000000000001</v>
      </c>
      <c r="AD44" s="15">
        <f t="shared" si="6"/>
        <v>-0.1472</v>
      </c>
      <c r="AE44" s="15">
        <f t="shared" si="6"/>
        <v>6.0200000000000031E-2</v>
      </c>
      <c r="AF44" s="15">
        <f t="shared" si="6"/>
        <v>-7.7100000000000057E-2</v>
      </c>
      <c r="AG44" s="15">
        <f t="shared" si="6"/>
        <v>4.7722095671981934E-2</v>
      </c>
      <c r="AH44" s="15">
        <f t="shared" si="6"/>
        <v>-6.7900000000000071E-2</v>
      </c>
      <c r="AI44" s="15">
        <f t="shared" si="6"/>
        <v>4.9544419134396001E-2</v>
      </c>
      <c r="AJ44" s="15">
        <f t="shared" si="6"/>
        <v>-0.48430000000000001</v>
      </c>
      <c r="AK44" s="15">
        <f t="shared" si="6"/>
        <v>-0.46200000000000002</v>
      </c>
      <c r="AL44" s="15">
        <f t="shared" si="6"/>
        <v>-4.4800000000000062E-2</v>
      </c>
      <c r="AM44" s="15">
        <f t="shared" si="6"/>
        <v>-0.40820000000000001</v>
      </c>
      <c r="AN44" s="15">
        <f t="shared" si="6"/>
        <v>-0.37970000000000004</v>
      </c>
      <c r="AO44" s="15">
        <f t="shared" si="6"/>
        <v>5.4099999999999926E-2</v>
      </c>
      <c r="AP44" s="15">
        <f t="shared" si="6"/>
        <v>-1.0132158590308027E-2</v>
      </c>
      <c r="AQ44" s="15">
        <f t="shared" si="6"/>
        <v>-0.27929999999999999</v>
      </c>
      <c r="AR44" s="15">
        <f t="shared" si="6"/>
        <v>4.7765890497167951E-2</v>
      </c>
      <c r="AS44" s="15">
        <f t="shared" si="6"/>
        <v>-0.30558390873611507</v>
      </c>
      <c r="AT44" s="15">
        <f t="shared" si="6"/>
        <v>-0.27546282397678401</v>
      </c>
      <c r="AU44" s="15">
        <f t="shared" si="6"/>
        <v>1.3499999999999956E-2</v>
      </c>
      <c r="AV44" s="15">
        <f t="shared" si="6"/>
        <v>-0.22450000000000003</v>
      </c>
      <c r="AW44" s="15">
        <f t="shared" si="6"/>
        <v>-0.1946</v>
      </c>
      <c r="AX44" s="15">
        <f t="shared" si="6"/>
        <v>3.0000000000000027E-2</v>
      </c>
    </row>
    <row r="45" spans="1:50" x14ac:dyDescent="0.3">
      <c r="B45" t="s">
        <v>31</v>
      </c>
      <c r="C45">
        <v>50</v>
      </c>
      <c r="D45">
        <v>0.95</v>
      </c>
      <c r="E45" s="15">
        <f t="shared" si="0"/>
        <v>3.6559722523304083E-2</v>
      </c>
      <c r="F45" s="15">
        <f t="shared" ref="F45:AX45" si="7">F27-$D45</f>
        <v>-3.9799999999999947E-2</v>
      </c>
      <c r="G45" s="15">
        <f t="shared" si="7"/>
        <v>2.9080858443529034E-2</v>
      </c>
      <c r="H45" s="15">
        <f t="shared" si="7"/>
        <v>-0.88259999999999994</v>
      </c>
      <c r="I45" s="15">
        <f t="shared" si="7"/>
        <v>-0.87809999999999999</v>
      </c>
      <c r="J45" s="15">
        <f t="shared" si="7"/>
        <v>-0.29809999999999992</v>
      </c>
      <c r="K45" s="15">
        <f t="shared" si="7"/>
        <v>-0.87159999999999993</v>
      </c>
      <c r="L45" s="15">
        <f t="shared" si="7"/>
        <v>-0.86509999999999998</v>
      </c>
      <c r="M45" s="15">
        <f t="shared" si="7"/>
        <v>1.1400000000000077E-2</v>
      </c>
      <c r="N45" s="15">
        <f t="shared" si="7"/>
        <v>-5.4102976669349045E-3</v>
      </c>
      <c r="O45" s="15">
        <f t="shared" si="7"/>
        <v>-1.0699999999999932E-2</v>
      </c>
      <c r="P45" s="15">
        <f t="shared" si="7"/>
        <v>6.2550281576830846E-3</v>
      </c>
      <c r="Q45" s="15">
        <f t="shared" si="7"/>
        <v>-0.7661</v>
      </c>
      <c r="R45" s="15">
        <f t="shared" si="7"/>
        <v>-0.75839999999999996</v>
      </c>
      <c r="S45" s="15">
        <f t="shared" si="7"/>
        <v>-0.19079999999999997</v>
      </c>
      <c r="T45" s="15">
        <f t="shared" si="7"/>
        <v>-0.73829999999999996</v>
      </c>
      <c r="U45" s="15">
        <f t="shared" si="7"/>
        <v>-0.73069999999999991</v>
      </c>
      <c r="V45" s="15">
        <f t="shared" si="7"/>
        <v>2.0300000000000096E-2</v>
      </c>
      <c r="W45" s="15">
        <f t="shared" si="7"/>
        <v>-1.5100000000000002E-2</v>
      </c>
      <c r="X45" s="15">
        <f t="shared" si="7"/>
        <v>1.5100000000000002E-2</v>
      </c>
      <c r="Y45" s="15">
        <f t="shared" si="7"/>
        <v>1.5000000000000568E-3</v>
      </c>
      <c r="Z45" s="15">
        <f t="shared" si="7"/>
        <v>-3.0999999999999917E-3</v>
      </c>
      <c r="AA45" s="15">
        <f t="shared" si="7"/>
        <v>-1.3999999999999568E-3</v>
      </c>
      <c r="AB45" s="15">
        <f t="shared" si="7"/>
        <v>4.9000000000000044E-2</v>
      </c>
      <c r="AC45" s="15">
        <f t="shared" si="7"/>
        <v>6.6000000000000503E-3</v>
      </c>
      <c r="AD45" s="15">
        <f t="shared" si="7"/>
        <v>8.0999999999999961E-3</v>
      </c>
      <c r="AE45" s="15">
        <f t="shared" si="7"/>
        <v>1.5100000000000002E-2</v>
      </c>
      <c r="AF45" s="15">
        <f t="shared" si="7"/>
        <v>2.00000000000089E-4</v>
      </c>
      <c r="AG45" s="15">
        <f t="shared" si="7"/>
        <v>-3.0120481927710108E-3</v>
      </c>
      <c r="AH45" s="15">
        <f t="shared" si="7"/>
        <v>-6.7999999999999172E-3</v>
      </c>
      <c r="AI45" s="15">
        <f t="shared" si="7"/>
        <v>7.1285140562250549E-3</v>
      </c>
      <c r="AJ45" s="15">
        <f t="shared" si="7"/>
        <v>-0.77339999999999998</v>
      </c>
      <c r="AK45" s="15">
        <f t="shared" si="7"/>
        <v>-0.76489999999999991</v>
      </c>
      <c r="AL45" s="15">
        <f t="shared" si="7"/>
        <v>-0.19629999999999992</v>
      </c>
      <c r="AM45" s="15">
        <f t="shared" si="7"/>
        <v>-0.74709999999999999</v>
      </c>
      <c r="AN45" s="15">
        <f t="shared" si="7"/>
        <v>-0.74</v>
      </c>
      <c r="AO45" s="15">
        <f t="shared" si="7"/>
        <v>2.090000000000003E-2</v>
      </c>
      <c r="AP45" s="15">
        <f t="shared" si="7"/>
        <v>3.6773633998265054E-2</v>
      </c>
      <c r="AQ45" s="15">
        <f t="shared" si="7"/>
        <v>-3.9799999999999947E-2</v>
      </c>
      <c r="AR45" s="15">
        <f t="shared" si="7"/>
        <v>2.7450130095403091E-2</v>
      </c>
      <c r="AS45" s="15">
        <f t="shared" si="7"/>
        <v>-0.88379999999999992</v>
      </c>
      <c r="AT45" s="15">
        <f t="shared" si="7"/>
        <v>-0.8778999999999999</v>
      </c>
      <c r="AU45" s="15">
        <f t="shared" si="7"/>
        <v>-0.30729999999999991</v>
      </c>
      <c r="AV45" s="15">
        <f t="shared" si="7"/>
        <v>-0.87059999999999993</v>
      </c>
      <c r="AW45" s="15">
        <f t="shared" si="7"/>
        <v>-0.86439999999999995</v>
      </c>
      <c r="AX45" s="15">
        <f t="shared" si="7"/>
        <v>1.0200000000000098E-2</v>
      </c>
    </row>
    <row r="46" spans="1:50" x14ac:dyDescent="0.3">
      <c r="B46" t="s">
        <v>31</v>
      </c>
      <c r="C46">
        <v>50</v>
      </c>
      <c r="D46">
        <v>0.9</v>
      </c>
      <c r="E46" s="15">
        <f t="shared" si="0"/>
        <v>5.8161716887057957E-2</v>
      </c>
      <c r="F46" s="15">
        <f t="shared" ref="F46:AX46" si="8">F28-$D46</f>
        <v>-1.6000000000000014E-2</v>
      </c>
      <c r="G46" s="15">
        <f t="shared" si="8"/>
        <v>5.4259700845436964E-2</v>
      </c>
      <c r="H46" s="15">
        <f t="shared" si="8"/>
        <v>-0.86150000000000004</v>
      </c>
      <c r="I46" s="15">
        <f t="shared" si="8"/>
        <v>-0.85609999999999997</v>
      </c>
      <c r="J46" s="15">
        <f t="shared" si="8"/>
        <v>-0.45450000000000002</v>
      </c>
      <c r="K46" s="15">
        <f t="shared" si="8"/>
        <v>-0.8528</v>
      </c>
      <c r="L46" s="15">
        <f t="shared" si="8"/>
        <v>-0.84840000000000004</v>
      </c>
      <c r="M46" s="15">
        <f t="shared" si="8"/>
        <v>6.140000000000001E-2</v>
      </c>
      <c r="N46" s="15">
        <f t="shared" si="8"/>
        <v>9.4931617055509232E-3</v>
      </c>
      <c r="O46" s="15">
        <f t="shared" si="8"/>
        <v>3.9300000000000002E-2</v>
      </c>
      <c r="P46" s="15">
        <f t="shared" si="8"/>
        <v>6.4762670957360102E-3</v>
      </c>
      <c r="Q46" s="15">
        <f t="shared" si="8"/>
        <v>-0.78039999999999998</v>
      </c>
      <c r="R46" s="15">
        <f t="shared" si="8"/>
        <v>-0.77670000000000006</v>
      </c>
      <c r="S46" s="15">
        <f t="shared" si="8"/>
        <v>-0.32900000000000007</v>
      </c>
      <c r="T46" s="15">
        <f t="shared" si="8"/>
        <v>-0.76439999999999997</v>
      </c>
      <c r="U46" s="15">
        <f t="shared" si="8"/>
        <v>-0.75870000000000004</v>
      </c>
      <c r="V46" s="15">
        <f t="shared" si="8"/>
        <v>4.3999999999999595E-3</v>
      </c>
      <c r="W46" s="15">
        <f t="shared" si="8"/>
        <v>-1.8500000000000072E-2</v>
      </c>
      <c r="X46" s="15">
        <f t="shared" si="8"/>
        <v>3.4899999999999931E-2</v>
      </c>
      <c r="Y46" s="15">
        <f t="shared" si="8"/>
        <v>2.3999999999999577E-3</v>
      </c>
      <c r="Z46" s="15">
        <f t="shared" si="8"/>
        <v>-4.0999999999999925E-3</v>
      </c>
      <c r="AA46" s="15">
        <f t="shared" si="8"/>
        <v>2.9999999999996696E-4</v>
      </c>
      <c r="AB46" s="15">
        <f t="shared" si="8"/>
        <v>9.2999999999999972E-2</v>
      </c>
      <c r="AC46" s="15">
        <f t="shared" si="8"/>
        <v>1.1399999999999966E-2</v>
      </c>
      <c r="AD46" s="15">
        <f t="shared" si="8"/>
        <v>1.3799999999999923E-2</v>
      </c>
      <c r="AE46" s="15">
        <f t="shared" si="8"/>
        <v>3.4899999999999931E-2</v>
      </c>
      <c r="AF46" s="15">
        <f t="shared" si="8"/>
        <v>9.000000000000119E-4</v>
      </c>
      <c r="AG46" s="15">
        <f t="shared" si="8"/>
        <v>1.2550200803213007E-2</v>
      </c>
      <c r="AH46" s="15">
        <f t="shared" si="8"/>
        <v>4.3200000000000016E-2</v>
      </c>
      <c r="AI46" s="15">
        <f t="shared" si="8"/>
        <v>1.2851405622489986E-2</v>
      </c>
      <c r="AJ46" s="15">
        <f t="shared" si="8"/>
        <v>-0.78890000000000005</v>
      </c>
      <c r="AK46" s="15">
        <f t="shared" si="8"/>
        <v>-0.78490000000000004</v>
      </c>
      <c r="AL46" s="15">
        <f t="shared" si="8"/>
        <v>-0.33020000000000005</v>
      </c>
      <c r="AM46" s="15">
        <f t="shared" si="8"/>
        <v>-0.77510000000000001</v>
      </c>
      <c r="AN46" s="15">
        <f t="shared" si="8"/>
        <v>-0.76750000000000007</v>
      </c>
      <c r="AO46" s="15">
        <f t="shared" si="8"/>
        <v>8.900000000000019E-3</v>
      </c>
      <c r="AP46" s="15">
        <f t="shared" si="8"/>
        <v>5.685169124024303E-2</v>
      </c>
      <c r="AQ46" s="15">
        <f t="shared" si="8"/>
        <v>-1.7399999999999971E-2</v>
      </c>
      <c r="AR46" s="15">
        <f t="shared" si="8"/>
        <v>5.370771899392901E-2</v>
      </c>
      <c r="AS46" s="15">
        <f t="shared" si="8"/>
        <v>-0.86040000000000005</v>
      </c>
      <c r="AT46" s="15">
        <f t="shared" si="8"/>
        <v>-0.85809999999999997</v>
      </c>
      <c r="AU46" s="15">
        <f t="shared" si="8"/>
        <v>-0.45700000000000002</v>
      </c>
      <c r="AV46" s="15">
        <f t="shared" si="8"/>
        <v>-0.85399999999999998</v>
      </c>
      <c r="AW46" s="15">
        <f t="shared" si="8"/>
        <v>-0.85070000000000001</v>
      </c>
      <c r="AX46" s="15">
        <f t="shared" si="8"/>
        <v>6.0200000000000031E-2</v>
      </c>
    </row>
    <row r="47" spans="1:50" x14ac:dyDescent="0.3">
      <c r="B47" t="s">
        <v>56</v>
      </c>
      <c r="C47">
        <v>50</v>
      </c>
      <c r="D47">
        <v>0.95</v>
      </c>
      <c r="E47" s="15">
        <f t="shared" si="0"/>
        <v>3.7460815047022034E-2</v>
      </c>
      <c r="F47" s="15">
        <f t="shared" ref="F47:AX47" si="9">F29-$D47</f>
        <v>-3.6499999999999977E-2</v>
      </c>
      <c r="G47" s="15">
        <f t="shared" si="9"/>
        <v>2.9785969084422992E-2</v>
      </c>
      <c r="H47" s="15">
        <f t="shared" si="9"/>
        <v>-0.84</v>
      </c>
      <c r="I47" s="15">
        <f t="shared" si="9"/>
        <v>-0.83509999999999995</v>
      </c>
      <c r="J47" s="15">
        <f t="shared" si="9"/>
        <v>-0.28379999999999994</v>
      </c>
      <c r="K47" s="15">
        <f t="shared" si="9"/>
        <v>-0.82069999999999999</v>
      </c>
      <c r="L47" s="15">
        <f t="shared" si="9"/>
        <v>-0.81479999999999997</v>
      </c>
      <c r="M47" s="15">
        <f t="shared" si="9"/>
        <v>1.2400000000000078E-2</v>
      </c>
      <c r="N47" s="15">
        <f t="shared" si="9"/>
        <v>-4.3368887100019293E-3</v>
      </c>
      <c r="O47" s="15">
        <f t="shared" si="9"/>
        <v>-1.0199999999999987E-2</v>
      </c>
      <c r="P47" s="15">
        <f t="shared" si="9"/>
        <v>6.1279935600720981E-3</v>
      </c>
      <c r="Q47" s="15">
        <f t="shared" si="9"/>
        <v>-0.37269999999999992</v>
      </c>
      <c r="R47" s="15">
        <f t="shared" si="9"/>
        <v>-0.36629999999999996</v>
      </c>
      <c r="S47" s="15">
        <f t="shared" si="9"/>
        <v>-7.0000000000000062E-3</v>
      </c>
      <c r="T47" s="15">
        <f t="shared" si="9"/>
        <v>-0.33319999999999994</v>
      </c>
      <c r="U47" s="15">
        <f t="shared" si="9"/>
        <v>-0.32479999999999998</v>
      </c>
      <c r="V47" s="15">
        <f t="shared" si="9"/>
        <v>1.7400000000000082E-2</v>
      </c>
      <c r="W47" s="15">
        <f t="shared" si="9"/>
        <v>-1.21E-2</v>
      </c>
      <c r="X47" s="15">
        <f t="shared" si="9"/>
        <v>2.0600000000000063E-2</v>
      </c>
      <c r="Y47" s="15">
        <f t="shared" si="9"/>
        <v>5.0000000000000044E-3</v>
      </c>
      <c r="Z47" s="15">
        <f t="shared" si="9"/>
        <v>-1.5399999999999969E-2</v>
      </c>
      <c r="AA47" s="15">
        <f t="shared" si="9"/>
        <v>-1.3799999999999923E-2</v>
      </c>
      <c r="AB47" s="15">
        <f t="shared" si="9"/>
        <v>3.3299999999999996E-2</v>
      </c>
      <c r="AC47" s="15">
        <f t="shared" si="9"/>
        <v>-2.7999999999999137E-3</v>
      </c>
      <c r="AD47" s="15">
        <f t="shared" si="9"/>
        <v>-1.1999999999999789E-3</v>
      </c>
      <c r="AE47" s="15">
        <f t="shared" si="9"/>
        <v>2.0600000000000063E-2</v>
      </c>
      <c r="AF47" s="15">
        <f t="shared" si="9"/>
        <v>-0.10029999999999994</v>
      </c>
      <c r="AG47" s="15">
        <f t="shared" si="9"/>
        <v>-7.0682206369939715E-3</v>
      </c>
      <c r="AH47" s="15">
        <f t="shared" si="9"/>
        <v>-1.1499999999999955E-2</v>
      </c>
      <c r="AI47" s="15">
        <f t="shared" si="9"/>
        <v>7.1988345222550043E-3</v>
      </c>
      <c r="AJ47" s="15">
        <f t="shared" si="9"/>
        <v>-1.2399999999999967E-2</v>
      </c>
      <c r="AK47" s="15">
        <f t="shared" si="9"/>
        <v>-6.7999999999999172E-3</v>
      </c>
      <c r="AL47" s="15">
        <f t="shared" si="9"/>
        <v>2.1300000000000097E-2</v>
      </c>
      <c r="AM47" s="15">
        <f t="shared" si="9"/>
        <v>-1.9999999999997797E-4</v>
      </c>
      <c r="AN47" s="15">
        <f t="shared" si="9"/>
        <v>4.6000000000000485E-3</v>
      </c>
      <c r="AO47" s="15">
        <f t="shared" si="9"/>
        <v>2.0600000000000063E-2</v>
      </c>
      <c r="AP47" s="15">
        <f t="shared" si="9"/>
        <v>3.91763177833101E-2</v>
      </c>
      <c r="AQ47" s="15">
        <f t="shared" si="9"/>
        <v>-3.609999999999991E-2</v>
      </c>
      <c r="AR47" s="15">
        <f t="shared" si="9"/>
        <v>3.0192661543457011E-2</v>
      </c>
      <c r="AS47" s="15">
        <f t="shared" si="9"/>
        <v>-4.4181708177875922E-2</v>
      </c>
      <c r="AT47" s="15">
        <f t="shared" si="9"/>
        <v>-3.7627306645154901E-2</v>
      </c>
      <c r="AU47" s="15">
        <f t="shared" si="9"/>
        <v>1.9700000000000051E-2</v>
      </c>
      <c r="AV47" s="15">
        <f t="shared" si="9"/>
        <v>-4.0099999999999913E-2</v>
      </c>
      <c r="AW47" s="15">
        <f t="shared" si="9"/>
        <v>-3.4699999999999953E-2</v>
      </c>
      <c r="AX47" s="15">
        <f t="shared" si="9"/>
        <v>1.4000000000000012E-2</v>
      </c>
    </row>
    <row r="48" spans="1:50" x14ac:dyDescent="0.3">
      <c r="B48" t="s">
        <v>56</v>
      </c>
      <c r="C48">
        <v>50</v>
      </c>
      <c r="D48">
        <v>0.9</v>
      </c>
      <c r="E48" s="15">
        <f t="shared" si="0"/>
        <v>5.9355745324830012E-2</v>
      </c>
      <c r="F48" s="15">
        <f t="shared" ref="F48:AX48" si="10">F30-$D48</f>
        <v>-1.2500000000000067E-2</v>
      </c>
      <c r="G48" s="15">
        <f t="shared" si="10"/>
        <v>5.6329045508593967E-2</v>
      </c>
      <c r="H48" s="15">
        <f t="shared" si="10"/>
        <v>-0.8357</v>
      </c>
      <c r="I48" s="15">
        <f t="shared" si="10"/>
        <v>-0.83160000000000001</v>
      </c>
      <c r="J48" s="15">
        <f t="shared" si="10"/>
        <v>-0.44080000000000003</v>
      </c>
      <c r="K48" s="15">
        <f t="shared" si="10"/>
        <v>-0.82340000000000002</v>
      </c>
      <c r="L48" s="15">
        <f t="shared" si="10"/>
        <v>-0.82000000000000006</v>
      </c>
      <c r="M48" s="15">
        <f t="shared" si="10"/>
        <v>6.2400000000000011E-2</v>
      </c>
      <c r="N48" s="15">
        <f t="shared" si="10"/>
        <v>1.2859730328034003E-2</v>
      </c>
      <c r="O48" s="15">
        <f t="shared" si="10"/>
        <v>3.9799999999999947E-2</v>
      </c>
      <c r="P48" s="15">
        <f t="shared" si="10"/>
        <v>1.2960354196014934E-2</v>
      </c>
      <c r="Q48" s="15">
        <f t="shared" si="10"/>
        <v>-0.43810000000000004</v>
      </c>
      <c r="R48" s="15">
        <f t="shared" si="10"/>
        <v>-0.42930000000000001</v>
      </c>
      <c r="S48" s="15">
        <f t="shared" si="10"/>
        <v>-3.6900000000000044E-2</v>
      </c>
      <c r="T48" s="15">
        <f t="shared" si="10"/>
        <v>-0.40679999999999999</v>
      </c>
      <c r="U48" s="15">
        <f t="shared" si="10"/>
        <v>-0.39970000000000006</v>
      </c>
      <c r="V48" s="15">
        <f t="shared" si="10"/>
        <v>7.1999999999999842E-3</v>
      </c>
      <c r="W48" s="15">
        <f t="shared" si="10"/>
        <v>-1.4500000000000068E-2</v>
      </c>
      <c r="X48" s="15">
        <f t="shared" si="10"/>
        <v>3.7899999999999934E-2</v>
      </c>
      <c r="Y48" s="15">
        <f t="shared" si="10"/>
        <v>3.9000000000000146E-3</v>
      </c>
      <c r="Z48" s="15">
        <f t="shared" si="10"/>
        <v>-2.1299999999999986E-2</v>
      </c>
      <c r="AA48" s="15">
        <f t="shared" si="10"/>
        <v>-1.9000000000000017E-2</v>
      </c>
      <c r="AB48" s="15">
        <f t="shared" si="10"/>
        <v>5.3999999999999937E-2</v>
      </c>
      <c r="AC48" s="15">
        <f t="shared" si="10"/>
        <v>-4.8000000000000265E-3</v>
      </c>
      <c r="AD48" s="15">
        <f t="shared" si="10"/>
        <v>-2.5000000000000577E-3</v>
      </c>
      <c r="AE48" s="15">
        <f t="shared" si="10"/>
        <v>3.7899999999999934E-2</v>
      </c>
      <c r="AF48" s="15">
        <f t="shared" si="10"/>
        <v>-0.14860000000000007</v>
      </c>
      <c r="AG48" s="15">
        <f t="shared" si="10"/>
        <v>1.0881141364412983E-2</v>
      </c>
      <c r="AH48" s="15">
        <f t="shared" si="10"/>
        <v>3.8499999999999979E-2</v>
      </c>
      <c r="AI48" s="15">
        <f t="shared" si="10"/>
        <v>1.1684919119863024E-2</v>
      </c>
      <c r="AJ48" s="15">
        <f t="shared" si="10"/>
        <v>-1.6700000000000048E-2</v>
      </c>
      <c r="AK48" s="15">
        <f t="shared" si="10"/>
        <v>-7.9000000000000181E-3</v>
      </c>
      <c r="AL48" s="15">
        <f t="shared" si="10"/>
        <v>3.0299999999999994E-2</v>
      </c>
      <c r="AM48" s="15">
        <f t="shared" si="10"/>
        <v>-8.0000000000002292E-4</v>
      </c>
      <c r="AN48" s="15">
        <f t="shared" si="10"/>
        <v>7.0999999999999952E-3</v>
      </c>
      <c r="AO48" s="15">
        <f t="shared" si="10"/>
        <v>6.5999999999999392E-3</v>
      </c>
      <c r="AP48" s="15">
        <f t="shared" si="10"/>
        <v>6.1034744019915932E-2</v>
      </c>
      <c r="AQ48" s="15">
        <f t="shared" si="10"/>
        <v>-1.21E-2</v>
      </c>
      <c r="AR48" s="15">
        <f t="shared" si="10"/>
        <v>5.7895876177074923E-2</v>
      </c>
      <c r="AS48" s="15">
        <f t="shared" si="10"/>
        <v>-4.1474236160129019E-2</v>
      </c>
      <c r="AT48" s="15">
        <f t="shared" si="10"/>
        <v>-3.2701421800948038E-2</v>
      </c>
      <c r="AU48" s="15">
        <f t="shared" si="10"/>
        <v>2.7699999999999947E-2</v>
      </c>
      <c r="AV48" s="15">
        <f t="shared" si="10"/>
        <v>-3.5700000000000065E-2</v>
      </c>
      <c r="AW48" s="15">
        <f t="shared" si="10"/>
        <v>-2.4900000000000033E-2</v>
      </c>
      <c r="AX48" s="15">
        <f t="shared" si="10"/>
        <v>6.3999999999999946E-2</v>
      </c>
    </row>
    <row r="49" spans="2:50" x14ac:dyDescent="0.3">
      <c r="B49" t="s">
        <v>57</v>
      </c>
      <c r="C49">
        <v>50</v>
      </c>
      <c r="D49">
        <v>0.95</v>
      </c>
      <c r="E49" s="15">
        <f t="shared" si="0"/>
        <v>3.829268292682908E-2</v>
      </c>
      <c r="F49" s="15">
        <f t="shared" ref="F49:AX49" si="11">F31-$D49</f>
        <v>-3.8300000000000001E-2</v>
      </c>
      <c r="G49" s="15">
        <f t="shared" si="11"/>
        <v>3.2764227642276045E-2</v>
      </c>
      <c r="H49" s="15">
        <f t="shared" si="11"/>
        <v>-0.95</v>
      </c>
      <c r="I49" s="15">
        <f t="shared" si="11"/>
        <v>-0.95</v>
      </c>
      <c r="J49" s="15">
        <f t="shared" si="11"/>
        <v>-0.95</v>
      </c>
      <c r="K49" s="15">
        <f t="shared" si="11"/>
        <v>-0.95</v>
      </c>
      <c r="L49" s="15">
        <f t="shared" si="11"/>
        <v>-0.95</v>
      </c>
      <c r="M49" s="15">
        <f t="shared" si="11"/>
        <v>1.3400000000000079E-2</v>
      </c>
      <c r="N49" s="15">
        <f t="shared" si="11"/>
        <v>-5.0532449266629254E-3</v>
      </c>
      <c r="O49" s="15">
        <f t="shared" si="11"/>
        <v>-9.3999999999999639E-3</v>
      </c>
      <c r="P49" s="15">
        <f t="shared" si="11"/>
        <v>4.5911191480810798E-3</v>
      </c>
      <c r="Q49" s="15">
        <f t="shared" si="11"/>
        <v>-0.95</v>
      </c>
      <c r="R49" s="15">
        <f t="shared" si="11"/>
        <v>-0.95</v>
      </c>
      <c r="S49" s="15">
        <f t="shared" si="11"/>
        <v>-0.94409999999999994</v>
      </c>
      <c r="T49" s="15">
        <f t="shared" si="11"/>
        <v>-0.95</v>
      </c>
      <c r="U49" s="15">
        <f t="shared" si="11"/>
        <v>-0.95</v>
      </c>
      <c r="V49" s="15">
        <f t="shared" si="11"/>
        <v>1.7700000000000049E-2</v>
      </c>
      <c r="W49" s="15">
        <f t="shared" si="11"/>
        <v>-1.4399999999999968E-2</v>
      </c>
      <c r="X49" s="15">
        <f t="shared" si="11"/>
        <v>1.6000000000000014E-2</v>
      </c>
      <c r="Y49" s="15">
        <f t="shared" si="11"/>
        <v>1.9000000000000128E-3</v>
      </c>
      <c r="Z49" s="15">
        <f t="shared" si="11"/>
        <v>-0.34049999999999991</v>
      </c>
      <c r="AA49" s="15">
        <f t="shared" si="11"/>
        <v>-0.33539999999999992</v>
      </c>
      <c r="AB49" s="15">
        <f t="shared" si="11"/>
        <v>3.6600000000000077E-2</v>
      </c>
      <c r="AC49" s="15">
        <f t="shared" si="11"/>
        <v>-0.3052999999999999</v>
      </c>
      <c r="AD49" s="15">
        <f t="shared" si="11"/>
        <v>-0.29969999999999997</v>
      </c>
      <c r="AE49" s="15">
        <f t="shared" si="11"/>
        <v>1.6000000000000014E-2</v>
      </c>
      <c r="AF49" s="15">
        <f t="shared" si="11"/>
        <v>-0.16079999999999994</v>
      </c>
      <c r="AG49" s="15">
        <f t="shared" si="11"/>
        <v>-4.3041029766689443E-3</v>
      </c>
      <c r="AH49" s="15">
        <f t="shared" si="11"/>
        <v>-9.5999999999999419E-3</v>
      </c>
      <c r="AI49" s="15">
        <f t="shared" si="11"/>
        <v>8.2662912308930636E-3</v>
      </c>
      <c r="AJ49" s="15">
        <f t="shared" si="11"/>
        <v>-0.37309999999999999</v>
      </c>
      <c r="AK49" s="15">
        <f t="shared" si="11"/>
        <v>-0.3609</v>
      </c>
      <c r="AL49" s="15">
        <f t="shared" si="11"/>
        <v>-5.6899999999999951E-2</v>
      </c>
      <c r="AM49" s="15">
        <f t="shared" si="11"/>
        <v>-0.33289999999999997</v>
      </c>
      <c r="AN49" s="15">
        <f t="shared" si="11"/>
        <v>-0.32009999999999994</v>
      </c>
      <c r="AO49" s="15">
        <f t="shared" si="11"/>
        <v>1.9500000000000073E-2</v>
      </c>
      <c r="AP49" s="15">
        <f t="shared" si="11"/>
        <v>3.853682275332504E-2</v>
      </c>
      <c r="AQ49" s="15">
        <f t="shared" si="11"/>
        <v>-3.5899999999999932E-2</v>
      </c>
      <c r="AR49" s="15">
        <f t="shared" si="11"/>
        <v>2.9236509138099054E-2</v>
      </c>
      <c r="AS49" s="15">
        <f t="shared" si="11"/>
        <v>-0.19619999999999993</v>
      </c>
      <c r="AT49" s="15">
        <f t="shared" si="11"/>
        <v>-0.18099999999999994</v>
      </c>
      <c r="AU49" s="15">
        <f t="shared" si="11"/>
        <v>-1.8999999999999018E-3</v>
      </c>
      <c r="AV49" s="15">
        <f t="shared" si="11"/>
        <v>-0.16069999999999995</v>
      </c>
      <c r="AW49" s="15">
        <f t="shared" si="11"/>
        <v>-0.14749999999999996</v>
      </c>
      <c r="AX49" s="15">
        <f t="shared" si="11"/>
        <v>1.2500000000000067E-2</v>
      </c>
    </row>
    <row r="50" spans="2:50" x14ac:dyDescent="0.3">
      <c r="B50" t="s">
        <v>57</v>
      </c>
      <c r="C50">
        <v>50</v>
      </c>
      <c r="D50">
        <v>0.9</v>
      </c>
      <c r="E50" s="15">
        <f t="shared" si="0"/>
        <v>6.0325203252032944E-2</v>
      </c>
      <c r="F50" s="15">
        <f t="shared" ref="F50:AX50" si="12">F32-$D50</f>
        <v>-1.4100000000000001E-2</v>
      </c>
      <c r="G50" s="15">
        <f t="shared" si="12"/>
        <v>5.7506775067750926E-2</v>
      </c>
      <c r="H50" s="15">
        <f t="shared" si="12"/>
        <v>-0.9</v>
      </c>
      <c r="I50" s="15">
        <f t="shared" si="12"/>
        <v>-0.9</v>
      </c>
      <c r="J50" s="15">
        <f t="shared" si="12"/>
        <v>-0.9</v>
      </c>
      <c r="K50" s="15">
        <f t="shared" si="12"/>
        <v>-0.9</v>
      </c>
      <c r="L50" s="15">
        <f t="shared" si="12"/>
        <v>-0.9</v>
      </c>
      <c r="M50" s="15">
        <f t="shared" si="12"/>
        <v>6.3400000000000012E-2</v>
      </c>
      <c r="N50" s="15">
        <f t="shared" si="12"/>
        <v>9.2827004219410147E-3</v>
      </c>
      <c r="O50" s="15">
        <f t="shared" si="12"/>
        <v>4.0599999999999969E-2</v>
      </c>
      <c r="P50" s="15">
        <f t="shared" si="12"/>
        <v>1.0186859553947936E-2</v>
      </c>
      <c r="Q50" s="15">
        <f t="shared" si="12"/>
        <v>-0.9</v>
      </c>
      <c r="R50" s="15">
        <f t="shared" si="12"/>
        <v>-0.9</v>
      </c>
      <c r="S50" s="15">
        <f t="shared" si="12"/>
        <v>-0.89929999999999999</v>
      </c>
      <c r="T50" s="15">
        <f t="shared" si="12"/>
        <v>-0.9</v>
      </c>
      <c r="U50" s="15">
        <f t="shared" si="12"/>
        <v>-0.9</v>
      </c>
      <c r="V50" s="15">
        <f t="shared" si="12"/>
        <v>5.0999999999999934E-3</v>
      </c>
      <c r="W50" s="15">
        <f t="shared" si="12"/>
        <v>-1.9700000000000051E-2</v>
      </c>
      <c r="X50" s="15">
        <f t="shared" si="12"/>
        <v>3.5599999999999965E-2</v>
      </c>
      <c r="Y50" s="15">
        <f t="shared" si="12"/>
        <v>9.9999999999988987E-5</v>
      </c>
      <c r="Z50" s="15">
        <f t="shared" si="12"/>
        <v>-0.40890000000000004</v>
      </c>
      <c r="AA50" s="15">
        <f t="shared" si="12"/>
        <v>-0.40500000000000003</v>
      </c>
      <c r="AB50" s="15">
        <f t="shared" si="12"/>
        <v>4.7699999999999965E-2</v>
      </c>
      <c r="AC50" s="15">
        <f t="shared" si="12"/>
        <v>-0.38219999999999998</v>
      </c>
      <c r="AD50" s="15">
        <f t="shared" si="12"/>
        <v>-0.37709999999999999</v>
      </c>
      <c r="AE50" s="15">
        <f t="shared" si="12"/>
        <v>3.5599999999999965E-2</v>
      </c>
      <c r="AF50" s="15">
        <f t="shared" si="12"/>
        <v>-0.22260000000000002</v>
      </c>
      <c r="AG50" s="15">
        <f t="shared" si="12"/>
        <v>1.1806114239742982E-2</v>
      </c>
      <c r="AH50" s="15">
        <f t="shared" si="12"/>
        <v>4.0399999999999991E-2</v>
      </c>
      <c r="AI50" s="15">
        <f t="shared" si="12"/>
        <v>1.1705551086081956E-2</v>
      </c>
      <c r="AJ50" s="15">
        <f t="shared" si="12"/>
        <v>-0.44140000000000001</v>
      </c>
      <c r="AK50" s="15">
        <f t="shared" si="12"/>
        <v>-0.43080000000000002</v>
      </c>
      <c r="AL50" s="15">
        <f t="shared" si="12"/>
        <v>-0.10560000000000003</v>
      </c>
      <c r="AM50" s="15">
        <f t="shared" si="12"/>
        <v>-0.40860000000000002</v>
      </c>
      <c r="AN50" s="15">
        <f t="shared" si="12"/>
        <v>-0.39539999999999997</v>
      </c>
      <c r="AO50" s="15">
        <f t="shared" si="12"/>
        <v>6.6999999999999282E-3</v>
      </c>
      <c r="AP50" s="15">
        <f t="shared" si="12"/>
        <v>5.9446306910349023E-2</v>
      </c>
      <c r="AQ50" s="15">
        <f t="shared" si="12"/>
        <v>-1.2800000000000034E-2</v>
      </c>
      <c r="AR50" s="15">
        <f t="shared" si="12"/>
        <v>5.6093868281605008E-2</v>
      </c>
      <c r="AS50" s="15">
        <f t="shared" si="12"/>
        <v>-0.24350000000000005</v>
      </c>
      <c r="AT50" s="15">
        <f t="shared" si="12"/>
        <v>-0.22709999999999997</v>
      </c>
      <c r="AU50" s="15">
        <f t="shared" si="12"/>
        <v>-1.1299999999999977E-2</v>
      </c>
      <c r="AV50" s="15">
        <f t="shared" si="12"/>
        <v>-0.21250000000000002</v>
      </c>
      <c r="AW50" s="15">
        <f t="shared" si="12"/>
        <v>-0.19910000000000005</v>
      </c>
      <c r="AX50" s="15">
        <f t="shared" si="12"/>
        <v>6.25E-2</v>
      </c>
    </row>
    <row r="51" spans="2:50" x14ac:dyDescent="0.3">
      <c r="B51" t="s">
        <v>31</v>
      </c>
      <c r="C51">
        <v>100</v>
      </c>
      <c r="D51">
        <v>0.95</v>
      </c>
      <c r="E51" s="15">
        <f t="shared" si="0"/>
        <v>-1.0478199718706005E-2</v>
      </c>
      <c r="F51" s="15">
        <f t="shared" ref="F51:AX51" si="13">F33-$D51</f>
        <v>-1.4799999999999924E-2</v>
      </c>
      <c r="G51" s="15">
        <f t="shared" si="13"/>
        <v>1.0920233072132079E-2</v>
      </c>
      <c r="H51" s="15">
        <f t="shared" si="13"/>
        <v>-0.8972</v>
      </c>
      <c r="I51" s="15">
        <f t="shared" si="13"/>
        <v>-0.89389999999999992</v>
      </c>
      <c r="J51" s="15">
        <f t="shared" si="13"/>
        <v>-0.45879999999999993</v>
      </c>
      <c r="K51" s="15">
        <f t="shared" si="13"/>
        <v>-0.89119999999999999</v>
      </c>
      <c r="L51" s="15">
        <f t="shared" si="13"/>
        <v>-0.88669999999999993</v>
      </c>
      <c r="M51" s="15">
        <f t="shared" si="13"/>
        <v>1.6000000000000014E-2</v>
      </c>
      <c r="N51" s="15">
        <f t="shared" si="13"/>
        <v>3.2000000000000917E-3</v>
      </c>
      <c r="O51" s="15">
        <f t="shared" si="13"/>
        <v>3.2000000000000917E-3</v>
      </c>
      <c r="P51" s="15">
        <f t="shared" si="13"/>
        <v>-1.1999999999999789E-3</v>
      </c>
      <c r="Q51" s="15">
        <f t="shared" si="13"/>
        <v>-0.8085</v>
      </c>
      <c r="R51" s="15">
        <f t="shared" si="13"/>
        <v>-0.80549999999999999</v>
      </c>
      <c r="S51" s="15">
        <f t="shared" si="13"/>
        <v>-0.34189999999999998</v>
      </c>
      <c r="T51" s="15">
        <f t="shared" si="13"/>
        <v>-0.79649999999999999</v>
      </c>
      <c r="U51" s="15">
        <f t="shared" si="13"/>
        <v>-0.79249999999999998</v>
      </c>
      <c r="V51" s="15">
        <f t="shared" si="13"/>
        <v>3.2000000000000917E-3</v>
      </c>
      <c r="W51" s="15">
        <f t="shared" si="13"/>
        <v>-3.8999999999999035E-3</v>
      </c>
      <c r="X51" s="15">
        <f t="shared" si="13"/>
        <v>1.6199999999999992E-2</v>
      </c>
      <c r="Y51" s="15">
        <f t="shared" si="13"/>
        <v>4.0999999999999925E-3</v>
      </c>
      <c r="Z51" s="15">
        <f t="shared" si="13"/>
        <v>-4.0999999999999925E-3</v>
      </c>
      <c r="AA51" s="15">
        <f t="shared" si="13"/>
        <v>-3.1999999999999806E-3</v>
      </c>
      <c r="AB51" s="15">
        <f t="shared" si="13"/>
        <v>4.7600000000000087E-2</v>
      </c>
      <c r="AC51" s="15">
        <f t="shared" si="13"/>
        <v>1.5000000000000568E-3</v>
      </c>
      <c r="AD51" s="15">
        <f t="shared" si="13"/>
        <v>2.0000000000000018E-3</v>
      </c>
      <c r="AE51" s="15">
        <f t="shared" si="13"/>
        <v>1.6199999999999992E-2</v>
      </c>
      <c r="AF51" s="15">
        <f t="shared" si="13"/>
        <v>-2.1999999999999797E-3</v>
      </c>
      <c r="AG51" s="15">
        <f t="shared" si="13"/>
        <v>6.0999999999999943E-3</v>
      </c>
      <c r="AH51" s="15">
        <f t="shared" si="13"/>
        <v>6.0999999999999943E-3</v>
      </c>
      <c r="AI51" s="15">
        <f t="shared" si="13"/>
        <v>1.8000000000000238E-3</v>
      </c>
      <c r="AJ51" s="15">
        <f t="shared" si="13"/>
        <v>-0.80959999999999999</v>
      </c>
      <c r="AK51" s="15">
        <f t="shared" si="13"/>
        <v>-0.80630000000000002</v>
      </c>
      <c r="AL51" s="15">
        <f t="shared" si="13"/>
        <v>-0.33979999999999999</v>
      </c>
      <c r="AM51" s="15">
        <f t="shared" si="13"/>
        <v>-0.79849999999999999</v>
      </c>
      <c r="AN51" s="15">
        <f t="shared" si="13"/>
        <v>-0.79489999999999994</v>
      </c>
      <c r="AO51" s="15">
        <f t="shared" si="13"/>
        <v>6.0999999999999943E-3</v>
      </c>
      <c r="AP51" s="15">
        <f t="shared" si="13"/>
        <v>-6.0305804245049943E-3</v>
      </c>
      <c r="AQ51" s="15">
        <f t="shared" si="13"/>
        <v>-1.1599999999999944E-2</v>
      </c>
      <c r="AR51" s="15">
        <f t="shared" si="13"/>
        <v>1.459108741575299E-2</v>
      </c>
      <c r="AS51" s="15">
        <f t="shared" si="13"/>
        <v>-0.90359999999999996</v>
      </c>
      <c r="AT51" s="15">
        <f t="shared" si="13"/>
        <v>-0.90129999999999999</v>
      </c>
      <c r="AU51" s="15">
        <f t="shared" si="13"/>
        <v>-0.45769999999999994</v>
      </c>
      <c r="AV51" s="15">
        <f t="shared" si="13"/>
        <v>-0.89859999999999995</v>
      </c>
      <c r="AW51" s="15">
        <f t="shared" si="13"/>
        <v>-0.89569999999999994</v>
      </c>
      <c r="AX51" s="15">
        <f t="shared" si="13"/>
        <v>1.5000000000000013E-2</v>
      </c>
    </row>
    <row r="52" spans="2:50" x14ac:dyDescent="0.3">
      <c r="B52" t="s">
        <v>31</v>
      </c>
      <c r="C52">
        <v>100</v>
      </c>
      <c r="D52">
        <v>0.9</v>
      </c>
      <c r="E52" s="15">
        <f t="shared" si="0"/>
        <v>7.0725336548119744E-3</v>
      </c>
      <c r="F52" s="15">
        <f t="shared" ref="F52:AX52" si="14">F34-$D52</f>
        <v>3.5200000000000009E-2</v>
      </c>
      <c r="G52" s="15">
        <f t="shared" si="14"/>
        <v>1.1794253566404955E-2</v>
      </c>
      <c r="H52" s="15">
        <f t="shared" si="14"/>
        <v>-0.87060000000000004</v>
      </c>
      <c r="I52" s="15">
        <f t="shared" si="14"/>
        <v>-0.86890000000000001</v>
      </c>
      <c r="J52" s="15">
        <f t="shared" si="14"/>
        <v>-0.59440000000000004</v>
      </c>
      <c r="K52" s="15">
        <f t="shared" si="14"/>
        <v>-0.86780000000000002</v>
      </c>
      <c r="L52" s="15">
        <f t="shared" si="14"/>
        <v>-0.86609999999999998</v>
      </c>
      <c r="M52" s="15">
        <f t="shared" si="14"/>
        <v>3.5200000000000009E-2</v>
      </c>
      <c r="N52" s="15">
        <f t="shared" si="14"/>
        <v>-3.5000000000000586E-3</v>
      </c>
      <c r="O52" s="15">
        <f t="shared" si="14"/>
        <v>-3.5000000000000586E-3</v>
      </c>
      <c r="P52" s="15">
        <f t="shared" si="14"/>
        <v>-5.7000000000000384E-3</v>
      </c>
      <c r="Q52" s="15">
        <f t="shared" si="14"/>
        <v>-0.81310000000000004</v>
      </c>
      <c r="R52" s="15">
        <f t="shared" si="14"/>
        <v>-0.81030000000000002</v>
      </c>
      <c r="S52" s="15">
        <f t="shared" si="14"/>
        <v>-0.48120000000000002</v>
      </c>
      <c r="T52" s="15">
        <f t="shared" si="14"/>
        <v>-0.80580000000000007</v>
      </c>
      <c r="U52" s="15">
        <f t="shared" si="14"/>
        <v>-0.80300000000000005</v>
      </c>
      <c r="V52" s="15">
        <f t="shared" si="14"/>
        <v>9.000000000000119E-4</v>
      </c>
      <c r="W52" s="15">
        <f t="shared" si="14"/>
        <v>1.5499999999999958E-2</v>
      </c>
      <c r="X52" s="15">
        <f t="shared" si="14"/>
        <v>1.5499999999999958E-2</v>
      </c>
      <c r="Y52" s="15">
        <f t="shared" si="14"/>
        <v>5.0000000000000044E-3</v>
      </c>
      <c r="Z52" s="15">
        <f t="shared" si="14"/>
        <v>-3.6000000000000476E-3</v>
      </c>
      <c r="AA52" s="15">
        <f t="shared" si="14"/>
        <v>-2.2999999999999687E-3</v>
      </c>
      <c r="AB52" s="15">
        <f t="shared" si="14"/>
        <v>8.7999999999999967E-2</v>
      </c>
      <c r="AC52" s="15">
        <f t="shared" si="14"/>
        <v>5.1999999999999824E-3</v>
      </c>
      <c r="AD52" s="15">
        <f t="shared" si="14"/>
        <v>6.3999999999999613E-3</v>
      </c>
      <c r="AE52" s="15">
        <f t="shared" si="14"/>
        <v>1.5499999999999958E-2</v>
      </c>
      <c r="AF52" s="15">
        <f t="shared" si="14"/>
        <v>9.9999999999988987E-5</v>
      </c>
      <c r="AG52" s="15">
        <f t="shared" si="14"/>
        <v>4.6999999999999265E-3</v>
      </c>
      <c r="AH52" s="15">
        <f t="shared" si="14"/>
        <v>4.6999999999999265E-3</v>
      </c>
      <c r="AI52" s="15">
        <f t="shared" si="14"/>
        <v>3.6999999999999256E-3</v>
      </c>
      <c r="AJ52" s="15">
        <f t="shared" si="14"/>
        <v>-0.81679999999999997</v>
      </c>
      <c r="AK52" s="15">
        <f t="shared" si="14"/>
        <v>-0.81430000000000002</v>
      </c>
      <c r="AL52" s="15">
        <f t="shared" si="14"/>
        <v>-0.48100000000000004</v>
      </c>
      <c r="AM52" s="15">
        <f t="shared" si="14"/>
        <v>-0.81010000000000004</v>
      </c>
      <c r="AN52" s="15">
        <f t="shared" si="14"/>
        <v>-0.80830000000000002</v>
      </c>
      <c r="AO52" s="15">
        <f t="shared" si="14"/>
        <v>1.0000000000000009E-2</v>
      </c>
      <c r="AP52" s="15">
        <f t="shared" si="14"/>
        <v>8.9628809978880009E-3</v>
      </c>
      <c r="AQ52" s="15">
        <f t="shared" si="14"/>
        <v>3.839999999999999E-2</v>
      </c>
      <c r="AR52" s="15">
        <f t="shared" si="14"/>
        <v>1.8720450658886945E-2</v>
      </c>
      <c r="AS52" s="15">
        <f t="shared" si="14"/>
        <v>-0.87390000000000001</v>
      </c>
      <c r="AT52" s="15">
        <f t="shared" si="14"/>
        <v>-0.87160000000000004</v>
      </c>
      <c r="AU52" s="15">
        <f t="shared" si="14"/>
        <v>-0.60070000000000001</v>
      </c>
      <c r="AV52" s="15">
        <f t="shared" si="14"/>
        <v>-0.87090000000000001</v>
      </c>
      <c r="AW52" s="15">
        <f t="shared" si="14"/>
        <v>-0.86919999999999997</v>
      </c>
      <c r="AX52" s="15">
        <f t="shared" si="14"/>
        <v>3.839999999999999E-2</v>
      </c>
    </row>
    <row r="53" spans="2:50" x14ac:dyDescent="0.3">
      <c r="B53" t="s">
        <v>56</v>
      </c>
      <c r="C53">
        <v>100</v>
      </c>
      <c r="D53">
        <v>0.95</v>
      </c>
      <c r="E53" s="15">
        <f t="shared" si="0"/>
        <v>-1.2562864614765967E-2</v>
      </c>
      <c r="F53" s="15">
        <f t="shared" ref="F53:AX53" si="15">F35-$D53</f>
        <v>-1.7999999999999905E-2</v>
      </c>
      <c r="G53" s="15">
        <f t="shared" si="15"/>
        <v>8.5596459464900576E-3</v>
      </c>
      <c r="H53" s="15">
        <f t="shared" si="15"/>
        <v>-0.90649999999999997</v>
      </c>
      <c r="I53" s="15">
        <f t="shared" si="15"/>
        <v>-0.90489999999999993</v>
      </c>
      <c r="J53" s="15">
        <f t="shared" si="15"/>
        <v>-0.50949999999999995</v>
      </c>
      <c r="K53" s="15">
        <f t="shared" si="15"/>
        <v>-0.90139999999999998</v>
      </c>
      <c r="L53" s="15">
        <f t="shared" si="15"/>
        <v>-0.9000999999999999</v>
      </c>
      <c r="M53" s="15">
        <f t="shared" si="15"/>
        <v>1.4400000000000079E-2</v>
      </c>
      <c r="N53" s="15">
        <f t="shared" si="15"/>
        <v>6.7000000000000393E-3</v>
      </c>
      <c r="O53" s="15">
        <f t="shared" si="15"/>
        <v>6.7000000000000393E-3</v>
      </c>
      <c r="P53" s="15">
        <f t="shared" si="15"/>
        <v>2.0999999999999908E-3</v>
      </c>
      <c r="Q53" s="15">
        <f t="shared" si="15"/>
        <v>-0.43629999999999991</v>
      </c>
      <c r="R53" s="15">
        <f t="shared" si="15"/>
        <v>-0.43309999999999993</v>
      </c>
      <c r="S53" s="15">
        <f t="shared" si="15"/>
        <v>-4.7399999999999998E-2</v>
      </c>
      <c r="T53" s="15">
        <f t="shared" si="15"/>
        <v>-0.41709999999999992</v>
      </c>
      <c r="U53" s="15">
        <f t="shared" si="15"/>
        <v>-0.41249999999999998</v>
      </c>
      <c r="V53" s="15">
        <f t="shared" si="15"/>
        <v>6.7000000000000393E-3</v>
      </c>
      <c r="W53" s="15">
        <f t="shared" si="15"/>
        <v>-6.0000000000000053E-3</v>
      </c>
      <c r="X53" s="15">
        <f t="shared" si="15"/>
        <v>1.5100000000000002E-2</v>
      </c>
      <c r="Y53" s="15">
        <f t="shared" si="15"/>
        <v>6.0000000000004494E-4</v>
      </c>
      <c r="Z53" s="15">
        <f t="shared" si="15"/>
        <v>-1.9199999999999995E-2</v>
      </c>
      <c r="AA53" s="15">
        <f t="shared" si="15"/>
        <v>-1.859999999999995E-2</v>
      </c>
      <c r="AB53" s="15">
        <f t="shared" si="15"/>
        <v>2.4400000000000088E-2</v>
      </c>
      <c r="AC53" s="15">
        <f t="shared" si="15"/>
        <v>-1.2499999999999956E-2</v>
      </c>
      <c r="AD53" s="15">
        <f t="shared" si="15"/>
        <v>-1.1199999999999988E-2</v>
      </c>
      <c r="AE53" s="15">
        <f t="shared" si="15"/>
        <v>1.5100000000000002E-2</v>
      </c>
      <c r="AF53" s="15">
        <f t="shared" si="15"/>
        <v>-0.21729999999999994</v>
      </c>
      <c r="AG53" s="15">
        <f t="shared" si="15"/>
        <v>5.2000000000000934E-3</v>
      </c>
      <c r="AH53" s="15">
        <f t="shared" si="15"/>
        <v>5.2000000000000934E-3</v>
      </c>
      <c r="AI53" s="15">
        <f t="shared" si="15"/>
        <v>9.9999999999988987E-5</v>
      </c>
      <c r="AJ53" s="15">
        <f t="shared" si="15"/>
        <v>-9.6999999999999309E-3</v>
      </c>
      <c r="AK53" s="15">
        <f t="shared" si="15"/>
        <v>-7.4999999999999512E-3</v>
      </c>
      <c r="AL53" s="15">
        <f t="shared" si="15"/>
        <v>1.540000000000008E-2</v>
      </c>
      <c r="AM53" s="15">
        <f t="shared" si="15"/>
        <v>-3.3999999999999586E-3</v>
      </c>
      <c r="AN53" s="15">
        <f t="shared" si="15"/>
        <v>-1.2999999999999678E-3</v>
      </c>
      <c r="AO53" s="15">
        <f t="shared" si="15"/>
        <v>5.2000000000000934E-3</v>
      </c>
      <c r="AP53" s="15">
        <f t="shared" si="15"/>
        <v>-8.6755233494359985E-3</v>
      </c>
      <c r="AQ53" s="15">
        <f t="shared" si="15"/>
        <v>-1.4699999999999935E-2</v>
      </c>
      <c r="AR53" s="15">
        <f t="shared" si="15"/>
        <v>1.1855877616747001E-2</v>
      </c>
      <c r="AS53" s="15">
        <f t="shared" si="15"/>
        <v>-9.3059305930589531E-3</v>
      </c>
      <c r="AT53" s="15">
        <f t="shared" si="15"/>
        <v>-2.5052505250529045E-3</v>
      </c>
      <c r="AU53" s="15">
        <f t="shared" si="15"/>
        <v>1.6000000000000014E-2</v>
      </c>
      <c r="AV53" s="15">
        <f t="shared" si="15"/>
        <v>-3.8999999999999035E-3</v>
      </c>
      <c r="AW53" s="15">
        <f t="shared" si="15"/>
        <v>2.2000000000000908E-3</v>
      </c>
      <c r="AX53" s="15">
        <f t="shared" si="15"/>
        <v>1.4900000000000024E-2</v>
      </c>
    </row>
    <row r="54" spans="2:50" x14ac:dyDescent="0.3">
      <c r="B54" t="s">
        <v>56</v>
      </c>
      <c r="C54">
        <v>100</v>
      </c>
      <c r="D54">
        <v>0.9</v>
      </c>
      <c r="E54" s="15">
        <f t="shared" si="0"/>
        <v>2.937034801850924E-3</v>
      </c>
      <c r="F54" s="15">
        <f t="shared" ref="F54:AX54" si="16">F36-$D54</f>
        <v>3.2000000000000028E-2</v>
      </c>
      <c r="G54" s="15">
        <f t="shared" si="16"/>
        <v>1.0279621806478012E-2</v>
      </c>
      <c r="H54" s="15">
        <f t="shared" si="16"/>
        <v>-0.87629999999999997</v>
      </c>
      <c r="I54" s="15">
        <f t="shared" si="16"/>
        <v>-0.87590000000000001</v>
      </c>
      <c r="J54" s="15">
        <f t="shared" si="16"/>
        <v>-0.6482</v>
      </c>
      <c r="K54" s="15">
        <f t="shared" si="16"/>
        <v>-0.87460000000000004</v>
      </c>
      <c r="L54" s="15">
        <f t="shared" si="16"/>
        <v>-0.87370000000000003</v>
      </c>
      <c r="M54" s="15">
        <f t="shared" si="16"/>
        <v>3.2000000000000028E-2</v>
      </c>
      <c r="N54" s="15">
        <f t="shared" si="16"/>
        <v>2.1999999999999797E-3</v>
      </c>
      <c r="O54" s="15">
        <f t="shared" si="16"/>
        <v>2.1999999999999797E-3</v>
      </c>
      <c r="P54" s="15">
        <f t="shared" si="16"/>
        <v>0</v>
      </c>
      <c r="Q54" s="15">
        <f t="shared" si="16"/>
        <v>-0.50540000000000007</v>
      </c>
      <c r="R54" s="15">
        <f t="shared" si="16"/>
        <v>-0.50150000000000006</v>
      </c>
      <c r="S54" s="15">
        <f t="shared" si="16"/>
        <v>-0.10730000000000006</v>
      </c>
      <c r="T54" s="15">
        <f t="shared" si="16"/>
        <v>-0.48960000000000004</v>
      </c>
      <c r="U54" s="15">
        <f t="shared" si="16"/>
        <v>-0.48660000000000003</v>
      </c>
      <c r="V54" s="15">
        <f t="shared" si="16"/>
        <v>4.5999999999999375E-3</v>
      </c>
      <c r="W54" s="15">
        <f t="shared" si="16"/>
        <v>1.3000000000000012E-2</v>
      </c>
      <c r="X54" s="15">
        <f t="shared" si="16"/>
        <v>1.3000000000000012E-2</v>
      </c>
      <c r="Y54" s="15">
        <f t="shared" si="16"/>
        <v>2.8000000000000247E-3</v>
      </c>
      <c r="Z54" s="15">
        <f t="shared" si="16"/>
        <v>-2.3600000000000065E-2</v>
      </c>
      <c r="AA54" s="15">
        <f t="shared" si="16"/>
        <v>-2.2500000000000075E-2</v>
      </c>
      <c r="AB54" s="15">
        <f t="shared" si="16"/>
        <v>3.8899999999999935E-2</v>
      </c>
      <c r="AC54" s="15">
        <f t="shared" si="16"/>
        <v>-1.4700000000000046E-2</v>
      </c>
      <c r="AD54" s="15">
        <f t="shared" si="16"/>
        <v>-1.4000000000000012E-2</v>
      </c>
      <c r="AE54" s="15">
        <f t="shared" si="16"/>
        <v>1.3000000000000012E-2</v>
      </c>
      <c r="AF54" s="15">
        <f t="shared" si="16"/>
        <v>-0.28320000000000001</v>
      </c>
      <c r="AG54" s="15">
        <f t="shared" si="16"/>
        <v>5.9999999999993392E-4</v>
      </c>
      <c r="AH54" s="15">
        <f t="shared" si="16"/>
        <v>5.9999999999993392E-4</v>
      </c>
      <c r="AI54" s="15">
        <f t="shared" si="16"/>
        <v>-5.0000000000005596E-4</v>
      </c>
      <c r="AJ54" s="15">
        <f t="shared" si="16"/>
        <v>-1.2800000000000034E-2</v>
      </c>
      <c r="AK54" s="15">
        <f t="shared" si="16"/>
        <v>-9.7000000000000419E-3</v>
      </c>
      <c r="AL54" s="15">
        <f t="shared" si="16"/>
        <v>2.4399999999999977E-2</v>
      </c>
      <c r="AM54" s="15">
        <f t="shared" si="16"/>
        <v>-5.0999999999999934E-3</v>
      </c>
      <c r="AN54" s="15">
        <f t="shared" si="16"/>
        <v>-2.5000000000000577E-3</v>
      </c>
      <c r="AO54" s="15">
        <f t="shared" si="16"/>
        <v>1.2999999999999678E-3</v>
      </c>
      <c r="AP54" s="15">
        <f t="shared" si="16"/>
        <v>8.9170692431559395E-3</v>
      </c>
      <c r="AQ54" s="15">
        <f t="shared" si="16"/>
        <v>3.5299999999999998E-2</v>
      </c>
      <c r="AR54" s="15">
        <f t="shared" si="16"/>
        <v>1.6364734299517014E-2</v>
      </c>
      <c r="AS54" s="15">
        <f t="shared" si="16"/>
        <v>-9.3109310931089873E-3</v>
      </c>
      <c r="AT54" s="15">
        <f t="shared" si="16"/>
        <v>-1.8101810181020417E-3</v>
      </c>
      <c r="AU54" s="15">
        <f t="shared" si="16"/>
        <v>3.069999999999995E-2</v>
      </c>
      <c r="AV54" s="15">
        <f t="shared" si="16"/>
        <v>2.9999999999996696E-4</v>
      </c>
      <c r="AW54" s="15">
        <f t="shared" si="16"/>
        <v>6.9000000000000172E-3</v>
      </c>
      <c r="AX54" s="15">
        <f t="shared" si="16"/>
        <v>3.5299999999999998E-2</v>
      </c>
    </row>
    <row r="55" spans="2:50" x14ac:dyDescent="0.3">
      <c r="B55" t="s">
        <v>57</v>
      </c>
      <c r="C55">
        <v>100</v>
      </c>
      <c r="D55">
        <v>0.95</v>
      </c>
      <c r="E55" s="15">
        <f t="shared" si="0"/>
        <v>-9.2614951202329987E-3</v>
      </c>
      <c r="F55" s="15">
        <f t="shared" ref="F55:AX55" si="17">F37-$D55</f>
        <v>-1.4999999999999902E-2</v>
      </c>
      <c r="G55" s="15">
        <f t="shared" si="17"/>
        <v>7.339772612939055E-3</v>
      </c>
      <c r="H55" s="15">
        <f t="shared" si="17"/>
        <v>-0.95</v>
      </c>
      <c r="I55" s="15">
        <f t="shared" si="17"/>
        <v>-0.95</v>
      </c>
      <c r="J55" s="15">
        <f t="shared" si="17"/>
        <v>-0.95</v>
      </c>
      <c r="K55" s="15">
        <f t="shared" si="17"/>
        <v>-0.95</v>
      </c>
      <c r="L55" s="15">
        <f t="shared" si="17"/>
        <v>-0.95</v>
      </c>
      <c r="M55" s="15">
        <f t="shared" si="17"/>
        <v>1.6600000000000059E-2</v>
      </c>
      <c r="N55" s="15">
        <f t="shared" si="17"/>
        <v>3.9000000000000146E-3</v>
      </c>
      <c r="O55" s="15">
        <f t="shared" si="17"/>
        <v>3.9000000000000146E-3</v>
      </c>
      <c r="P55" s="15">
        <f t="shared" si="17"/>
        <v>2.00000000000089E-4</v>
      </c>
      <c r="Q55" s="15">
        <f t="shared" si="17"/>
        <v>-0.95</v>
      </c>
      <c r="R55" s="15">
        <f t="shared" si="17"/>
        <v>-0.95</v>
      </c>
      <c r="S55" s="15">
        <f t="shared" si="17"/>
        <v>-0.95</v>
      </c>
      <c r="T55" s="15">
        <f t="shared" si="17"/>
        <v>-0.95</v>
      </c>
      <c r="U55" s="15">
        <f t="shared" si="17"/>
        <v>-0.95</v>
      </c>
      <c r="V55" s="15">
        <f t="shared" si="17"/>
        <v>3.9000000000000146E-3</v>
      </c>
      <c r="W55" s="15">
        <f t="shared" si="17"/>
        <v>-4.4999999999999485E-3</v>
      </c>
      <c r="X55" s="15">
        <f t="shared" si="17"/>
        <v>1.2800000000000034E-2</v>
      </c>
      <c r="Y55" s="15">
        <f t="shared" si="17"/>
        <v>1.0999999999999899E-3</v>
      </c>
      <c r="Z55" s="15">
        <f t="shared" si="17"/>
        <v>-0.50549999999999995</v>
      </c>
      <c r="AA55" s="15">
        <f t="shared" si="17"/>
        <v>-0.50269999999999992</v>
      </c>
      <c r="AB55" s="15">
        <f t="shared" si="17"/>
        <v>-1.2199999999999989E-2</v>
      </c>
      <c r="AC55" s="15">
        <f t="shared" si="17"/>
        <v>-0.48559999999999998</v>
      </c>
      <c r="AD55" s="15">
        <f t="shared" si="17"/>
        <v>-0.48299999999999993</v>
      </c>
      <c r="AE55" s="15">
        <f t="shared" si="17"/>
        <v>1.2800000000000034E-2</v>
      </c>
      <c r="AF55" s="15">
        <f t="shared" si="17"/>
        <v>-0.33189999999999997</v>
      </c>
      <c r="AG55" s="15">
        <f t="shared" si="17"/>
        <v>9.5000000000000639E-3</v>
      </c>
      <c r="AH55" s="15">
        <f t="shared" si="17"/>
        <v>9.5000000000000639E-3</v>
      </c>
      <c r="AI55" s="15">
        <f t="shared" si="17"/>
        <v>5.7000000000000384E-3</v>
      </c>
      <c r="AJ55" s="15">
        <f t="shared" si="17"/>
        <v>-0.34709999999999996</v>
      </c>
      <c r="AK55" s="15">
        <f t="shared" si="17"/>
        <v>-0.34079999999999999</v>
      </c>
      <c r="AL55" s="15">
        <f t="shared" si="17"/>
        <v>-8.5999999999999965E-2</v>
      </c>
      <c r="AM55" s="15">
        <f t="shared" si="17"/>
        <v>-0.32679999999999998</v>
      </c>
      <c r="AN55" s="15">
        <f t="shared" si="17"/>
        <v>-0.32019999999999993</v>
      </c>
      <c r="AO55" s="15">
        <f t="shared" si="17"/>
        <v>9.5000000000000639E-3</v>
      </c>
      <c r="AP55" s="15">
        <f t="shared" si="17"/>
        <v>-8.7229763700349405E-3</v>
      </c>
      <c r="AQ55" s="15">
        <f t="shared" si="17"/>
        <v>-1.3899999999999912E-2</v>
      </c>
      <c r="AR55" s="15">
        <f t="shared" si="17"/>
        <v>1.3398692810458024E-2</v>
      </c>
      <c r="AS55" s="15">
        <f t="shared" si="17"/>
        <v>-0.17030000000000001</v>
      </c>
      <c r="AT55" s="15">
        <f t="shared" si="17"/>
        <v>-0.1613</v>
      </c>
      <c r="AU55" s="15">
        <f t="shared" si="17"/>
        <v>-1.5999999999999903E-2</v>
      </c>
      <c r="AV55" s="15">
        <f t="shared" si="17"/>
        <v>-0.1520999999999999</v>
      </c>
      <c r="AW55" s="15">
        <f t="shared" si="17"/>
        <v>-0.14559999999999995</v>
      </c>
      <c r="AX55" s="15">
        <f t="shared" si="17"/>
        <v>1.6000000000000014E-2</v>
      </c>
    </row>
    <row r="56" spans="2:50" x14ac:dyDescent="0.3">
      <c r="B56" t="s">
        <v>57</v>
      </c>
      <c r="C56">
        <v>100</v>
      </c>
      <c r="D56">
        <v>0.9</v>
      </c>
      <c r="E56" s="15">
        <f t="shared" si="0"/>
        <v>8.64272059563298E-3</v>
      </c>
      <c r="F56" s="15">
        <f t="shared" ref="F56:AX56" si="18">F38-$D56</f>
        <v>3.5000000000000031E-2</v>
      </c>
      <c r="G56" s="15">
        <f t="shared" si="18"/>
        <v>1.2969111580641957E-2</v>
      </c>
      <c r="H56" s="15">
        <f t="shared" si="18"/>
        <v>-0.9</v>
      </c>
      <c r="I56" s="15">
        <f t="shared" si="18"/>
        <v>-0.9</v>
      </c>
      <c r="J56" s="15">
        <f t="shared" si="18"/>
        <v>-0.9</v>
      </c>
      <c r="K56" s="15">
        <f t="shared" si="18"/>
        <v>-0.9</v>
      </c>
      <c r="L56" s="15">
        <f t="shared" si="18"/>
        <v>-0.9</v>
      </c>
      <c r="M56" s="15">
        <f t="shared" si="18"/>
        <v>3.5000000000000031E-2</v>
      </c>
      <c r="N56" s="15">
        <f t="shared" si="18"/>
        <v>-7.0000000000003393E-4</v>
      </c>
      <c r="O56" s="15">
        <f t="shared" si="18"/>
        <v>-7.0000000000003393E-4</v>
      </c>
      <c r="P56" s="15">
        <f t="shared" si="18"/>
        <v>-2.5000000000000577E-3</v>
      </c>
      <c r="Q56" s="15">
        <f t="shared" si="18"/>
        <v>-0.9</v>
      </c>
      <c r="R56" s="15">
        <f t="shared" si="18"/>
        <v>-0.9</v>
      </c>
      <c r="S56" s="15">
        <f t="shared" si="18"/>
        <v>-0.9</v>
      </c>
      <c r="T56" s="15">
        <f t="shared" si="18"/>
        <v>-0.9</v>
      </c>
      <c r="U56" s="15">
        <f t="shared" si="18"/>
        <v>-0.9</v>
      </c>
      <c r="V56" s="15">
        <f t="shared" si="18"/>
        <v>1.0999999999999899E-3</v>
      </c>
      <c r="W56" s="15">
        <f t="shared" si="18"/>
        <v>1.3799999999999923E-2</v>
      </c>
      <c r="X56" s="15">
        <f t="shared" si="18"/>
        <v>1.3799999999999923E-2</v>
      </c>
      <c r="Y56" s="15">
        <f t="shared" si="18"/>
        <v>3.3999999999999586E-3</v>
      </c>
      <c r="Z56" s="15">
        <f t="shared" si="18"/>
        <v>-0.57850000000000001</v>
      </c>
      <c r="AA56" s="15">
        <f t="shared" si="18"/>
        <v>-0.5757000000000001</v>
      </c>
      <c r="AB56" s="15">
        <f t="shared" si="18"/>
        <v>-6.5500000000000003E-2</v>
      </c>
      <c r="AC56" s="15">
        <f t="shared" si="18"/>
        <v>-0.56289999999999996</v>
      </c>
      <c r="AD56" s="15">
        <f t="shared" si="18"/>
        <v>-0.56000000000000005</v>
      </c>
      <c r="AE56" s="15">
        <f t="shared" si="18"/>
        <v>1.3799999999999923E-2</v>
      </c>
      <c r="AF56" s="15">
        <f t="shared" si="18"/>
        <v>-0.40770000000000001</v>
      </c>
      <c r="AG56" s="15">
        <f t="shared" si="18"/>
        <v>4.4999999999999485E-3</v>
      </c>
      <c r="AH56" s="15">
        <f t="shared" si="18"/>
        <v>4.4999999999999485E-3</v>
      </c>
      <c r="AI56" s="15">
        <f t="shared" si="18"/>
        <v>4.1999999999999815E-3</v>
      </c>
      <c r="AJ56" s="15">
        <f t="shared" si="18"/>
        <v>-0.4168</v>
      </c>
      <c r="AK56" s="15">
        <f t="shared" si="18"/>
        <v>-0.41150000000000003</v>
      </c>
      <c r="AL56" s="15">
        <f t="shared" si="18"/>
        <v>-0.1492</v>
      </c>
      <c r="AM56" s="15">
        <f t="shared" si="18"/>
        <v>-0.39939999999999998</v>
      </c>
      <c r="AN56" s="15">
        <f t="shared" si="18"/>
        <v>-0.39229999999999998</v>
      </c>
      <c r="AO56" s="15">
        <f t="shared" si="18"/>
        <v>8.0000000000000071E-3</v>
      </c>
      <c r="AP56" s="15">
        <f t="shared" si="18"/>
        <v>2.3629964806439752E-3</v>
      </c>
      <c r="AQ56" s="15">
        <f t="shared" si="18"/>
        <v>3.6100000000000021E-2</v>
      </c>
      <c r="AR56" s="15">
        <f t="shared" si="18"/>
        <v>1.1412770236299941E-2</v>
      </c>
      <c r="AS56" s="15">
        <f t="shared" si="18"/>
        <v>-0.21630000000000005</v>
      </c>
      <c r="AT56" s="15">
        <f t="shared" si="18"/>
        <v>-0.20820000000000005</v>
      </c>
      <c r="AU56" s="15">
        <f t="shared" si="18"/>
        <v>-3.7200000000000011E-2</v>
      </c>
      <c r="AV56" s="15">
        <f t="shared" si="18"/>
        <v>-0.19969999999999999</v>
      </c>
      <c r="AW56" s="15">
        <f t="shared" si="18"/>
        <v>-0.19220000000000004</v>
      </c>
      <c r="AX56" s="15">
        <f t="shared" si="18"/>
        <v>3.6100000000000021E-2</v>
      </c>
    </row>
  </sheetData>
  <mergeCells count="5">
    <mergeCell ref="E1:M1"/>
    <mergeCell ref="N1:V1"/>
    <mergeCell ref="AG1:AO1"/>
    <mergeCell ref="AP1:AX1"/>
    <mergeCell ref="W1:AF1"/>
  </mergeCells>
  <conditionalFormatting sqref="E39:AX56">
    <cfRule type="colorScale" priority="1">
      <colorScale>
        <cfvo type="min"/>
        <cfvo type="num" val="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sim_results_v2</vt:lpstr>
      <vt:lpstr>v1</vt:lpstr>
      <vt:lpstr>v4</vt:lpstr>
      <vt:lpstr>v5</vt:lpstr>
      <vt:lpstr>v6</vt:lpstr>
      <vt:lpstr>v6_wide</vt:lpstr>
      <vt:lpstr>Sheet7</vt:lpstr>
      <vt:lpstr>pub_results</vt:lpstr>
      <vt:lpstr>results_nv95</vt:lpstr>
      <vt:lpstr>results_nv90</vt:lpstr>
      <vt:lpstr>Sheet11</vt:lpstr>
      <vt:lpstr>Sheet12</vt:lpstr>
      <vt:lpstr>Sheet13</vt:lpstr>
      <vt:lpstr>CoverageNo12</vt:lpstr>
      <vt:lpstr>NAsNo12</vt:lpstr>
      <vt:lpstr>CoverageQ_01_05_09</vt:lpstr>
      <vt:lpstr>Sheet17</vt:lpstr>
      <vt:lpstr>res13_h_1</vt:lpstr>
      <vt:lpstr>Final</vt:lpstr>
      <vt:lpstr>ZJQ9Example</vt:lpstr>
      <vt:lpstr>FailureRate</vt:lpstr>
      <vt:lpstr>res_14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Jānis Gredzens</cp:lastModifiedBy>
  <dcterms:created xsi:type="dcterms:W3CDTF">2026-04-05T20:10:31Z</dcterms:created>
  <dcterms:modified xsi:type="dcterms:W3CDTF">2026-04-09T15:39:13Z</dcterms:modified>
</cp:coreProperties>
</file>